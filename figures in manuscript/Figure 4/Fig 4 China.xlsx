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鲍鱼小论文\figures in manuscript\Figure 4\"/>
    </mc:Choice>
  </mc:AlternateContent>
  <xr:revisionPtr revIDLastSave="0" documentId="13_ncr:1_{EC9233D6-5D15-4394-A509-8E077180DAB0}" xr6:coauthVersionLast="47" xr6:coauthVersionMax="47" xr10:uidLastSave="{00000000-0000-0000-0000-000000000000}"/>
  <bookViews>
    <workbookView xWindow="2960" yWindow="2960" windowWidth="6400" windowHeight="3550" tabRatio="889" firstSheet="6" activeTab="10" xr2:uid="{00000000-000D-0000-FFFF-FFFF00000000}"/>
  </bookViews>
  <sheets>
    <sheet name="Case (Ave)" sheetId="5" r:id="rId1"/>
    <sheet name="Temperature" sheetId="7" r:id="rId2"/>
    <sheet name="Baseline" sheetId="6" r:id="rId3"/>
    <sheet name="Elec str" sheetId="4" r:id="rId4"/>
    <sheet name="Case(Mode_Orl_Gene)" sheetId="18" r:id="rId5"/>
    <sheet name="Case(Mode_Orl_NoGe)" sheetId="19" r:id="rId6"/>
    <sheet name="Case (Mode2050)" sheetId="14" r:id="rId7"/>
    <sheet name="Mode" sheetId="10" r:id="rId8"/>
    <sheet name="Speed" sheetId="11" r:id="rId9"/>
    <sheet name="Infrastructure" sheetId="12" r:id="rId10"/>
    <sheet name="Best" sheetId="13" r:id="rId11"/>
    <sheet name="单位碳足迹" sheetId="1" r:id="rId12"/>
    <sheet name="Production" sheetId="2" r:id="rId13"/>
    <sheet name="Error" sheetId="17" r:id="rId14"/>
    <sheet name="产业碳足迹" sheetId="3" r:id="rId15"/>
    <sheet name="Fig 4a1" sheetId="15" r:id="rId16"/>
    <sheet name="Fig 4a2" sheetId="16" r:id="rId17"/>
  </sheets>
  <externalReferences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3" i="15" l="1"/>
  <c r="L23" i="7"/>
  <c r="K23" i="7"/>
  <c r="I33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K19" i="5"/>
  <c r="K20" i="5" s="1"/>
  <c r="Q19" i="5"/>
  <c r="Q20" i="5"/>
  <c r="K22" i="5"/>
  <c r="Q22" i="5"/>
  <c r="K25" i="5"/>
  <c r="Q25" i="5"/>
  <c r="I27" i="5"/>
  <c r="J27" i="5"/>
  <c r="O27" i="5"/>
  <c r="P27" i="5"/>
  <c r="Q27" i="5"/>
  <c r="P28" i="5"/>
  <c r="J29" i="5"/>
  <c r="P29" i="5"/>
  <c r="P30" i="5"/>
  <c r="K58" i="5"/>
  <c r="Q58" i="5"/>
  <c r="K59" i="5"/>
  <c r="Q59" i="5"/>
  <c r="K61" i="5"/>
  <c r="Q61" i="5"/>
  <c r="I67" i="5"/>
  <c r="J67" i="5"/>
  <c r="K67" i="5"/>
  <c r="O67" i="5"/>
  <c r="P67" i="5"/>
  <c r="Q67" i="5"/>
  <c r="J68" i="5"/>
  <c r="P68" i="5"/>
  <c r="J69" i="5"/>
  <c r="J70" i="5" s="1"/>
  <c r="P69" i="5"/>
  <c r="P70" i="5"/>
  <c r="D41" i="14"/>
  <c r="E41" i="14"/>
  <c r="D42" i="14"/>
  <c r="E42" i="14"/>
  <c r="D43" i="14"/>
  <c r="E43" i="14"/>
  <c r="D44" i="14"/>
  <c r="E44" i="14"/>
  <c r="D45" i="14"/>
  <c r="E45" i="14"/>
  <c r="D46" i="14"/>
  <c r="E46" i="14"/>
  <c r="D47" i="14"/>
  <c r="E47" i="14"/>
  <c r="D48" i="14"/>
  <c r="E48" i="14"/>
  <c r="D49" i="14"/>
  <c r="E49" i="14"/>
  <c r="D50" i="14"/>
  <c r="E50" i="14"/>
  <c r="D51" i="14"/>
  <c r="E51" i="14"/>
  <c r="D52" i="14"/>
  <c r="E52" i="14"/>
  <c r="D53" i="14"/>
  <c r="E53" i="14"/>
  <c r="D54" i="14"/>
  <c r="E54" i="14"/>
  <c r="D55" i="14"/>
  <c r="E55" i="14"/>
  <c r="D56" i="14"/>
  <c r="E56" i="14"/>
  <c r="D57" i="14"/>
  <c r="E57" i="14"/>
  <c r="D58" i="14"/>
  <c r="E58" i="14"/>
  <c r="D59" i="14"/>
  <c r="E59" i="14"/>
  <c r="E64" i="14"/>
  <c r="E65" i="14"/>
  <c r="E40" i="14"/>
  <c r="D40" i="14"/>
  <c r="D3" i="14"/>
  <c r="E3" i="14"/>
  <c r="D4" i="14"/>
  <c r="E4" i="14"/>
  <c r="D5" i="14"/>
  <c r="E5" i="14"/>
  <c r="D6" i="14"/>
  <c r="E6" i="14"/>
  <c r="D8" i="14"/>
  <c r="E8" i="14"/>
  <c r="E11" i="14"/>
  <c r="D12" i="14"/>
  <c r="E12" i="14"/>
  <c r="D13" i="14"/>
  <c r="E13" i="14"/>
  <c r="D14" i="14"/>
  <c r="E14" i="14"/>
  <c r="E16" i="14"/>
  <c r="D18" i="14"/>
  <c r="E18" i="14"/>
  <c r="D21" i="14"/>
  <c r="E21" i="14"/>
  <c r="E22" i="14"/>
  <c r="E23" i="14"/>
  <c r="E24" i="14"/>
  <c r="E25" i="14"/>
  <c r="E2" i="14"/>
  <c r="D2" i="14"/>
  <c r="U19" i="19"/>
  <c r="E19" i="14" s="1"/>
  <c r="T19" i="19"/>
  <c r="D19" i="14" s="1"/>
  <c r="T16" i="19"/>
  <c r="D16" i="14" s="1"/>
  <c r="U23" i="19"/>
  <c r="U25" i="19" s="1"/>
  <c r="U18" i="19"/>
  <c r="T18" i="19"/>
  <c r="U17" i="19"/>
  <c r="E17" i="14" s="1"/>
  <c r="T17" i="19"/>
  <c r="D17" i="14" s="1"/>
  <c r="U16" i="19"/>
  <c r="U15" i="19"/>
  <c r="E15" i="14" s="1"/>
  <c r="T15" i="19"/>
  <c r="D15" i="14" s="1"/>
  <c r="U14" i="19"/>
  <c r="T14" i="19"/>
  <c r="U13" i="19"/>
  <c r="T13" i="19"/>
  <c r="U12" i="19"/>
  <c r="T12" i="19"/>
  <c r="T11" i="19"/>
  <c r="D11" i="14" s="1"/>
  <c r="U10" i="19"/>
  <c r="E10" i="14" s="1"/>
  <c r="T10" i="19"/>
  <c r="D10" i="14" s="1"/>
  <c r="U9" i="19"/>
  <c r="E9" i="14" s="1"/>
  <c r="T9" i="19"/>
  <c r="D9" i="14" s="1"/>
  <c r="U8" i="19"/>
  <c r="T8" i="19"/>
  <c r="T7" i="19"/>
  <c r="U7" i="19" s="1"/>
  <c r="E7" i="14" s="1"/>
  <c r="U6" i="19"/>
  <c r="T6" i="19"/>
  <c r="U5" i="19"/>
  <c r="T5" i="19"/>
  <c r="U4" i="19"/>
  <c r="T4" i="19"/>
  <c r="U3" i="19"/>
  <c r="T3" i="19"/>
  <c r="U2" i="19"/>
  <c r="Q23" i="18"/>
  <c r="E61" i="14" s="1"/>
  <c r="Q22" i="18"/>
  <c r="Q24" i="18" s="1"/>
  <c r="E62" i="14" s="1"/>
  <c r="P22" i="18"/>
  <c r="D60" i="14" s="1"/>
  <c r="Q20" i="18"/>
  <c r="P20" i="18"/>
  <c r="Q19" i="18"/>
  <c r="P19" i="18"/>
  <c r="Q18" i="18"/>
  <c r="P18" i="18"/>
  <c r="Q17" i="18"/>
  <c r="P17" i="18"/>
  <c r="Q16" i="18"/>
  <c r="P16" i="18"/>
  <c r="Q15" i="18"/>
  <c r="P15" i="18"/>
  <c r="Q14" i="18"/>
  <c r="P14" i="18"/>
  <c r="Q13" i="18"/>
  <c r="P13" i="18"/>
  <c r="Q12" i="18"/>
  <c r="P12" i="18"/>
  <c r="Q11" i="18"/>
  <c r="P11" i="18"/>
  <c r="Q10" i="18"/>
  <c r="P10" i="18"/>
  <c r="Q9" i="18"/>
  <c r="P9" i="18"/>
  <c r="Q8" i="18"/>
  <c r="P8" i="18"/>
  <c r="Q7" i="18"/>
  <c r="P7" i="18"/>
  <c r="Q6" i="18"/>
  <c r="P6" i="18"/>
  <c r="Q5" i="18"/>
  <c r="P5" i="18"/>
  <c r="Q4" i="18"/>
  <c r="P4" i="18"/>
  <c r="Q3" i="18"/>
  <c r="P3" i="18"/>
  <c r="Q2" i="18"/>
  <c r="P2" i="18"/>
  <c r="B3" i="10"/>
  <c r="D7" i="14" l="1"/>
  <c r="U20" i="19"/>
  <c r="E20" i="14" s="1"/>
  <c r="E60" i="14"/>
  <c r="J30" i="5"/>
  <c r="J28" i="5"/>
  <c r="K27" i="5"/>
  <c r="Q21" i="18"/>
  <c r="H7" i="4" l="1"/>
  <c r="G6" i="4"/>
  <c r="L9" i="4" s="1"/>
  <c r="G33" i="4"/>
  <c r="L4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M4" i="4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N4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O4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K4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10" i="4" l="1"/>
  <c r="G9" i="4"/>
  <c r="G11" i="4"/>
  <c r="G8" i="4"/>
  <c r="G7" i="4"/>
  <c r="H8" i="4"/>
  <c r="G32" i="4"/>
  <c r="G12" i="4"/>
  <c r="G29" i="4"/>
  <c r="G20" i="4"/>
  <c r="G27" i="4"/>
  <c r="G25" i="4"/>
  <c r="G19" i="4"/>
  <c r="G31" i="4"/>
  <c r="G18" i="4"/>
  <c r="G17" i="4"/>
  <c r="G30" i="4"/>
  <c r="G28" i="4"/>
  <c r="G26" i="4"/>
  <c r="G24" i="4"/>
  <c r="G22" i="4"/>
  <c r="G16" i="4"/>
  <c r="G15" i="4"/>
  <c r="G14" i="4"/>
  <c r="G23" i="4"/>
  <c r="G21" i="4"/>
  <c r="G13" i="4"/>
  <c r="K27" i="7"/>
  <c r="K30" i="7" s="1"/>
  <c r="K32" i="7" s="1"/>
  <c r="N45" i="7" s="1"/>
  <c r="P15" i="7"/>
  <c r="H9" i="4" l="1"/>
  <c r="H10" i="4" l="1"/>
  <c r="H11" i="4" l="1"/>
  <c r="E22" i="10"/>
  <c r="E21" i="10"/>
  <c r="B33" i="10" s="1"/>
  <c r="H12" i="4" l="1"/>
  <c r="J15" i="13"/>
  <c r="AO75" i="13" s="1"/>
  <c r="H13" i="4" l="1"/>
  <c r="D69" i="5"/>
  <c r="E61" i="5"/>
  <c r="C27" i="5"/>
  <c r="D67" i="5"/>
  <c r="D27" i="5"/>
  <c r="D29" i="5"/>
  <c r="J17" i="13"/>
  <c r="AO77" i="13" s="1"/>
  <c r="K17" i="13"/>
  <c r="L17" i="13"/>
  <c r="M17" i="13"/>
  <c r="AP77" i="13" s="1"/>
  <c r="N17" i="13"/>
  <c r="O17" i="13"/>
  <c r="H14" i="4" l="1"/>
  <c r="AQ77" i="13"/>
  <c r="Z17" i="13"/>
  <c r="B20" i="13"/>
  <c r="B39" i="4"/>
  <c r="D17" i="13"/>
  <c r="D69" i="14"/>
  <c r="M18" i="13" s="1"/>
  <c r="C33" i="10"/>
  <c r="K33" i="10" s="1"/>
  <c r="C3" i="10"/>
  <c r="K3" i="10" s="1"/>
  <c r="E58" i="5"/>
  <c r="E59" i="5" s="1"/>
  <c r="E19" i="5"/>
  <c r="E20" i="5" s="1"/>
  <c r="E25" i="5"/>
  <c r="E22" i="5"/>
  <c r="D34" i="1" l="1"/>
  <c r="N33" i="10"/>
  <c r="D4" i="1"/>
  <c r="N3" i="10"/>
  <c r="H15" i="4"/>
  <c r="E5" i="10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D5" i="10"/>
  <c r="K94" i="13"/>
  <c r="L94" i="13"/>
  <c r="L64" i="13"/>
  <c r="K64" i="13"/>
  <c r="J9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64" i="13"/>
  <c r="B4" i="10" l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H16" i="4"/>
  <c r="N64" i="13"/>
  <c r="N94" i="13"/>
  <c r="M94" i="13"/>
  <c r="M64" i="13"/>
  <c r="C18" i="13"/>
  <c r="D18" i="13"/>
  <c r="E18" i="13"/>
  <c r="F18" i="13"/>
  <c r="G18" i="13"/>
  <c r="G17" i="13"/>
  <c r="F17" i="13"/>
  <c r="E17" i="13"/>
  <c r="AD77" i="13" s="1"/>
  <c r="C17" i="13"/>
  <c r="B18" i="13"/>
  <c r="B17" i="13"/>
  <c r="AC77" i="13" s="1"/>
  <c r="L59" i="13"/>
  <c r="Z59" i="13" s="1"/>
  <c r="AP78" i="13" s="1"/>
  <c r="D67" i="14"/>
  <c r="O18" i="13"/>
  <c r="N18" i="13"/>
  <c r="O20" i="13"/>
  <c r="G59" i="13" s="1"/>
  <c r="C67" i="14"/>
  <c r="M20" i="13" s="1"/>
  <c r="E59" i="13" s="1"/>
  <c r="L18" i="13"/>
  <c r="D29" i="14"/>
  <c r="J18" i="13" s="1"/>
  <c r="D27" i="14"/>
  <c r="C27" i="14"/>
  <c r="J20" i="13" s="1"/>
  <c r="B59" i="13" s="1"/>
  <c r="E8" i="13"/>
  <c r="E7" i="13"/>
  <c r="E6" i="13"/>
  <c r="E5" i="13"/>
  <c r="E4" i="13"/>
  <c r="F4" i="13" s="1"/>
  <c r="E3" i="13"/>
  <c r="AE77" i="13" l="1"/>
  <c r="K5" i="10"/>
  <c r="K4" i="10"/>
  <c r="H17" i="4"/>
  <c r="F3" i="13"/>
  <c r="F7" i="13"/>
  <c r="S17" i="13"/>
  <c r="U17" i="13"/>
  <c r="O19" i="13"/>
  <c r="F6" i="13"/>
  <c r="F5" i="13"/>
  <c r="N20" i="13"/>
  <c r="F59" i="13" s="1"/>
  <c r="L20" i="13"/>
  <c r="D59" i="13" s="1"/>
  <c r="K20" i="13"/>
  <c r="C59" i="13" s="1"/>
  <c r="K18" i="13"/>
  <c r="J59" i="13" s="1"/>
  <c r="X59" i="13" s="1"/>
  <c r="K6" i="10"/>
  <c r="N59" i="13"/>
  <c r="AB59" i="13" s="1"/>
  <c r="M59" i="13"/>
  <c r="AA59" i="13" s="1"/>
  <c r="K59" i="13"/>
  <c r="Y59" i="13" s="1"/>
  <c r="D30" i="14"/>
  <c r="I59" i="13"/>
  <c r="W59" i="13" s="1"/>
  <c r="AO78" i="13" s="1"/>
  <c r="AQ78" i="13" s="1"/>
  <c r="J29" i="13"/>
  <c r="X29" i="13" s="1"/>
  <c r="I29" i="13"/>
  <c r="W29" i="13" s="1"/>
  <c r="AC78" i="13" s="1"/>
  <c r="K29" i="13"/>
  <c r="N29" i="13"/>
  <c r="M29" i="13"/>
  <c r="L29" i="13"/>
  <c r="Z29" i="13" s="1"/>
  <c r="AD78" i="13" s="1"/>
  <c r="D28" i="14"/>
  <c r="D68" i="14"/>
  <c r="D70" i="14"/>
  <c r="E67" i="14"/>
  <c r="E27" i="14"/>
  <c r="C11" i="12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15" i="1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14" i="11"/>
  <c r="B5" i="11"/>
  <c r="B6" i="11" s="1"/>
  <c r="B7" i="11" s="1"/>
  <c r="B8" i="11" s="1"/>
  <c r="B9" i="11" s="1"/>
  <c r="B10" i="11" s="1"/>
  <c r="B11" i="11" s="1"/>
  <c r="B12" i="11" s="1"/>
  <c r="B4" i="11"/>
  <c r="J4" i="12"/>
  <c r="I4" i="12"/>
  <c r="D70" i="5"/>
  <c r="H4" i="12" s="1"/>
  <c r="G4" i="12"/>
  <c r="F4" i="12"/>
  <c r="E3" i="12"/>
  <c r="G45" i="7"/>
  <c r="G15" i="7"/>
  <c r="E2" i="7"/>
  <c r="B3" i="7"/>
  <c r="K65" i="13" s="1"/>
  <c r="M65" i="13" s="1"/>
  <c r="F2" i="7"/>
  <c r="C3" i="7" s="1"/>
  <c r="AE78" i="13" l="1"/>
  <c r="D7" i="1"/>
  <c r="N6" i="10"/>
  <c r="D5" i="1"/>
  <c r="N4" i="10"/>
  <c r="D6" i="1"/>
  <c r="N5" i="10"/>
  <c r="H18" i="4"/>
  <c r="C4" i="7"/>
  <c r="L65" i="13"/>
  <c r="N65" i="13" s="1"/>
  <c r="B4" i="7"/>
  <c r="G16" i="7"/>
  <c r="N15" i="13"/>
  <c r="G15" i="13"/>
  <c r="M15" i="13"/>
  <c r="AP75" i="13" s="1"/>
  <c r="AQ75" i="13" s="1"/>
  <c r="F15" i="13"/>
  <c r="L15" i="13"/>
  <c r="E15" i="13"/>
  <c r="AD75" i="13" s="1"/>
  <c r="C15" i="13"/>
  <c r="B15" i="13"/>
  <c r="AC75" i="13" s="1"/>
  <c r="K15" i="13"/>
  <c r="O15" i="13"/>
  <c r="D15" i="13"/>
  <c r="M19" i="13"/>
  <c r="AP79" i="13" s="1"/>
  <c r="F19" i="13"/>
  <c r="E19" i="13"/>
  <c r="AD79" i="13" s="1"/>
  <c r="C19" i="13"/>
  <c r="B19" i="13"/>
  <c r="AC79" i="13" s="1"/>
  <c r="AE79" i="13" s="1"/>
  <c r="AC104" i="13" s="1"/>
  <c r="D19" i="13"/>
  <c r="L19" i="13"/>
  <c r="K19" i="13"/>
  <c r="N19" i="13"/>
  <c r="G19" i="13"/>
  <c r="J19" i="13"/>
  <c r="AO79" i="13" s="1"/>
  <c r="L16" i="13"/>
  <c r="M16" i="13"/>
  <c r="AP76" i="13" s="1"/>
  <c r="F16" i="13"/>
  <c r="C16" i="13"/>
  <c r="O16" i="13"/>
  <c r="G16" i="13"/>
  <c r="E16" i="13"/>
  <c r="AD76" i="13" s="1"/>
  <c r="K16" i="13"/>
  <c r="D16" i="13"/>
  <c r="N16" i="13"/>
  <c r="J16" i="13"/>
  <c r="AO76" i="13" s="1"/>
  <c r="B16" i="13"/>
  <c r="AC76" i="13" s="1"/>
  <c r="AE76" i="13" s="1"/>
  <c r="AC103" i="13" s="1"/>
  <c r="I24" i="13"/>
  <c r="I30" i="13" s="1"/>
  <c r="K7" i="10"/>
  <c r="J24" i="13"/>
  <c r="J30" i="13" s="1"/>
  <c r="J31" i="13" s="1"/>
  <c r="L24" i="13"/>
  <c r="L30" i="13" s="1"/>
  <c r="M24" i="13"/>
  <c r="M30" i="13" s="1"/>
  <c r="AA29" i="13"/>
  <c r="N24" i="13"/>
  <c r="N30" i="13" s="1"/>
  <c r="AB29" i="13"/>
  <c r="X30" i="13"/>
  <c r="L31" i="13"/>
  <c r="Z30" i="13"/>
  <c r="K24" i="13"/>
  <c r="K30" i="13" s="1"/>
  <c r="Y29" i="13"/>
  <c r="F3" i="12"/>
  <c r="F11" i="12" s="1"/>
  <c r="J3" i="12"/>
  <c r="J38" i="12" s="1"/>
  <c r="H3" i="12"/>
  <c r="H32" i="12" s="1"/>
  <c r="I3" i="12"/>
  <c r="I17" i="12" s="1"/>
  <c r="D30" i="5"/>
  <c r="E4" i="12" s="1"/>
  <c r="E12" i="12" s="1"/>
  <c r="G3" i="12"/>
  <c r="G16" i="12" s="1"/>
  <c r="B26" i="12"/>
  <c r="M4" i="1"/>
  <c r="H3" i="3" s="1"/>
  <c r="P8" i="6"/>
  <c r="D7" i="6" s="1"/>
  <c r="P6" i="6"/>
  <c r="D5" i="6" s="1"/>
  <c r="C6" i="6"/>
  <c r="P5" i="6"/>
  <c r="D4" i="6" s="1"/>
  <c r="C5" i="6"/>
  <c r="V4" i="6"/>
  <c r="F3" i="6" s="1"/>
  <c r="C4" i="6"/>
  <c r="D68" i="5"/>
  <c r="E40" i="4" s="1"/>
  <c r="C67" i="5"/>
  <c r="D28" i="5"/>
  <c r="B40" i="4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F3" i="2"/>
  <c r="E3" i="2"/>
  <c r="K35" i="6" l="1"/>
  <c r="G5" i="6"/>
  <c r="K37" i="6"/>
  <c r="G7" i="6"/>
  <c r="K34" i="6"/>
  <c r="G4" i="6"/>
  <c r="M33" i="6"/>
  <c r="I3" i="6"/>
  <c r="AE75" i="13"/>
  <c r="AC105" i="13" s="1"/>
  <c r="D8" i="1"/>
  <c r="N7" i="10"/>
  <c r="H3" i="15"/>
  <c r="B102" i="15" s="1"/>
  <c r="J3" i="3"/>
  <c r="J3" i="15" s="1"/>
  <c r="D102" i="15" s="1"/>
  <c r="I3" i="3"/>
  <c r="I3" i="15" s="1"/>
  <c r="C102" i="15" s="1"/>
  <c r="H19" i="4"/>
  <c r="AQ79" i="13"/>
  <c r="AI104" i="13" s="1"/>
  <c r="AQ76" i="13"/>
  <c r="AI103" i="13" s="1"/>
  <c r="AI105" i="13"/>
  <c r="C5" i="7"/>
  <c r="L66" i="13"/>
  <c r="N66" i="13" s="1"/>
  <c r="M5" i="1"/>
  <c r="H4" i="3" s="1"/>
  <c r="K66" i="13"/>
  <c r="M66" i="13" s="1"/>
  <c r="G17" i="7"/>
  <c r="B5" i="7"/>
  <c r="U19" i="13"/>
  <c r="S19" i="13"/>
  <c r="U15" i="13"/>
  <c r="S15" i="13"/>
  <c r="Z15" i="13"/>
  <c r="Z19" i="13"/>
  <c r="Z16" i="13"/>
  <c r="S16" i="13"/>
  <c r="U16" i="13"/>
  <c r="K8" i="10"/>
  <c r="P4" i="6"/>
  <c r="D3" i="6" s="1"/>
  <c r="S4" i="6"/>
  <c r="E3" i="6" s="1"/>
  <c r="P7" i="6"/>
  <c r="D6" i="6" s="1"/>
  <c r="D9" i="6"/>
  <c r="D29" i="6"/>
  <c r="D30" i="6"/>
  <c r="D31" i="6"/>
  <c r="D26" i="6"/>
  <c r="D27" i="6"/>
  <c r="D28" i="6"/>
  <c r="D10" i="6"/>
  <c r="D11" i="6"/>
  <c r="D12" i="6"/>
  <c r="D32" i="6"/>
  <c r="D13" i="6"/>
  <c r="D33" i="6"/>
  <c r="D24" i="6"/>
  <c r="D14" i="6"/>
  <c r="D8" i="6"/>
  <c r="D15" i="6"/>
  <c r="D16" i="6"/>
  <c r="D21" i="6"/>
  <c r="D17" i="6"/>
  <c r="D19" i="6"/>
  <c r="D18" i="6"/>
  <c r="D20" i="6"/>
  <c r="D22" i="6"/>
  <c r="D23" i="6"/>
  <c r="D25" i="6"/>
  <c r="H3" i="11"/>
  <c r="M3" i="11" s="1"/>
  <c r="E39" i="4"/>
  <c r="E20" i="13"/>
  <c r="E29" i="13" s="1"/>
  <c r="G39" i="4"/>
  <c r="G20" i="13"/>
  <c r="G29" i="13" s="1"/>
  <c r="J15" i="12"/>
  <c r="J19" i="12"/>
  <c r="J21" i="12"/>
  <c r="I41" i="12"/>
  <c r="F39" i="4"/>
  <c r="F20" i="13"/>
  <c r="F29" i="13" s="1"/>
  <c r="D39" i="4"/>
  <c r="D20" i="13"/>
  <c r="D29" i="13" s="1"/>
  <c r="C39" i="4"/>
  <c r="C20" i="13"/>
  <c r="C29" i="13" s="1"/>
  <c r="J40" i="12"/>
  <c r="J13" i="12"/>
  <c r="J17" i="12"/>
  <c r="J25" i="12"/>
  <c r="J33" i="12"/>
  <c r="J16" i="12"/>
  <c r="N16" i="12" s="1"/>
  <c r="J37" i="12"/>
  <c r="J24" i="12"/>
  <c r="J32" i="12"/>
  <c r="J20" i="12"/>
  <c r="J28" i="12"/>
  <c r="I31" i="12"/>
  <c r="I35" i="12"/>
  <c r="H16" i="12"/>
  <c r="H20" i="12"/>
  <c r="H24" i="12"/>
  <c r="H38" i="12"/>
  <c r="H12" i="12"/>
  <c r="L12" i="12" s="1"/>
  <c r="H28" i="12"/>
  <c r="H36" i="12"/>
  <c r="F13" i="12"/>
  <c r="F29" i="12"/>
  <c r="F41" i="12"/>
  <c r="F40" i="12"/>
  <c r="F22" i="12"/>
  <c r="F26" i="12"/>
  <c r="F37" i="12"/>
  <c r="F30" i="12"/>
  <c r="F14" i="12"/>
  <c r="F34" i="12"/>
  <c r="F15" i="12"/>
  <c r="F38" i="12"/>
  <c r="F19" i="12"/>
  <c r="F16" i="12"/>
  <c r="F23" i="12"/>
  <c r="F17" i="12"/>
  <c r="M17" i="12" s="1"/>
  <c r="F20" i="12"/>
  <c r="F27" i="12"/>
  <c r="F24" i="12"/>
  <c r="F31" i="12"/>
  <c r="M31" i="12" s="1"/>
  <c r="F18" i="12"/>
  <c r="F28" i="12"/>
  <c r="F35" i="12"/>
  <c r="F32" i="12"/>
  <c r="F39" i="12"/>
  <c r="F25" i="12"/>
  <c r="F36" i="12"/>
  <c r="F12" i="12"/>
  <c r="H40" i="12"/>
  <c r="H11" i="12"/>
  <c r="H15" i="12"/>
  <c r="H19" i="12"/>
  <c r="H23" i="12"/>
  <c r="H14" i="12"/>
  <c r="H27" i="12"/>
  <c r="H18" i="12"/>
  <c r="H31" i="12"/>
  <c r="H22" i="12"/>
  <c r="H13" i="12"/>
  <c r="H35" i="12"/>
  <c r="H26" i="12"/>
  <c r="H21" i="12"/>
  <c r="H39" i="12"/>
  <c r="H30" i="12"/>
  <c r="H37" i="12"/>
  <c r="H34" i="12"/>
  <c r="I38" i="12"/>
  <c r="I14" i="12"/>
  <c r="I18" i="12"/>
  <c r="I26" i="12"/>
  <c r="I28" i="12"/>
  <c r="I30" i="12"/>
  <c r="I34" i="12"/>
  <c r="I12" i="12"/>
  <c r="I11" i="12"/>
  <c r="I37" i="12"/>
  <c r="I24" i="12"/>
  <c r="I21" i="12"/>
  <c r="I20" i="12"/>
  <c r="I15" i="12"/>
  <c r="M15" i="12" s="1"/>
  <c r="I29" i="12"/>
  <c r="I19" i="12"/>
  <c r="I16" i="12"/>
  <c r="I13" i="12"/>
  <c r="I23" i="12"/>
  <c r="I36" i="12"/>
  <c r="I25" i="12"/>
  <c r="I27" i="12"/>
  <c r="I33" i="12"/>
  <c r="J11" i="12"/>
  <c r="J29" i="12"/>
  <c r="J36" i="12"/>
  <c r="J27" i="12"/>
  <c r="J31" i="12"/>
  <c r="J35" i="12"/>
  <c r="J12" i="12"/>
  <c r="J39" i="12"/>
  <c r="J14" i="12"/>
  <c r="J18" i="12"/>
  <c r="J41" i="12"/>
  <c r="N41" i="12" s="1"/>
  <c r="R41" i="12" s="1"/>
  <c r="J22" i="12"/>
  <c r="J23" i="12"/>
  <c r="J26" i="12"/>
  <c r="J30" i="12"/>
  <c r="J34" i="12"/>
  <c r="G26" i="12"/>
  <c r="G39" i="12"/>
  <c r="G11" i="12"/>
  <c r="G20" i="12"/>
  <c r="G17" i="12"/>
  <c r="G21" i="12"/>
  <c r="G41" i="12"/>
  <c r="G28" i="12"/>
  <c r="N28" i="12" s="1"/>
  <c r="G14" i="12"/>
  <c r="F21" i="12"/>
  <c r="F33" i="12"/>
  <c r="E22" i="12"/>
  <c r="E16" i="12"/>
  <c r="L16" i="12" s="1"/>
  <c r="F9" i="1" s="1"/>
  <c r="E19" i="12"/>
  <c r="E24" i="12"/>
  <c r="L24" i="12" s="1"/>
  <c r="F17" i="1" s="1"/>
  <c r="E20" i="12"/>
  <c r="L20" i="12" s="1"/>
  <c r="F13" i="1" s="1"/>
  <c r="E21" i="12"/>
  <c r="E11" i="12"/>
  <c r="E15" i="12"/>
  <c r="E41" i="12"/>
  <c r="E13" i="12"/>
  <c r="E23" i="12"/>
  <c r="E14" i="12"/>
  <c r="E25" i="12"/>
  <c r="E17" i="12"/>
  <c r="B29" i="13"/>
  <c r="I31" i="13"/>
  <c r="W30" i="13"/>
  <c r="K31" i="13"/>
  <c r="Y30" i="13"/>
  <c r="L32" i="13"/>
  <c r="Z31" i="13"/>
  <c r="J32" i="13"/>
  <c r="X31" i="13"/>
  <c r="N31" i="13"/>
  <c r="AB30" i="13"/>
  <c r="M31" i="13"/>
  <c r="AA30" i="13"/>
  <c r="B21" i="13"/>
  <c r="K21" i="13"/>
  <c r="AD59" i="13" s="1"/>
  <c r="C21" i="13"/>
  <c r="AD29" i="13" s="1"/>
  <c r="L21" i="13"/>
  <c r="AE59" i="13" s="1"/>
  <c r="E21" i="13"/>
  <c r="AF29" i="13" s="1"/>
  <c r="D21" i="13"/>
  <c r="AE29" i="13" s="1"/>
  <c r="M21" i="13"/>
  <c r="AF59" i="13" s="1"/>
  <c r="F21" i="13"/>
  <c r="AG29" i="13" s="1"/>
  <c r="N21" i="13"/>
  <c r="AG59" i="13" s="1"/>
  <c r="J21" i="13"/>
  <c r="G21" i="13"/>
  <c r="AH29" i="13" s="1"/>
  <c r="O21" i="13"/>
  <c r="AH59" i="13" s="1"/>
  <c r="E18" i="12"/>
  <c r="G24" i="12"/>
  <c r="I22" i="12"/>
  <c r="H41" i="12"/>
  <c r="H25" i="12"/>
  <c r="G27" i="12"/>
  <c r="N27" i="12" s="1"/>
  <c r="I39" i="12"/>
  <c r="I32" i="12"/>
  <c r="G31" i="12"/>
  <c r="G12" i="12"/>
  <c r="I40" i="12"/>
  <c r="G13" i="12"/>
  <c r="G35" i="12"/>
  <c r="G40" i="12"/>
  <c r="G29" i="12"/>
  <c r="H33" i="12"/>
  <c r="G32" i="12"/>
  <c r="G33" i="12"/>
  <c r="G25" i="12"/>
  <c r="H17" i="12"/>
  <c r="M11" i="12"/>
  <c r="Q11" i="12" s="1"/>
  <c r="G18" i="12"/>
  <c r="G37" i="12"/>
  <c r="N37" i="12" s="1"/>
  <c r="G40" i="4"/>
  <c r="M37" i="12"/>
  <c r="G36" i="12"/>
  <c r="G22" i="12"/>
  <c r="G30" i="12"/>
  <c r="G34" i="12"/>
  <c r="G38" i="12"/>
  <c r="N38" i="12" s="1"/>
  <c r="G15" i="12"/>
  <c r="G19" i="12"/>
  <c r="H29" i="12"/>
  <c r="G23" i="12"/>
  <c r="E67" i="5"/>
  <c r="C40" i="4"/>
  <c r="D40" i="4"/>
  <c r="F40" i="4"/>
  <c r="B27" i="12"/>
  <c r="E26" i="12"/>
  <c r="E27" i="5"/>
  <c r="S6" i="6"/>
  <c r="E5" i="6" s="1"/>
  <c r="S5" i="6"/>
  <c r="E4" i="6" s="1"/>
  <c r="L18" i="12" l="1"/>
  <c r="F11" i="1" s="1"/>
  <c r="N19" i="12"/>
  <c r="N15" i="12"/>
  <c r="M35" i="12"/>
  <c r="M41" i="12"/>
  <c r="Q41" i="12" s="1"/>
  <c r="K38" i="6"/>
  <c r="G8" i="6"/>
  <c r="K47" i="6"/>
  <c r="G17" i="6"/>
  <c r="K33" i="6"/>
  <c r="B4" i="1" s="1"/>
  <c r="G3" i="6"/>
  <c r="K43" i="6"/>
  <c r="G13" i="6"/>
  <c r="K39" i="6"/>
  <c r="G9" i="6"/>
  <c r="H3" i="6"/>
  <c r="L33" i="6"/>
  <c r="K45" i="6"/>
  <c r="G15" i="6"/>
  <c r="K62" i="6"/>
  <c r="G32" i="6"/>
  <c r="K59" i="6"/>
  <c r="G29" i="6"/>
  <c r="K36" i="6"/>
  <c r="G6" i="6"/>
  <c r="H5" i="6"/>
  <c r="L35" i="6"/>
  <c r="K63" i="6"/>
  <c r="G33" i="6"/>
  <c r="K42" i="6"/>
  <c r="G12" i="6"/>
  <c r="K41" i="6"/>
  <c r="G11" i="6"/>
  <c r="K49" i="6"/>
  <c r="G19" i="6"/>
  <c r="K40" i="6"/>
  <c r="G10" i="6"/>
  <c r="K46" i="6"/>
  <c r="G16" i="6"/>
  <c r="K58" i="6"/>
  <c r="G28" i="6"/>
  <c r="K48" i="6"/>
  <c r="G18" i="6"/>
  <c r="H4" i="6"/>
  <c r="L34" i="6"/>
  <c r="K55" i="6"/>
  <c r="G25" i="6"/>
  <c r="K57" i="6"/>
  <c r="G27" i="6"/>
  <c r="K53" i="6"/>
  <c r="G23" i="6"/>
  <c r="K56" i="6"/>
  <c r="G26" i="6"/>
  <c r="K51" i="6"/>
  <c r="G21" i="6"/>
  <c r="K54" i="6"/>
  <c r="G24" i="6"/>
  <c r="K52" i="6"/>
  <c r="G22" i="6"/>
  <c r="K61" i="6"/>
  <c r="G31" i="6"/>
  <c r="K44" i="6"/>
  <c r="G14" i="6"/>
  <c r="K50" i="6"/>
  <c r="G20" i="6"/>
  <c r="K60" i="6"/>
  <c r="G30" i="6"/>
  <c r="P12" i="12"/>
  <c r="F5" i="1"/>
  <c r="O5" i="1" s="1"/>
  <c r="N4" i="3" s="1"/>
  <c r="D9" i="1"/>
  <c r="N8" i="10"/>
  <c r="H4" i="15"/>
  <c r="B103" i="15" s="1"/>
  <c r="I4" i="3"/>
  <c r="I4" i="15" s="1"/>
  <c r="C103" i="15" s="1"/>
  <c r="J4" i="3"/>
  <c r="J4" i="15" s="1"/>
  <c r="D103" i="15" s="1"/>
  <c r="H20" i="4"/>
  <c r="C6" i="7"/>
  <c r="L67" i="13"/>
  <c r="N67" i="13" s="1"/>
  <c r="B6" i="7"/>
  <c r="K67" i="13"/>
  <c r="M67" i="13" s="1"/>
  <c r="G18" i="7"/>
  <c r="M6" i="1"/>
  <c r="H5" i="3" s="1"/>
  <c r="M34" i="1"/>
  <c r="H33" i="3" s="1"/>
  <c r="AC29" i="13"/>
  <c r="S21" i="13"/>
  <c r="T17" i="13" s="1"/>
  <c r="U21" i="13"/>
  <c r="V17" i="13" s="1"/>
  <c r="AC59" i="13"/>
  <c r="Z21" i="13"/>
  <c r="AA17" i="13" s="1"/>
  <c r="AM17" i="13" s="1"/>
  <c r="N14" i="12"/>
  <c r="R14" i="12" s="1"/>
  <c r="L14" i="12"/>
  <c r="N21" i="12"/>
  <c r="L13" i="12"/>
  <c r="M26" i="12"/>
  <c r="M22" i="12"/>
  <c r="N33" i="12"/>
  <c r="K9" i="10"/>
  <c r="V5" i="6"/>
  <c r="F4" i="6" s="1"/>
  <c r="G3" i="11"/>
  <c r="L3" i="11" s="1"/>
  <c r="K4" i="1"/>
  <c r="B3" i="3" s="1"/>
  <c r="F3" i="11"/>
  <c r="L22" i="12"/>
  <c r="F15" i="1" s="1"/>
  <c r="M34" i="12"/>
  <c r="M30" i="12"/>
  <c r="N25" i="12"/>
  <c r="N17" i="12"/>
  <c r="N11" i="12"/>
  <c r="R11" i="12" s="1"/>
  <c r="M39" i="12"/>
  <c r="M25" i="12"/>
  <c r="M38" i="12"/>
  <c r="T24" i="13"/>
  <c r="E30" i="13" s="1"/>
  <c r="V24" i="13"/>
  <c r="G30" i="13" s="1"/>
  <c r="M13" i="12"/>
  <c r="Q13" i="12" s="1"/>
  <c r="M14" i="12"/>
  <c r="Q14" i="12" s="1"/>
  <c r="L25" i="12"/>
  <c r="F18" i="1" s="1"/>
  <c r="N24" i="12"/>
  <c r="N32" i="12"/>
  <c r="L21" i="12"/>
  <c r="F14" i="1" s="1"/>
  <c r="N39" i="12"/>
  <c r="N40" i="12"/>
  <c r="M12" i="12"/>
  <c r="Q12" i="12" s="1"/>
  <c r="N13" i="12"/>
  <c r="R13" i="12" s="1"/>
  <c r="N30" i="12"/>
  <c r="M40" i="12"/>
  <c r="U24" i="13"/>
  <c r="F30" i="13" s="1"/>
  <c r="S24" i="13"/>
  <c r="D30" i="13" s="1"/>
  <c r="R24" i="13"/>
  <c r="C30" i="13" s="1"/>
  <c r="N20" i="12"/>
  <c r="N29" i="12"/>
  <c r="N35" i="12"/>
  <c r="N36" i="12"/>
  <c r="N12" i="12"/>
  <c r="R12" i="12" s="1"/>
  <c r="N31" i="12"/>
  <c r="M28" i="12"/>
  <c r="M24" i="12"/>
  <c r="M27" i="12"/>
  <c r="M20" i="12"/>
  <c r="M33" i="12"/>
  <c r="M18" i="12"/>
  <c r="L23" i="12"/>
  <c r="F16" i="1" s="1"/>
  <c r="L11" i="12"/>
  <c r="L19" i="12"/>
  <c r="F12" i="1" s="1"/>
  <c r="L15" i="12"/>
  <c r="F8" i="1" s="1"/>
  <c r="M29" i="12"/>
  <c r="N26" i="12"/>
  <c r="M36" i="12"/>
  <c r="M16" i="12"/>
  <c r="M19" i="12"/>
  <c r="M21" i="12"/>
  <c r="M32" i="12"/>
  <c r="M23" i="12"/>
  <c r="L41" i="12"/>
  <c r="L26" i="12"/>
  <c r="F19" i="1" s="1"/>
  <c r="N34" i="12"/>
  <c r="N22" i="12"/>
  <c r="N23" i="12"/>
  <c r="N18" i="12"/>
  <c r="L17" i="12"/>
  <c r="F10" i="1" s="1"/>
  <c r="AH24" i="13"/>
  <c r="AH30" i="13" s="1"/>
  <c r="AF24" i="13"/>
  <c r="AF30" i="13" s="1"/>
  <c r="M32" i="13"/>
  <c r="AA31" i="13"/>
  <c r="N32" i="13"/>
  <c r="AB31" i="13"/>
  <c r="J33" i="13"/>
  <c r="X32" i="13"/>
  <c r="L33" i="13"/>
  <c r="Z32" i="13"/>
  <c r="K32" i="13"/>
  <c r="Y31" i="13"/>
  <c r="I32" i="13"/>
  <c r="W31" i="13"/>
  <c r="AG24" i="13"/>
  <c r="AG30" i="13" s="1"/>
  <c r="AE24" i="13"/>
  <c r="AE30" i="13" s="1"/>
  <c r="AD24" i="13"/>
  <c r="AD30" i="13" s="1"/>
  <c r="B28" i="12"/>
  <c r="E27" i="12"/>
  <c r="L27" i="12" s="1"/>
  <c r="F20" i="1" s="1"/>
  <c r="S8" i="6"/>
  <c r="E7" i="6" s="1"/>
  <c r="S7" i="6"/>
  <c r="E6" i="6" s="1"/>
  <c r="L36" i="6" l="1"/>
  <c r="H6" i="6"/>
  <c r="M34" i="6"/>
  <c r="I4" i="6"/>
  <c r="E13" i="6"/>
  <c r="E22" i="6"/>
  <c r="L37" i="6"/>
  <c r="E29" i="6"/>
  <c r="E12" i="6"/>
  <c r="E30" i="6"/>
  <c r="E9" i="6"/>
  <c r="E31" i="6"/>
  <c r="E21" i="6"/>
  <c r="E11" i="6"/>
  <c r="E19" i="6"/>
  <c r="E10" i="6"/>
  <c r="E32" i="6"/>
  <c r="H7" i="6"/>
  <c r="E20" i="6"/>
  <c r="E15" i="6"/>
  <c r="E14" i="6"/>
  <c r="E28" i="6"/>
  <c r="E27" i="6"/>
  <c r="E18" i="6"/>
  <c r="E33" i="6"/>
  <c r="E17" i="6"/>
  <c r="E8" i="6"/>
  <c r="E23" i="6"/>
  <c r="E24" i="6"/>
  <c r="E26" i="6"/>
  <c r="E16" i="6"/>
  <c r="E25" i="6"/>
  <c r="K3" i="11"/>
  <c r="E4" i="1"/>
  <c r="P14" i="12"/>
  <c r="F7" i="1"/>
  <c r="O7" i="1" s="1"/>
  <c r="N6" i="3" s="1"/>
  <c r="V19" i="13"/>
  <c r="P13" i="12"/>
  <c r="F6" i="1"/>
  <c r="O6" i="1" s="1"/>
  <c r="N5" i="3" s="1"/>
  <c r="T19" i="13"/>
  <c r="W19" i="13" s="1"/>
  <c r="AN11" i="13" s="1"/>
  <c r="V15" i="13"/>
  <c r="P11" i="12"/>
  <c r="F4" i="1"/>
  <c r="T15" i="13"/>
  <c r="P41" i="12"/>
  <c r="F34" i="1"/>
  <c r="T16" i="13"/>
  <c r="N4" i="15"/>
  <c r="B165" i="15" s="1"/>
  <c r="O4" i="3"/>
  <c r="O4" i="15" s="1"/>
  <c r="C165" i="15" s="1"/>
  <c r="P4" i="3"/>
  <c r="P4" i="15" s="1"/>
  <c r="D165" i="15" s="1"/>
  <c r="V16" i="13"/>
  <c r="D10" i="1"/>
  <c r="N9" i="10"/>
  <c r="H33" i="15"/>
  <c r="B132" i="15" s="1"/>
  <c r="I33" i="3"/>
  <c r="I33" i="15" s="1"/>
  <c r="C132" i="15" s="1"/>
  <c r="J33" i="3"/>
  <c r="J33" i="15" s="1"/>
  <c r="D132" i="15" s="1"/>
  <c r="H5" i="15"/>
  <c r="B104" i="15" s="1"/>
  <c r="I5" i="3"/>
  <c r="I5" i="15" s="1"/>
  <c r="C104" i="15" s="1"/>
  <c r="J5" i="3"/>
  <c r="J5" i="15" s="1"/>
  <c r="D104" i="15" s="1"/>
  <c r="H21" i="4"/>
  <c r="B3" i="15"/>
  <c r="B40" i="15" s="1"/>
  <c r="D3" i="3"/>
  <c r="D3" i="15" s="1"/>
  <c r="D40" i="15" s="1"/>
  <c r="C3" i="3"/>
  <c r="C3" i="15" s="1"/>
  <c r="C40" i="15" s="1"/>
  <c r="C7" i="7"/>
  <c r="L68" i="13"/>
  <c r="N68" i="13" s="1"/>
  <c r="B7" i="7"/>
  <c r="K68" i="13"/>
  <c r="M68" i="13" s="1"/>
  <c r="G19" i="7"/>
  <c r="O34" i="1"/>
  <c r="N33" i="3" s="1"/>
  <c r="AA19" i="13"/>
  <c r="AN17" i="13" s="1"/>
  <c r="AA15" i="13"/>
  <c r="AK17" i="13" s="1"/>
  <c r="W15" i="13"/>
  <c r="AK11" i="13" s="1"/>
  <c r="AA16" i="13"/>
  <c r="AL17" i="13" s="1"/>
  <c r="W17" i="13"/>
  <c r="AM11" i="13" s="1"/>
  <c r="AM7" i="13" s="1"/>
  <c r="AM12" i="13" s="1"/>
  <c r="AM13" i="13" s="1"/>
  <c r="AM14" i="13" s="1"/>
  <c r="AM15" i="13" s="1"/>
  <c r="AM16" i="13" s="1"/>
  <c r="AC24" i="13"/>
  <c r="AC30" i="13" s="1"/>
  <c r="AC31" i="13" s="1"/>
  <c r="K10" i="10"/>
  <c r="V6" i="6"/>
  <c r="F5" i="6" s="1"/>
  <c r="E31" i="13"/>
  <c r="G31" i="13"/>
  <c r="F31" i="13"/>
  <c r="D31" i="13"/>
  <c r="C31" i="13"/>
  <c r="AH31" i="13"/>
  <c r="AF31" i="13"/>
  <c r="AE31" i="13"/>
  <c r="AD31" i="13"/>
  <c r="AG31" i="13"/>
  <c r="I33" i="13"/>
  <c r="W32" i="13"/>
  <c r="K33" i="13"/>
  <c r="Y32" i="13"/>
  <c r="L34" i="13"/>
  <c r="Z33" i="13"/>
  <c r="J34" i="13"/>
  <c r="X33" i="13"/>
  <c r="N33" i="13"/>
  <c r="AB32" i="13"/>
  <c r="M33" i="13"/>
  <c r="AA32" i="13"/>
  <c r="B29" i="12"/>
  <c r="E28" i="12"/>
  <c r="L28" i="12" s="1"/>
  <c r="F21" i="1" s="1"/>
  <c r="L50" i="6" l="1"/>
  <c r="H20" i="6"/>
  <c r="H32" i="6"/>
  <c r="L62" i="6"/>
  <c r="L41" i="6"/>
  <c r="H11" i="6"/>
  <c r="L55" i="6"/>
  <c r="H25" i="6"/>
  <c r="L54" i="6"/>
  <c r="H24" i="6"/>
  <c r="H12" i="6"/>
  <c r="L42" i="6"/>
  <c r="H30" i="6"/>
  <c r="L60" i="6"/>
  <c r="H23" i="6"/>
  <c r="L53" i="6"/>
  <c r="L59" i="6"/>
  <c r="H29" i="6"/>
  <c r="M35" i="6"/>
  <c r="I5" i="6"/>
  <c r="L39" i="6"/>
  <c r="H9" i="6"/>
  <c r="L38" i="6"/>
  <c r="H8" i="6"/>
  <c r="L47" i="6"/>
  <c r="H17" i="6"/>
  <c r="H22" i="6"/>
  <c r="L52" i="6"/>
  <c r="H19" i="6"/>
  <c r="L49" i="6"/>
  <c r="L63" i="6"/>
  <c r="H33" i="6"/>
  <c r="L43" i="6"/>
  <c r="H13" i="6"/>
  <c r="L48" i="6"/>
  <c r="H18" i="6"/>
  <c r="L51" i="6"/>
  <c r="H21" i="6"/>
  <c r="L57" i="6"/>
  <c r="H27" i="6"/>
  <c r="L45" i="6"/>
  <c r="H15" i="6"/>
  <c r="H16" i="6"/>
  <c r="L46" i="6"/>
  <c r="L58" i="6"/>
  <c r="H28" i="6"/>
  <c r="H10" i="6"/>
  <c r="L40" i="6"/>
  <c r="H31" i="6"/>
  <c r="L61" i="6"/>
  <c r="L56" i="6"/>
  <c r="H26" i="6"/>
  <c r="L44" i="6"/>
  <c r="H14" i="6"/>
  <c r="N4" i="1"/>
  <c r="K3" i="3" s="1"/>
  <c r="N5" i="15"/>
  <c r="B166" i="15" s="1"/>
  <c r="O5" i="3"/>
  <c r="O5" i="15" s="1"/>
  <c r="C166" i="15" s="1"/>
  <c r="P5" i="3"/>
  <c r="P5" i="15" s="1"/>
  <c r="D166" i="15" s="1"/>
  <c r="N33" i="15"/>
  <c r="B194" i="15" s="1"/>
  <c r="O33" i="3"/>
  <c r="O33" i="15" s="1"/>
  <c r="C194" i="15" s="1"/>
  <c r="P33" i="3"/>
  <c r="P33" i="15" s="1"/>
  <c r="D194" i="15" s="1"/>
  <c r="N6" i="15"/>
  <c r="B167" i="15" s="1"/>
  <c r="O6" i="3"/>
  <c r="O6" i="15" s="1"/>
  <c r="C167" i="15" s="1"/>
  <c r="P6" i="3"/>
  <c r="P6" i="15" s="1"/>
  <c r="D167" i="15" s="1"/>
  <c r="O4" i="1"/>
  <c r="N3" i="3" s="1"/>
  <c r="AN7" i="13"/>
  <c r="AN12" i="13" s="1"/>
  <c r="AN13" i="13" s="1"/>
  <c r="AN14" i="13" s="1"/>
  <c r="AN15" i="13" s="1"/>
  <c r="AN16" i="13" s="1"/>
  <c r="AK7" i="13"/>
  <c r="AK12" i="13" s="1"/>
  <c r="AK13" i="13" s="1"/>
  <c r="AK14" i="13" s="1"/>
  <c r="AK15" i="13" s="1"/>
  <c r="AK16" i="13" s="1"/>
  <c r="W16" i="13"/>
  <c r="AL11" i="13" s="1"/>
  <c r="AL7" i="13" s="1"/>
  <c r="AL12" i="13" s="1"/>
  <c r="AL13" i="13" s="1"/>
  <c r="AL14" i="13" s="1"/>
  <c r="AL15" i="13" s="1"/>
  <c r="AL16" i="13" s="1"/>
  <c r="D11" i="1"/>
  <c r="N10" i="10"/>
  <c r="H22" i="4"/>
  <c r="C8" i="7"/>
  <c r="L69" i="13"/>
  <c r="N69" i="13" s="1"/>
  <c r="P15" i="12"/>
  <c r="M7" i="1"/>
  <c r="H6" i="3" s="1"/>
  <c r="B8" i="7"/>
  <c r="K69" i="13"/>
  <c r="M69" i="13" s="1"/>
  <c r="G20" i="7"/>
  <c r="Q15" i="12"/>
  <c r="R15" i="12"/>
  <c r="K11" i="10"/>
  <c r="V8" i="6"/>
  <c r="F7" i="6" s="1"/>
  <c r="V7" i="6"/>
  <c r="F6" i="6" s="1"/>
  <c r="E32" i="13"/>
  <c r="G32" i="13"/>
  <c r="F32" i="13"/>
  <c r="D32" i="13"/>
  <c r="C32" i="13"/>
  <c r="AD32" i="13"/>
  <c r="AE32" i="13"/>
  <c r="AF32" i="13"/>
  <c r="AG32" i="13"/>
  <c r="AH32" i="13"/>
  <c r="AC32" i="13"/>
  <c r="J35" i="13"/>
  <c r="X34" i="13"/>
  <c r="M34" i="13"/>
  <c r="AA33" i="13"/>
  <c r="N34" i="13"/>
  <c r="AB33" i="13"/>
  <c r="L35" i="13"/>
  <c r="Z34" i="13"/>
  <c r="AD91" i="13" s="1"/>
  <c r="K34" i="13"/>
  <c r="Y33" i="13"/>
  <c r="I34" i="13"/>
  <c r="W33" i="13"/>
  <c r="B30" i="12"/>
  <c r="E29" i="12"/>
  <c r="L29" i="12" s="1"/>
  <c r="F22" i="1" s="1"/>
  <c r="F16" i="6" l="1"/>
  <c r="F22" i="6"/>
  <c r="F21" i="6"/>
  <c r="M37" i="6"/>
  <c r="F29" i="6"/>
  <c r="F12" i="6"/>
  <c r="F30" i="6"/>
  <c r="F32" i="6"/>
  <c r="F10" i="6"/>
  <c r="F9" i="6"/>
  <c r="F31" i="6"/>
  <c r="F20" i="6"/>
  <c r="I7" i="6"/>
  <c r="F11" i="6"/>
  <c r="F19" i="6"/>
  <c r="F28" i="6"/>
  <c r="F33" i="6"/>
  <c r="F14" i="6"/>
  <c r="F18" i="6"/>
  <c r="F23" i="6"/>
  <c r="F26" i="6"/>
  <c r="F8" i="6"/>
  <c r="F13" i="6"/>
  <c r="F17" i="6"/>
  <c r="F25" i="6"/>
  <c r="F15" i="6"/>
  <c r="F24" i="6"/>
  <c r="F27" i="6"/>
  <c r="M36" i="6"/>
  <c r="I6" i="6"/>
  <c r="K3" i="15"/>
  <c r="B133" i="15" s="1"/>
  <c r="M3" i="3"/>
  <c r="M3" i="15" s="1"/>
  <c r="D133" i="15" s="1"/>
  <c r="L3" i="3"/>
  <c r="L3" i="15" s="1"/>
  <c r="C133" i="15" s="1"/>
  <c r="N3" i="15"/>
  <c r="B164" i="15" s="1"/>
  <c r="P3" i="3"/>
  <c r="P3" i="15" s="1"/>
  <c r="D164" i="15" s="1"/>
  <c r="O3" i="3"/>
  <c r="O3" i="15" s="1"/>
  <c r="C164" i="15" s="1"/>
  <c r="D12" i="1"/>
  <c r="N11" i="10"/>
  <c r="H6" i="15"/>
  <c r="B105" i="15" s="1"/>
  <c r="J6" i="3"/>
  <c r="J6" i="15" s="1"/>
  <c r="D105" i="15" s="1"/>
  <c r="I6" i="3"/>
  <c r="I6" i="15" s="1"/>
  <c r="C105" i="15" s="1"/>
  <c r="H23" i="4"/>
  <c r="C9" i="7"/>
  <c r="L70" i="13"/>
  <c r="N70" i="13" s="1"/>
  <c r="O8" i="1"/>
  <c r="N7" i="3" s="1"/>
  <c r="M8" i="1"/>
  <c r="H7" i="3" s="1"/>
  <c r="B9" i="7"/>
  <c r="K70" i="13"/>
  <c r="M70" i="13" s="1"/>
  <c r="G21" i="7"/>
  <c r="R16" i="12"/>
  <c r="P16" i="12"/>
  <c r="Q16" i="12"/>
  <c r="K12" i="10"/>
  <c r="E33" i="13"/>
  <c r="G33" i="13"/>
  <c r="F33" i="13"/>
  <c r="D33" i="13"/>
  <c r="C33" i="13"/>
  <c r="AH33" i="13"/>
  <c r="AF33" i="13"/>
  <c r="AG33" i="13"/>
  <c r="AD33" i="13"/>
  <c r="AE33" i="13"/>
  <c r="AC33" i="13"/>
  <c r="I35" i="13"/>
  <c r="W34" i="13"/>
  <c r="AC91" i="13" s="1"/>
  <c r="AE91" i="13" s="1"/>
  <c r="M35" i="13"/>
  <c r="AA34" i="13"/>
  <c r="K35" i="13"/>
  <c r="Y34" i="13"/>
  <c r="L36" i="13"/>
  <c r="Z35" i="13"/>
  <c r="N35" i="13"/>
  <c r="AB34" i="13"/>
  <c r="J36" i="13"/>
  <c r="X35" i="13"/>
  <c r="B31" i="12"/>
  <c r="E30" i="12"/>
  <c r="L30" i="12" s="1"/>
  <c r="F23" i="1" s="1"/>
  <c r="M44" i="6" l="1"/>
  <c r="I14" i="6"/>
  <c r="I10" i="6"/>
  <c r="M40" i="6"/>
  <c r="I28" i="6"/>
  <c r="M58" i="6"/>
  <c r="I11" i="6"/>
  <c r="M41" i="6"/>
  <c r="I9" i="6"/>
  <c r="M39" i="6"/>
  <c r="I27" i="6"/>
  <c r="M57" i="6"/>
  <c r="M62" i="6"/>
  <c r="I32" i="6"/>
  <c r="I20" i="6"/>
  <c r="M50" i="6"/>
  <c r="M48" i="6"/>
  <c r="I18" i="6"/>
  <c r="M49" i="6"/>
  <c r="I19" i="6"/>
  <c r="I33" i="6"/>
  <c r="M63" i="6"/>
  <c r="I22" i="6"/>
  <c r="M52" i="6"/>
  <c r="I23" i="6"/>
  <c r="M53" i="6"/>
  <c r="I31" i="6"/>
  <c r="M61" i="6"/>
  <c r="M54" i="6"/>
  <c r="I24" i="6"/>
  <c r="I30" i="6"/>
  <c r="M60" i="6"/>
  <c r="M45" i="6"/>
  <c r="I15" i="6"/>
  <c r="I12" i="6"/>
  <c r="M42" i="6"/>
  <c r="M55" i="6"/>
  <c r="I25" i="6"/>
  <c r="I29" i="6"/>
  <c r="M59" i="6"/>
  <c r="M47" i="6"/>
  <c r="I17" i="6"/>
  <c r="I13" i="6"/>
  <c r="M43" i="6"/>
  <c r="I21" i="6"/>
  <c r="M51" i="6"/>
  <c r="M38" i="6"/>
  <c r="I8" i="6"/>
  <c r="M56" i="6"/>
  <c r="I26" i="6"/>
  <c r="M46" i="6"/>
  <c r="I16" i="6"/>
  <c r="N7" i="15"/>
  <c r="B168" i="15" s="1"/>
  <c r="O7" i="3"/>
  <c r="O7" i="15" s="1"/>
  <c r="C168" i="15" s="1"/>
  <c r="P7" i="3"/>
  <c r="P7" i="15" s="1"/>
  <c r="D168" i="15" s="1"/>
  <c r="D13" i="1"/>
  <c r="N12" i="10"/>
  <c r="H7" i="15"/>
  <c r="B106" i="15" s="1"/>
  <c r="I7" i="3"/>
  <c r="I7" i="15" s="1"/>
  <c r="C106" i="15" s="1"/>
  <c r="J7" i="3"/>
  <c r="J7" i="15" s="1"/>
  <c r="D106" i="15" s="1"/>
  <c r="H24" i="4"/>
  <c r="C10" i="7"/>
  <c r="L71" i="13"/>
  <c r="N71" i="13" s="1"/>
  <c r="B10" i="7"/>
  <c r="K71" i="13"/>
  <c r="M71" i="13" s="1"/>
  <c r="G22" i="7"/>
  <c r="O9" i="1"/>
  <c r="N8" i="3" s="1"/>
  <c r="Q17" i="12"/>
  <c r="P17" i="12"/>
  <c r="R17" i="12"/>
  <c r="M9" i="1"/>
  <c r="H8" i="3" s="1"/>
  <c r="K13" i="10"/>
  <c r="E34" i="13"/>
  <c r="G34" i="13"/>
  <c r="F34" i="13"/>
  <c r="D34" i="13"/>
  <c r="C34" i="13"/>
  <c r="AD34" i="13"/>
  <c r="AG34" i="13"/>
  <c r="AF34" i="13"/>
  <c r="AD94" i="13" s="1"/>
  <c r="AE34" i="13"/>
  <c r="AH34" i="13"/>
  <c r="AC34" i="13"/>
  <c r="AC94" i="13" s="1"/>
  <c r="J37" i="13"/>
  <c r="X36" i="13"/>
  <c r="N36" i="13"/>
  <c r="AB35" i="13"/>
  <c r="L37" i="13"/>
  <c r="Z36" i="13"/>
  <c r="K36" i="13"/>
  <c r="Y35" i="13"/>
  <c r="M36" i="13"/>
  <c r="AA35" i="13"/>
  <c r="I36" i="13"/>
  <c r="W35" i="13"/>
  <c r="B32" i="12"/>
  <c r="E31" i="12"/>
  <c r="L31" i="12" s="1"/>
  <c r="F24" i="1" s="1"/>
  <c r="N8" i="15" l="1"/>
  <c r="B169" i="15" s="1"/>
  <c r="O8" i="3"/>
  <c r="O8" i="15" s="1"/>
  <c r="C169" i="15" s="1"/>
  <c r="P8" i="3"/>
  <c r="P8" i="15" s="1"/>
  <c r="D169" i="15" s="1"/>
  <c r="D14" i="1"/>
  <c r="N13" i="10"/>
  <c r="H8" i="15"/>
  <c r="B107" i="15" s="1"/>
  <c r="I8" i="3"/>
  <c r="I8" i="15" s="1"/>
  <c r="C107" i="15" s="1"/>
  <c r="J8" i="3"/>
  <c r="J8" i="15" s="1"/>
  <c r="D107" i="15" s="1"/>
  <c r="H25" i="4"/>
  <c r="AE94" i="13"/>
  <c r="AE92" i="13" s="1"/>
  <c r="AD104" i="13" s="1"/>
  <c r="C11" i="7"/>
  <c r="L72" i="13"/>
  <c r="N72" i="13" s="1"/>
  <c r="O10" i="1"/>
  <c r="N9" i="3" s="1"/>
  <c r="M10" i="1"/>
  <c r="H9" i="3" s="1"/>
  <c r="B11" i="7"/>
  <c r="K72" i="13"/>
  <c r="M72" i="13" s="1"/>
  <c r="G23" i="7"/>
  <c r="P18" i="12"/>
  <c r="R18" i="12"/>
  <c r="Q18" i="12"/>
  <c r="K14" i="10"/>
  <c r="E35" i="13"/>
  <c r="G35" i="13"/>
  <c r="F35" i="13"/>
  <c r="D35" i="13"/>
  <c r="C35" i="13"/>
  <c r="AE35" i="13"/>
  <c r="AH35" i="13"/>
  <c r="AF35" i="13"/>
  <c r="AG35" i="13"/>
  <c r="AD35" i="13"/>
  <c r="AC35" i="13"/>
  <c r="K37" i="13"/>
  <c r="Y36" i="13"/>
  <c r="L38" i="13"/>
  <c r="Z37" i="13"/>
  <c r="I37" i="13"/>
  <c r="W36" i="13"/>
  <c r="N37" i="13"/>
  <c r="AB36" i="13"/>
  <c r="M37" i="13"/>
  <c r="AA36" i="13"/>
  <c r="J38" i="13"/>
  <c r="X37" i="13"/>
  <c r="B33" i="12"/>
  <c r="E32" i="12"/>
  <c r="L32" i="12" s="1"/>
  <c r="F25" i="1" s="1"/>
  <c r="N9" i="15" l="1"/>
  <c r="B170" i="15" s="1"/>
  <c r="O9" i="3"/>
  <c r="O9" i="15" s="1"/>
  <c r="C170" i="15" s="1"/>
  <c r="P9" i="3"/>
  <c r="P9" i="15" s="1"/>
  <c r="D170" i="15" s="1"/>
  <c r="AE90" i="13"/>
  <c r="AE89" i="13"/>
  <c r="AD103" i="13" s="1"/>
  <c r="AE88" i="13"/>
  <c r="AD105" i="13" s="1"/>
  <c r="D15" i="1"/>
  <c r="N14" i="10"/>
  <c r="H9" i="15"/>
  <c r="B108" i="15" s="1"/>
  <c r="I9" i="3"/>
  <c r="I9" i="15" s="1"/>
  <c r="C108" i="15" s="1"/>
  <c r="J9" i="3"/>
  <c r="J9" i="15" s="1"/>
  <c r="D108" i="15" s="1"/>
  <c r="H26" i="4"/>
  <c r="C12" i="7"/>
  <c r="L73" i="13"/>
  <c r="N73" i="13" s="1"/>
  <c r="B12" i="7"/>
  <c r="K73" i="13"/>
  <c r="M73" i="13" s="1"/>
  <c r="G24" i="7"/>
  <c r="M11" i="1"/>
  <c r="H10" i="3" s="1"/>
  <c r="R19" i="12"/>
  <c r="Q19" i="12"/>
  <c r="P19" i="12"/>
  <c r="O11" i="1"/>
  <c r="N10" i="3" s="1"/>
  <c r="K15" i="10"/>
  <c r="E36" i="13"/>
  <c r="G36" i="13"/>
  <c r="F36" i="13"/>
  <c r="D36" i="13"/>
  <c r="C36" i="13"/>
  <c r="AD36" i="13"/>
  <c r="AH36" i="13"/>
  <c r="AG36" i="13"/>
  <c r="AF36" i="13"/>
  <c r="AE36" i="13"/>
  <c r="AC36" i="13"/>
  <c r="M38" i="13"/>
  <c r="AA37" i="13"/>
  <c r="N38" i="13"/>
  <c r="AB37" i="13"/>
  <c r="L39" i="13"/>
  <c r="Z38" i="13"/>
  <c r="J39" i="13"/>
  <c r="X38" i="13"/>
  <c r="I38" i="13"/>
  <c r="W37" i="13"/>
  <c r="K38" i="13"/>
  <c r="Y37" i="13"/>
  <c r="B34" i="12"/>
  <c r="E33" i="12"/>
  <c r="L33" i="12" s="1"/>
  <c r="F26" i="1" s="1"/>
  <c r="N10" i="15" l="1"/>
  <c r="B171" i="15" s="1"/>
  <c r="P10" i="3"/>
  <c r="P10" i="15" s="1"/>
  <c r="D171" i="15" s="1"/>
  <c r="O10" i="3"/>
  <c r="O10" i="15" s="1"/>
  <c r="C171" i="15" s="1"/>
  <c r="D16" i="1"/>
  <c r="N15" i="10"/>
  <c r="H10" i="15"/>
  <c r="B109" i="15" s="1"/>
  <c r="I10" i="3"/>
  <c r="I10" i="15" s="1"/>
  <c r="C109" i="15" s="1"/>
  <c r="J10" i="3"/>
  <c r="J10" i="15" s="1"/>
  <c r="D109" i="15" s="1"/>
  <c r="H27" i="4"/>
  <c r="C13" i="7"/>
  <c r="L74" i="13"/>
  <c r="N74" i="13" s="1"/>
  <c r="P20" i="12"/>
  <c r="R20" i="12"/>
  <c r="Q20" i="12"/>
  <c r="M12" i="1"/>
  <c r="H11" i="3" s="1"/>
  <c r="B13" i="7"/>
  <c r="K74" i="13"/>
  <c r="M74" i="13" s="1"/>
  <c r="G25" i="7"/>
  <c r="O12" i="1"/>
  <c r="N11" i="3" s="1"/>
  <c r="K16" i="10"/>
  <c r="E37" i="13"/>
  <c r="G37" i="13"/>
  <c r="F37" i="13"/>
  <c r="D37" i="13"/>
  <c r="C37" i="13"/>
  <c r="AG37" i="13"/>
  <c r="AH37" i="13"/>
  <c r="AE37" i="13"/>
  <c r="AF37" i="13"/>
  <c r="AD37" i="13"/>
  <c r="AC37" i="13"/>
  <c r="J40" i="13"/>
  <c r="X39" i="13"/>
  <c r="K39" i="13"/>
  <c r="Y38" i="13"/>
  <c r="N39" i="13"/>
  <c r="AB38" i="13"/>
  <c r="I39" i="13"/>
  <c r="W38" i="13"/>
  <c r="L40" i="13"/>
  <c r="Z39" i="13"/>
  <c r="AH78" i="13" s="1"/>
  <c r="M39" i="13"/>
  <c r="AA38" i="13"/>
  <c r="B35" i="12"/>
  <c r="E34" i="12"/>
  <c r="L34" i="12" s="1"/>
  <c r="F27" i="1" s="1"/>
  <c r="N11" i="15" l="1"/>
  <c r="B172" i="15" s="1"/>
  <c r="O11" i="3"/>
  <c r="O11" i="15" s="1"/>
  <c r="C172" i="15" s="1"/>
  <c r="P11" i="3"/>
  <c r="P11" i="15" s="1"/>
  <c r="D172" i="15" s="1"/>
  <c r="D17" i="1"/>
  <c r="N16" i="10"/>
  <c r="H11" i="15"/>
  <c r="B110" i="15" s="1"/>
  <c r="I11" i="3"/>
  <c r="I11" i="15" s="1"/>
  <c r="C110" i="15" s="1"/>
  <c r="J11" i="3"/>
  <c r="J11" i="15" s="1"/>
  <c r="D110" i="15" s="1"/>
  <c r="H28" i="4"/>
  <c r="C14" i="7"/>
  <c r="L75" i="13"/>
  <c r="N75" i="13" s="1"/>
  <c r="B14" i="7"/>
  <c r="K75" i="13"/>
  <c r="M75" i="13" s="1"/>
  <c r="G26" i="7"/>
  <c r="M13" i="1"/>
  <c r="H12" i="3" s="1"/>
  <c r="Q21" i="12"/>
  <c r="R21" i="12"/>
  <c r="P21" i="12"/>
  <c r="O13" i="1"/>
  <c r="N12" i="3" s="1"/>
  <c r="K17" i="10"/>
  <c r="E38" i="13"/>
  <c r="G38" i="13"/>
  <c r="F38" i="13"/>
  <c r="D38" i="13"/>
  <c r="C38" i="13"/>
  <c r="AD38" i="13"/>
  <c r="AE38" i="13"/>
  <c r="AF38" i="13"/>
  <c r="AH38" i="13"/>
  <c r="AG38" i="13"/>
  <c r="AC38" i="13"/>
  <c r="L41" i="13"/>
  <c r="Z40" i="13"/>
  <c r="K40" i="13"/>
  <c r="Y39" i="13"/>
  <c r="M40" i="13"/>
  <c r="AA39" i="13"/>
  <c r="I40" i="13"/>
  <c r="W39" i="13"/>
  <c r="AG78" i="13" s="1"/>
  <c r="AI78" i="13" s="1"/>
  <c r="N40" i="13"/>
  <c r="AB39" i="13"/>
  <c r="J41" i="13"/>
  <c r="X40" i="13"/>
  <c r="B36" i="12"/>
  <c r="E35" i="12"/>
  <c r="L35" i="12" s="1"/>
  <c r="F28" i="1" s="1"/>
  <c r="N12" i="15" l="1"/>
  <c r="B173" i="15" s="1"/>
  <c r="P12" i="3"/>
  <c r="P12" i="15" s="1"/>
  <c r="D173" i="15" s="1"/>
  <c r="O12" i="3"/>
  <c r="O12" i="15" s="1"/>
  <c r="C173" i="15" s="1"/>
  <c r="D18" i="1"/>
  <c r="N17" i="10"/>
  <c r="H12" i="15"/>
  <c r="B111" i="15" s="1"/>
  <c r="I12" i="3"/>
  <c r="I12" i="15" s="1"/>
  <c r="C111" i="15" s="1"/>
  <c r="J12" i="3"/>
  <c r="J12" i="15" s="1"/>
  <c r="D111" i="15" s="1"/>
  <c r="H29" i="4"/>
  <c r="C15" i="7"/>
  <c r="L76" i="13"/>
  <c r="N76" i="13" s="1"/>
  <c r="M14" i="1"/>
  <c r="H13" i="3" s="1"/>
  <c r="O14" i="1"/>
  <c r="N13" i="3" s="1"/>
  <c r="P22" i="12"/>
  <c r="R22" i="12"/>
  <c r="Q22" i="12"/>
  <c r="B15" i="7"/>
  <c r="K76" i="13"/>
  <c r="M76" i="13" s="1"/>
  <c r="G27" i="7"/>
  <c r="K18" i="10"/>
  <c r="E39" i="13"/>
  <c r="G39" i="13"/>
  <c r="F39" i="13"/>
  <c r="D39" i="13"/>
  <c r="C39" i="13"/>
  <c r="AG39" i="13"/>
  <c r="AH39" i="13"/>
  <c r="AE39" i="13"/>
  <c r="AF39" i="13"/>
  <c r="AH81" i="13" s="1"/>
  <c r="AD39" i="13"/>
  <c r="AC39" i="13"/>
  <c r="AG81" i="13" s="1"/>
  <c r="N41" i="13"/>
  <c r="AB40" i="13"/>
  <c r="I41" i="13"/>
  <c r="W40" i="13"/>
  <c r="M41" i="13"/>
  <c r="AA40" i="13"/>
  <c r="J42" i="13"/>
  <c r="X41" i="13"/>
  <c r="K41" i="13"/>
  <c r="Y40" i="13"/>
  <c r="L42" i="13"/>
  <c r="Z41" i="13"/>
  <c r="B37" i="12"/>
  <c r="E36" i="12"/>
  <c r="L36" i="12" s="1"/>
  <c r="F29" i="1" s="1"/>
  <c r="N13" i="15" l="1"/>
  <c r="B174" i="15" s="1"/>
  <c r="O13" i="3"/>
  <c r="O13" i="15" s="1"/>
  <c r="C174" i="15" s="1"/>
  <c r="P13" i="3"/>
  <c r="P13" i="15" s="1"/>
  <c r="D174" i="15" s="1"/>
  <c r="D19" i="1"/>
  <c r="N18" i="10"/>
  <c r="H13" i="15"/>
  <c r="B112" i="15" s="1"/>
  <c r="I13" i="3"/>
  <c r="I13" i="15" s="1"/>
  <c r="C112" i="15" s="1"/>
  <c r="J13" i="3"/>
  <c r="J13" i="15" s="1"/>
  <c r="D112" i="15" s="1"/>
  <c r="H30" i="4"/>
  <c r="AI81" i="13"/>
  <c r="AI76" i="13" s="1"/>
  <c r="AE103" i="13" s="1"/>
  <c r="C16" i="7"/>
  <c r="L77" i="13"/>
  <c r="N77" i="13" s="1"/>
  <c r="B16" i="7"/>
  <c r="K77" i="13"/>
  <c r="M77" i="13" s="1"/>
  <c r="G28" i="7"/>
  <c r="M15" i="1"/>
  <c r="H14" i="3" s="1"/>
  <c r="R23" i="12"/>
  <c r="Q23" i="12"/>
  <c r="P23" i="12"/>
  <c r="O15" i="1"/>
  <c r="N14" i="3" s="1"/>
  <c r="K19" i="10"/>
  <c r="E40" i="13"/>
  <c r="G40" i="13"/>
  <c r="F40" i="13"/>
  <c r="D40" i="13"/>
  <c r="C40" i="13"/>
  <c r="AH40" i="13"/>
  <c r="AF40" i="13"/>
  <c r="AE40" i="13"/>
  <c r="AD40" i="13"/>
  <c r="AG40" i="13"/>
  <c r="AC40" i="13"/>
  <c r="L43" i="13"/>
  <c r="Z42" i="13"/>
  <c r="J43" i="13"/>
  <c r="X42" i="13"/>
  <c r="K42" i="13"/>
  <c r="Y41" i="13"/>
  <c r="I42" i="13"/>
  <c r="W41" i="13"/>
  <c r="M42" i="13"/>
  <c r="AA41" i="13"/>
  <c r="N42" i="13"/>
  <c r="AB41" i="13"/>
  <c r="B38" i="12"/>
  <c r="E37" i="12"/>
  <c r="L37" i="12" s="1"/>
  <c r="F30" i="1" s="1"/>
  <c r="AI75" i="13" l="1"/>
  <c r="AI79" i="13"/>
  <c r="AE104" i="13" s="1"/>
  <c r="N14" i="15"/>
  <c r="B175" i="15" s="1"/>
  <c r="O14" i="3"/>
  <c r="O14" i="15" s="1"/>
  <c r="C175" i="15" s="1"/>
  <c r="P14" i="3"/>
  <c r="P14" i="15" s="1"/>
  <c r="D175" i="15" s="1"/>
  <c r="AI77" i="13"/>
  <c r="D20" i="1"/>
  <c r="N19" i="10"/>
  <c r="H14" i="15"/>
  <c r="B113" i="15" s="1"/>
  <c r="I14" i="3"/>
  <c r="I14" i="15" s="1"/>
  <c r="C113" i="15" s="1"/>
  <c r="J14" i="3"/>
  <c r="J14" i="15" s="1"/>
  <c r="D113" i="15" s="1"/>
  <c r="H31" i="4"/>
  <c r="AE105" i="13"/>
  <c r="C17" i="7"/>
  <c r="L78" i="13"/>
  <c r="N78" i="13" s="1"/>
  <c r="M16" i="1"/>
  <c r="H15" i="3" s="1"/>
  <c r="P24" i="12"/>
  <c r="Q24" i="12"/>
  <c r="R24" i="12"/>
  <c r="B17" i="7"/>
  <c r="K78" i="13"/>
  <c r="M78" i="13" s="1"/>
  <c r="G29" i="7"/>
  <c r="O16" i="1"/>
  <c r="N15" i="3" s="1"/>
  <c r="K20" i="10"/>
  <c r="E41" i="13"/>
  <c r="G41" i="13"/>
  <c r="F41" i="13"/>
  <c r="D41" i="13"/>
  <c r="C41" i="13"/>
  <c r="AE41" i="13"/>
  <c r="AF41" i="13"/>
  <c r="AG41" i="13"/>
  <c r="AD41" i="13"/>
  <c r="AH41" i="13"/>
  <c r="AC41" i="13"/>
  <c r="I43" i="13"/>
  <c r="W42" i="13"/>
  <c r="K43" i="13"/>
  <c r="Y42" i="13"/>
  <c r="M43" i="13"/>
  <c r="AA42" i="13"/>
  <c r="J44" i="13"/>
  <c r="X43" i="13"/>
  <c r="N43" i="13"/>
  <c r="AB42" i="13"/>
  <c r="L44" i="13"/>
  <c r="Z43" i="13"/>
  <c r="B39" i="12"/>
  <c r="E38" i="12"/>
  <c r="L38" i="12" s="1"/>
  <c r="F31" i="1" s="1"/>
  <c r="N15" i="15" l="1"/>
  <c r="B176" i="15" s="1"/>
  <c r="O15" i="3"/>
  <c r="O15" i="15" s="1"/>
  <c r="C176" i="15" s="1"/>
  <c r="P15" i="3"/>
  <c r="P15" i="15" s="1"/>
  <c r="D176" i="15" s="1"/>
  <c r="D21" i="1"/>
  <c r="N20" i="10"/>
  <c r="H15" i="15"/>
  <c r="B114" i="15" s="1"/>
  <c r="I15" i="3"/>
  <c r="I15" i="15" s="1"/>
  <c r="C114" i="15" s="1"/>
  <c r="J15" i="3"/>
  <c r="J15" i="15" s="1"/>
  <c r="D114" i="15" s="1"/>
  <c r="H32" i="4"/>
  <c r="C18" i="7"/>
  <c r="L79" i="13"/>
  <c r="N79" i="13" s="1"/>
  <c r="Q25" i="12"/>
  <c r="R25" i="12"/>
  <c r="P25" i="12"/>
  <c r="B18" i="7"/>
  <c r="K79" i="13"/>
  <c r="M79" i="13" s="1"/>
  <c r="G30" i="7"/>
  <c r="O17" i="1"/>
  <c r="N16" i="3" s="1"/>
  <c r="M17" i="1"/>
  <c r="H16" i="3" s="1"/>
  <c r="K21" i="10"/>
  <c r="E42" i="13"/>
  <c r="G42" i="13"/>
  <c r="F42" i="13"/>
  <c r="D42" i="13"/>
  <c r="C42" i="13"/>
  <c r="AG42" i="13"/>
  <c r="AH42" i="13"/>
  <c r="AD42" i="13"/>
  <c r="AF42" i="13"/>
  <c r="AE42" i="13"/>
  <c r="AC42" i="13"/>
  <c r="L45" i="13"/>
  <c r="Z44" i="13"/>
  <c r="J45" i="13"/>
  <c r="X44" i="13"/>
  <c r="K44" i="13"/>
  <c r="Y43" i="13"/>
  <c r="M44" i="13"/>
  <c r="AA43" i="13"/>
  <c r="N44" i="13"/>
  <c r="AB43" i="13"/>
  <c r="I44" i="13"/>
  <c r="W43" i="13"/>
  <c r="B40" i="12"/>
  <c r="E40" i="12" s="1"/>
  <c r="L40" i="12" s="1"/>
  <c r="F33" i="1" s="1"/>
  <c r="E39" i="12"/>
  <c r="L39" i="12" s="1"/>
  <c r="F32" i="1" s="1"/>
  <c r="N16" i="15" l="1"/>
  <c r="B177" i="15" s="1"/>
  <c r="O16" i="3"/>
  <c r="O16" i="15" s="1"/>
  <c r="C177" i="15" s="1"/>
  <c r="P16" i="3"/>
  <c r="P16" i="15" s="1"/>
  <c r="D177" i="15" s="1"/>
  <c r="D22" i="1"/>
  <c r="N21" i="10"/>
  <c r="H16" i="15"/>
  <c r="B115" i="15" s="1"/>
  <c r="J16" i="3"/>
  <c r="J16" i="15" s="1"/>
  <c r="D115" i="15" s="1"/>
  <c r="I16" i="3"/>
  <c r="I16" i="15" s="1"/>
  <c r="C115" i="15" s="1"/>
  <c r="H33" i="4"/>
  <c r="AG91" i="13"/>
  <c r="AH91" i="13"/>
  <c r="AI91" i="13" s="1"/>
  <c r="C19" i="7"/>
  <c r="L80" i="13"/>
  <c r="N80" i="13" s="1"/>
  <c r="M18" i="1"/>
  <c r="H17" i="3" s="1"/>
  <c r="B19" i="7"/>
  <c r="K80" i="13"/>
  <c r="M80" i="13" s="1"/>
  <c r="G31" i="7"/>
  <c r="R26" i="12"/>
  <c r="Q26" i="12"/>
  <c r="P26" i="12"/>
  <c r="O18" i="1"/>
  <c r="N17" i="3" s="1"/>
  <c r="K22" i="10"/>
  <c r="E43" i="13"/>
  <c r="G43" i="13"/>
  <c r="F43" i="13"/>
  <c r="D43" i="13"/>
  <c r="C43" i="13"/>
  <c r="AE43" i="13"/>
  <c r="AH43" i="13"/>
  <c r="AF43" i="13"/>
  <c r="AD43" i="13"/>
  <c r="AG43" i="13"/>
  <c r="AC43" i="13"/>
  <c r="M45" i="13"/>
  <c r="AA44" i="13"/>
  <c r="N45" i="13"/>
  <c r="AB44" i="13"/>
  <c r="K45" i="13"/>
  <c r="Y44" i="13"/>
  <c r="I45" i="13"/>
  <c r="W44" i="13"/>
  <c r="J46" i="13"/>
  <c r="X45" i="13"/>
  <c r="L46" i="13"/>
  <c r="Z45" i="13"/>
  <c r="N17" i="15" l="1"/>
  <c r="B178" i="15" s="1"/>
  <c r="O17" i="3"/>
  <c r="O17" i="15" s="1"/>
  <c r="C178" i="15" s="1"/>
  <c r="P17" i="3"/>
  <c r="P17" i="15" s="1"/>
  <c r="D178" i="15" s="1"/>
  <c r="D23" i="1"/>
  <c r="N22" i="10"/>
  <c r="H17" i="15"/>
  <c r="B116" i="15" s="1"/>
  <c r="I17" i="3"/>
  <c r="I17" i="15" s="1"/>
  <c r="C116" i="15" s="1"/>
  <c r="J17" i="3"/>
  <c r="J17" i="15" s="1"/>
  <c r="D116" i="15" s="1"/>
  <c r="C20" i="7"/>
  <c r="L81" i="13"/>
  <c r="N81" i="13" s="1"/>
  <c r="R27" i="12"/>
  <c r="Q27" i="12"/>
  <c r="P27" i="12"/>
  <c r="M19" i="1"/>
  <c r="H18" i="3" s="1"/>
  <c r="B20" i="7"/>
  <c r="K81" i="13"/>
  <c r="M81" i="13" s="1"/>
  <c r="G32" i="7"/>
  <c r="O19" i="1"/>
  <c r="N18" i="3" s="1"/>
  <c r="K23" i="10"/>
  <c r="E44" i="13"/>
  <c r="G44" i="13"/>
  <c r="F44" i="13"/>
  <c r="D44" i="13"/>
  <c r="C44" i="13"/>
  <c r="AF44" i="13"/>
  <c r="AH94" i="13" s="1"/>
  <c r="AH44" i="13"/>
  <c r="AD44" i="13"/>
  <c r="AG44" i="13"/>
  <c r="AE44" i="13"/>
  <c r="AC44" i="13"/>
  <c r="AG94" i="13" s="1"/>
  <c r="L47" i="13"/>
  <c r="Z46" i="13"/>
  <c r="N46" i="13"/>
  <c r="AB45" i="13"/>
  <c r="J47" i="13"/>
  <c r="X46" i="13"/>
  <c r="I46" i="13"/>
  <c r="W45" i="13"/>
  <c r="K46" i="13"/>
  <c r="Y45" i="13"/>
  <c r="M46" i="13"/>
  <c r="AA45" i="13"/>
  <c r="N18" i="15" l="1"/>
  <c r="B179" i="15" s="1"/>
  <c r="O18" i="3"/>
  <c r="O18" i="15" s="1"/>
  <c r="C179" i="15" s="1"/>
  <c r="P18" i="3"/>
  <c r="P18" i="15" s="1"/>
  <c r="D179" i="15" s="1"/>
  <c r="D24" i="1"/>
  <c r="N23" i="10"/>
  <c r="H18" i="15"/>
  <c r="B117" i="15" s="1"/>
  <c r="J18" i="3"/>
  <c r="J18" i="15" s="1"/>
  <c r="D117" i="15" s="1"/>
  <c r="I18" i="3"/>
  <c r="I18" i="15" s="1"/>
  <c r="C117" i="15" s="1"/>
  <c r="AI94" i="13"/>
  <c r="AI92" i="13" s="1"/>
  <c r="AF104" i="13" s="1"/>
  <c r="C21" i="7"/>
  <c r="L82" i="13"/>
  <c r="N82" i="13" s="1"/>
  <c r="M20" i="1"/>
  <c r="H19" i="3" s="1"/>
  <c r="B21" i="7"/>
  <c r="K82" i="13"/>
  <c r="M82" i="13" s="1"/>
  <c r="G33" i="7"/>
  <c r="O20" i="1"/>
  <c r="N19" i="3" s="1"/>
  <c r="R28" i="12"/>
  <c r="Q28" i="12"/>
  <c r="P28" i="12"/>
  <c r="K24" i="10"/>
  <c r="E45" i="13"/>
  <c r="G45" i="13"/>
  <c r="F45" i="13"/>
  <c r="D45" i="13"/>
  <c r="C45" i="13"/>
  <c r="AE45" i="13"/>
  <c r="AD45" i="13"/>
  <c r="AH45" i="13"/>
  <c r="AG45" i="13"/>
  <c r="AF45" i="13"/>
  <c r="AC45" i="13"/>
  <c r="K47" i="13"/>
  <c r="Y46" i="13"/>
  <c r="I47" i="13"/>
  <c r="W46" i="13"/>
  <c r="J48" i="13"/>
  <c r="X47" i="13"/>
  <c r="N47" i="13"/>
  <c r="AB46" i="13"/>
  <c r="M47" i="13"/>
  <c r="AA46" i="13"/>
  <c r="L48" i="13"/>
  <c r="Z47" i="13"/>
  <c r="N19" i="15" l="1"/>
  <c r="B180" i="15" s="1"/>
  <c r="O19" i="3"/>
  <c r="O19" i="15" s="1"/>
  <c r="C180" i="15" s="1"/>
  <c r="P19" i="3"/>
  <c r="P19" i="15" s="1"/>
  <c r="D180" i="15" s="1"/>
  <c r="AI90" i="13"/>
  <c r="AI88" i="13"/>
  <c r="AI89" i="13"/>
  <c r="AF103" i="13" s="1"/>
  <c r="D25" i="1"/>
  <c r="N24" i="10"/>
  <c r="H19" i="15"/>
  <c r="B118" i="15" s="1"/>
  <c r="J19" i="3"/>
  <c r="J19" i="15" s="1"/>
  <c r="D118" i="15" s="1"/>
  <c r="I19" i="3"/>
  <c r="I19" i="15" s="1"/>
  <c r="C118" i="15" s="1"/>
  <c r="AF105" i="13"/>
  <c r="C22" i="7"/>
  <c r="L83" i="13"/>
  <c r="N83" i="13" s="1"/>
  <c r="M21" i="1"/>
  <c r="H20" i="3" s="1"/>
  <c r="R29" i="12"/>
  <c r="Q29" i="12"/>
  <c r="P29" i="12"/>
  <c r="B22" i="7"/>
  <c r="K83" i="13"/>
  <c r="M83" i="13" s="1"/>
  <c r="G34" i="7"/>
  <c r="O21" i="1"/>
  <c r="N20" i="3" s="1"/>
  <c r="K25" i="10"/>
  <c r="E46" i="13"/>
  <c r="G46" i="13"/>
  <c r="F46" i="13"/>
  <c r="D46" i="13"/>
  <c r="C46" i="13"/>
  <c r="AF46" i="13"/>
  <c r="AH46" i="13"/>
  <c r="AD46" i="13"/>
  <c r="AG46" i="13"/>
  <c r="AE46" i="13"/>
  <c r="AC46" i="13"/>
  <c r="N48" i="13"/>
  <c r="AB47" i="13"/>
  <c r="J49" i="13"/>
  <c r="X48" i="13"/>
  <c r="I48" i="13"/>
  <c r="W47" i="13"/>
  <c r="L49" i="13"/>
  <c r="Z48" i="13"/>
  <c r="M48" i="13"/>
  <c r="AA47" i="13"/>
  <c r="K48" i="13"/>
  <c r="Y47" i="13"/>
  <c r="N20" i="15" l="1"/>
  <c r="B181" i="15" s="1"/>
  <c r="P20" i="3"/>
  <c r="P20" i="15" s="1"/>
  <c r="D181" i="15" s="1"/>
  <c r="O20" i="3"/>
  <c r="O20" i="15" s="1"/>
  <c r="C181" i="15" s="1"/>
  <c r="D26" i="1"/>
  <c r="N25" i="10"/>
  <c r="H20" i="15"/>
  <c r="B119" i="15" s="1"/>
  <c r="I20" i="3"/>
  <c r="I20" i="15" s="1"/>
  <c r="C119" i="15" s="1"/>
  <c r="J20" i="3"/>
  <c r="J20" i="15" s="1"/>
  <c r="D119" i="15" s="1"/>
  <c r="C23" i="7"/>
  <c r="L84" i="13"/>
  <c r="N84" i="13" s="1"/>
  <c r="R30" i="12"/>
  <c r="Q30" i="12"/>
  <c r="P30" i="12"/>
  <c r="M22" i="1"/>
  <c r="H21" i="3" s="1"/>
  <c r="B23" i="7"/>
  <c r="K84" i="13"/>
  <c r="M84" i="13" s="1"/>
  <c r="G35" i="7"/>
  <c r="O22" i="1"/>
  <c r="N21" i="3" s="1"/>
  <c r="K26" i="10"/>
  <c r="E47" i="13"/>
  <c r="G47" i="13"/>
  <c r="F47" i="13"/>
  <c r="D47" i="13"/>
  <c r="C47" i="13"/>
  <c r="AE47" i="13"/>
  <c r="AG47" i="13"/>
  <c r="AD47" i="13"/>
  <c r="AH47" i="13"/>
  <c r="AF47" i="13"/>
  <c r="AC47" i="13"/>
  <c r="M49" i="13"/>
  <c r="AA48" i="13"/>
  <c r="K49" i="13"/>
  <c r="Y48" i="13"/>
  <c r="L50" i="13"/>
  <c r="Z49" i="13"/>
  <c r="AL78" i="13" s="1"/>
  <c r="I49" i="13"/>
  <c r="W48" i="13"/>
  <c r="J50" i="13"/>
  <c r="X49" i="13"/>
  <c r="N49" i="13"/>
  <c r="AB48" i="13"/>
  <c r="N21" i="15" l="1"/>
  <c r="B182" i="15" s="1"/>
  <c r="O21" i="3"/>
  <c r="O21" i="15" s="1"/>
  <c r="C182" i="15" s="1"/>
  <c r="P21" i="3"/>
  <c r="P21" i="15" s="1"/>
  <c r="D182" i="15" s="1"/>
  <c r="D27" i="1"/>
  <c r="N26" i="10"/>
  <c r="H21" i="15"/>
  <c r="B120" i="15" s="1"/>
  <c r="I21" i="3"/>
  <c r="I21" i="15" s="1"/>
  <c r="C120" i="15" s="1"/>
  <c r="J21" i="3"/>
  <c r="J21" i="15" s="1"/>
  <c r="D120" i="15" s="1"/>
  <c r="C24" i="7"/>
  <c r="L85" i="13"/>
  <c r="N85" i="13" s="1"/>
  <c r="M23" i="1"/>
  <c r="H22" i="3" s="1"/>
  <c r="O23" i="1"/>
  <c r="N22" i="3" s="1"/>
  <c r="Q31" i="12"/>
  <c r="R31" i="12"/>
  <c r="P31" i="12"/>
  <c r="B24" i="7"/>
  <c r="K85" i="13"/>
  <c r="M85" i="13" s="1"/>
  <c r="G36" i="7"/>
  <c r="K27" i="10"/>
  <c r="E48" i="13"/>
  <c r="G48" i="13"/>
  <c r="F48" i="13"/>
  <c r="D48" i="13"/>
  <c r="C48" i="13"/>
  <c r="AF48" i="13"/>
  <c r="AD48" i="13"/>
  <c r="AG48" i="13"/>
  <c r="AH48" i="13"/>
  <c r="AE48" i="13"/>
  <c r="AC48" i="13"/>
  <c r="N50" i="13"/>
  <c r="AB49" i="13"/>
  <c r="J51" i="13"/>
  <c r="X50" i="13"/>
  <c r="I50" i="13"/>
  <c r="W49" i="13"/>
  <c r="AK78" i="13" s="1"/>
  <c r="AM78" i="13" s="1"/>
  <c r="L51" i="13"/>
  <c r="Z50" i="13"/>
  <c r="K50" i="13"/>
  <c r="Y49" i="13"/>
  <c r="M50" i="13"/>
  <c r="AA49" i="13"/>
  <c r="N22" i="15" l="1"/>
  <c r="B183" i="15" s="1"/>
  <c r="P22" i="3"/>
  <c r="P22" i="15" s="1"/>
  <c r="D183" i="15" s="1"/>
  <c r="O22" i="3"/>
  <c r="O22" i="15" s="1"/>
  <c r="C183" i="15" s="1"/>
  <c r="D28" i="1"/>
  <c r="N27" i="10"/>
  <c r="H22" i="15"/>
  <c r="B121" i="15" s="1"/>
  <c r="I22" i="3"/>
  <c r="I22" i="15" s="1"/>
  <c r="C121" i="15" s="1"/>
  <c r="J22" i="3"/>
  <c r="J22" i="15" s="1"/>
  <c r="D121" i="15" s="1"/>
  <c r="C25" i="7"/>
  <c r="L86" i="13"/>
  <c r="N86" i="13" s="1"/>
  <c r="B25" i="7"/>
  <c r="K86" i="13"/>
  <c r="M86" i="13" s="1"/>
  <c r="G37" i="7"/>
  <c r="M24" i="1"/>
  <c r="H23" i="3" s="1"/>
  <c r="O24" i="1"/>
  <c r="N23" i="3" s="1"/>
  <c r="Q32" i="12"/>
  <c r="R32" i="12"/>
  <c r="P32" i="12"/>
  <c r="K28" i="10"/>
  <c r="E49" i="13"/>
  <c r="G49" i="13"/>
  <c r="F49" i="13"/>
  <c r="D49" i="13"/>
  <c r="C49" i="13"/>
  <c r="AE49" i="13"/>
  <c r="AH49" i="13"/>
  <c r="AD49" i="13"/>
  <c r="AG49" i="13"/>
  <c r="AF49" i="13"/>
  <c r="AL81" i="13" s="1"/>
  <c r="AC49" i="13"/>
  <c r="AK81" i="13" s="1"/>
  <c r="M51" i="13"/>
  <c r="AA50" i="13"/>
  <c r="I51" i="13"/>
  <c r="W50" i="13"/>
  <c r="L52" i="13"/>
  <c r="Z51" i="13"/>
  <c r="J52" i="13"/>
  <c r="X51" i="13"/>
  <c r="K51" i="13"/>
  <c r="Y50" i="13"/>
  <c r="N51" i="13"/>
  <c r="AB50" i="13"/>
  <c r="N23" i="15" l="1"/>
  <c r="B184" i="15" s="1"/>
  <c r="O23" i="3"/>
  <c r="O23" i="15" s="1"/>
  <c r="C184" i="15" s="1"/>
  <c r="P23" i="3"/>
  <c r="P23" i="15" s="1"/>
  <c r="D184" i="15" s="1"/>
  <c r="D29" i="1"/>
  <c r="N28" i="10"/>
  <c r="H23" i="15"/>
  <c r="B122" i="15" s="1"/>
  <c r="I23" i="3"/>
  <c r="I23" i="15" s="1"/>
  <c r="C122" i="15" s="1"/>
  <c r="J23" i="3"/>
  <c r="J23" i="15" s="1"/>
  <c r="D122" i="15" s="1"/>
  <c r="AM81" i="13"/>
  <c r="AM75" i="13" s="1"/>
  <c r="C26" i="7"/>
  <c r="L87" i="13"/>
  <c r="N87" i="13" s="1"/>
  <c r="O25" i="1"/>
  <c r="N24" i="3" s="1"/>
  <c r="Q33" i="12"/>
  <c r="R33" i="12"/>
  <c r="P33" i="12"/>
  <c r="M25" i="1"/>
  <c r="H24" i="3" s="1"/>
  <c r="B26" i="7"/>
  <c r="K87" i="13"/>
  <c r="M87" i="13" s="1"/>
  <c r="G38" i="7"/>
  <c r="K29" i="10"/>
  <c r="E50" i="13"/>
  <c r="G50" i="13"/>
  <c r="F50" i="13"/>
  <c r="D50" i="13"/>
  <c r="C50" i="13"/>
  <c r="AF50" i="13"/>
  <c r="AG50" i="13"/>
  <c r="AH50" i="13"/>
  <c r="AD50" i="13"/>
  <c r="AE50" i="13"/>
  <c r="AC50" i="13"/>
  <c r="K52" i="13"/>
  <c r="Y51" i="13"/>
  <c r="L53" i="13"/>
  <c r="Z52" i="13"/>
  <c r="I52" i="13"/>
  <c r="W51" i="13"/>
  <c r="J53" i="13"/>
  <c r="X52" i="13"/>
  <c r="N52" i="13"/>
  <c r="AB51" i="13"/>
  <c r="M52" i="13"/>
  <c r="AA51" i="13"/>
  <c r="N24" i="15" l="1"/>
  <c r="B185" i="15" s="1"/>
  <c r="O24" i="3"/>
  <c r="O24" i="15" s="1"/>
  <c r="C185" i="15" s="1"/>
  <c r="P24" i="3"/>
  <c r="P24" i="15" s="1"/>
  <c r="D185" i="15" s="1"/>
  <c r="AM79" i="13"/>
  <c r="AG104" i="13" s="1"/>
  <c r="AM76" i="13"/>
  <c r="AG103" i="13" s="1"/>
  <c r="AM77" i="13"/>
  <c r="D30" i="1"/>
  <c r="N29" i="10"/>
  <c r="H24" i="15"/>
  <c r="B123" i="15" s="1"/>
  <c r="I24" i="3"/>
  <c r="I24" i="15" s="1"/>
  <c r="C123" i="15" s="1"/>
  <c r="J24" i="3"/>
  <c r="J24" i="15" s="1"/>
  <c r="D123" i="15" s="1"/>
  <c r="AG105" i="13"/>
  <c r="C27" i="7"/>
  <c r="L88" i="13"/>
  <c r="N88" i="13" s="1"/>
  <c r="Q34" i="12"/>
  <c r="R34" i="12"/>
  <c r="P34" i="12"/>
  <c r="M26" i="1"/>
  <c r="H25" i="3" s="1"/>
  <c r="B27" i="7"/>
  <c r="K88" i="13"/>
  <c r="M88" i="13" s="1"/>
  <c r="G39" i="7"/>
  <c r="O26" i="1"/>
  <c r="N25" i="3" s="1"/>
  <c r="K30" i="10"/>
  <c r="E51" i="13"/>
  <c r="G51" i="13"/>
  <c r="F51" i="13"/>
  <c r="D51" i="13"/>
  <c r="C51" i="13"/>
  <c r="AE51" i="13"/>
  <c r="AD51" i="13"/>
  <c r="AH51" i="13"/>
  <c r="AG51" i="13"/>
  <c r="AF51" i="13"/>
  <c r="AC51" i="13"/>
  <c r="M53" i="13"/>
  <c r="AA52" i="13"/>
  <c r="J54" i="13"/>
  <c r="X53" i="13"/>
  <c r="I53" i="13"/>
  <c r="W52" i="13"/>
  <c r="L54" i="13"/>
  <c r="Z53" i="13"/>
  <c r="N53" i="13"/>
  <c r="AB52" i="13"/>
  <c r="K53" i="13"/>
  <c r="Y52" i="13"/>
  <c r="N25" i="15" l="1"/>
  <c r="B186" i="15" s="1"/>
  <c r="O25" i="3"/>
  <c r="O25" i="15" s="1"/>
  <c r="C186" i="15" s="1"/>
  <c r="P25" i="3"/>
  <c r="P25" i="15" s="1"/>
  <c r="D186" i="15" s="1"/>
  <c r="D31" i="1"/>
  <c r="N30" i="10"/>
  <c r="H25" i="15"/>
  <c r="B124" i="15" s="1"/>
  <c r="I25" i="3"/>
  <c r="I25" i="15" s="1"/>
  <c r="C124" i="15" s="1"/>
  <c r="J25" i="3"/>
  <c r="J25" i="15" s="1"/>
  <c r="D124" i="15" s="1"/>
  <c r="C28" i="7"/>
  <c r="L89" i="13"/>
  <c r="N89" i="13" s="1"/>
  <c r="Q35" i="12"/>
  <c r="R35" i="12"/>
  <c r="P35" i="12"/>
  <c r="B28" i="7"/>
  <c r="K89" i="13"/>
  <c r="M89" i="13" s="1"/>
  <c r="G40" i="7"/>
  <c r="M27" i="1"/>
  <c r="H26" i="3" s="1"/>
  <c r="O27" i="1"/>
  <c r="N26" i="3" s="1"/>
  <c r="K32" i="10"/>
  <c r="K31" i="10"/>
  <c r="E52" i="13"/>
  <c r="G52" i="13"/>
  <c r="F52" i="13"/>
  <c r="D52" i="13"/>
  <c r="C52" i="13"/>
  <c r="AG52" i="13"/>
  <c r="AH52" i="13"/>
  <c r="AF52" i="13"/>
  <c r="AD52" i="13"/>
  <c r="AE52" i="13"/>
  <c r="AC52" i="13"/>
  <c r="N54" i="13"/>
  <c r="AB53" i="13"/>
  <c r="J55" i="13"/>
  <c r="X54" i="13"/>
  <c r="K54" i="13"/>
  <c r="Y53" i="13"/>
  <c r="L55" i="13"/>
  <c r="Z54" i="13"/>
  <c r="AL91" i="13" s="1"/>
  <c r="I54" i="13"/>
  <c r="W53" i="13"/>
  <c r="M54" i="13"/>
  <c r="AA53" i="13"/>
  <c r="N26" i="15" l="1"/>
  <c r="B187" i="15" s="1"/>
  <c r="O26" i="3"/>
  <c r="O26" i="15" s="1"/>
  <c r="C187" i="15" s="1"/>
  <c r="P26" i="3"/>
  <c r="P26" i="15" s="1"/>
  <c r="D187" i="15" s="1"/>
  <c r="D32" i="1"/>
  <c r="N31" i="10"/>
  <c r="D33" i="1"/>
  <c r="N32" i="10"/>
  <c r="H26" i="15"/>
  <c r="B125" i="15" s="1"/>
  <c r="J26" i="3"/>
  <c r="J26" i="15" s="1"/>
  <c r="D125" i="15" s="1"/>
  <c r="I26" i="3"/>
  <c r="I26" i="15" s="1"/>
  <c r="C125" i="15" s="1"/>
  <c r="C29" i="7"/>
  <c r="L90" i="13"/>
  <c r="N90" i="13" s="1"/>
  <c r="R36" i="12"/>
  <c r="Q36" i="12"/>
  <c r="P36" i="12"/>
  <c r="M28" i="1"/>
  <c r="H27" i="3" s="1"/>
  <c r="B29" i="7"/>
  <c r="K90" i="13"/>
  <c r="M90" i="13" s="1"/>
  <c r="G41" i="7"/>
  <c r="O28" i="1"/>
  <c r="N27" i="3" s="1"/>
  <c r="E53" i="13"/>
  <c r="G53" i="13"/>
  <c r="F53" i="13"/>
  <c r="D53" i="13"/>
  <c r="C53" i="13"/>
  <c r="AE53" i="13"/>
  <c r="AD53" i="13"/>
  <c r="AH53" i="13"/>
  <c r="AF53" i="13"/>
  <c r="AG53" i="13"/>
  <c r="AC53" i="13"/>
  <c r="K55" i="13"/>
  <c r="Y54" i="13"/>
  <c r="M55" i="13"/>
  <c r="AA54" i="13"/>
  <c r="J56" i="13"/>
  <c r="X55" i="13"/>
  <c r="L56" i="13"/>
  <c r="Z55" i="13"/>
  <c r="I55" i="13"/>
  <c r="W54" i="13"/>
  <c r="AK91" i="13" s="1"/>
  <c r="AM91" i="13" s="1"/>
  <c r="N55" i="13"/>
  <c r="AB54" i="13"/>
  <c r="N27" i="15" l="1"/>
  <c r="B188" i="15" s="1"/>
  <c r="O27" i="3"/>
  <c r="O27" i="15" s="1"/>
  <c r="C188" i="15" s="1"/>
  <c r="P27" i="3"/>
  <c r="P27" i="15" s="1"/>
  <c r="D188" i="15" s="1"/>
  <c r="H27" i="15"/>
  <c r="B126" i="15" s="1"/>
  <c r="I27" i="3"/>
  <c r="I27" i="15" s="1"/>
  <c r="C126" i="15" s="1"/>
  <c r="J27" i="3"/>
  <c r="J27" i="15" s="1"/>
  <c r="D126" i="15" s="1"/>
  <c r="C30" i="7"/>
  <c r="L91" i="13"/>
  <c r="N91" i="13" s="1"/>
  <c r="R37" i="12"/>
  <c r="Q37" i="12"/>
  <c r="P37" i="12"/>
  <c r="M29" i="1"/>
  <c r="H28" i="3" s="1"/>
  <c r="B30" i="7"/>
  <c r="K91" i="13"/>
  <c r="M91" i="13" s="1"/>
  <c r="G42" i="7"/>
  <c r="O29" i="1"/>
  <c r="N28" i="3" s="1"/>
  <c r="E54" i="13"/>
  <c r="G54" i="13"/>
  <c r="F54" i="13"/>
  <c r="D54" i="13"/>
  <c r="C54" i="13"/>
  <c r="AG54" i="13"/>
  <c r="AH54" i="13"/>
  <c r="AF54" i="13"/>
  <c r="AL94" i="13" s="1"/>
  <c r="AD54" i="13"/>
  <c r="AE54" i="13"/>
  <c r="AC54" i="13"/>
  <c r="AK94" i="13" s="1"/>
  <c r="N56" i="13"/>
  <c r="AB55" i="13"/>
  <c r="I56" i="13"/>
  <c r="W55" i="13"/>
  <c r="J57" i="13"/>
  <c r="X56" i="13"/>
  <c r="L57" i="13"/>
  <c r="Z56" i="13"/>
  <c r="M56" i="13"/>
  <c r="AA55" i="13"/>
  <c r="K56" i="13"/>
  <c r="Y55" i="13"/>
  <c r="G13" i="11"/>
  <c r="L13" i="11" s="1"/>
  <c r="H13" i="11"/>
  <c r="M13" i="11" s="1"/>
  <c r="F13" i="11"/>
  <c r="C3" i="11"/>
  <c r="K13" i="11" l="1"/>
  <c r="E14" i="1"/>
  <c r="N28" i="15"/>
  <c r="B189" i="15" s="1"/>
  <c r="O28" i="3"/>
  <c r="O28" i="15" s="1"/>
  <c r="C189" i="15" s="1"/>
  <c r="P28" i="3"/>
  <c r="P28" i="15" s="1"/>
  <c r="D189" i="15" s="1"/>
  <c r="H28" i="15"/>
  <c r="B127" i="15" s="1"/>
  <c r="J28" i="3"/>
  <c r="J28" i="15" s="1"/>
  <c r="D127" i="15" s="1"/>
  <c r="I28" i="3"/>
  <c r="I28" i="15" s="1"/>
  <c r="C127" i="15" s="1"/>
  <c r="AM94" i="13"/>
  <c r="AM92" i="13" s="1"/>
  <c r="AH104" i="13" s="1"/>
  <c r="C31" i="7"/>
  <c r="L93" i="13" s="1"/>
  <c r="N93" i="13" s="1"/>
  <c r="L92" i="13"/>
  <c r="N92" i="13" s="1"/>
  <c r="N14" i="1"/>
  <c r="K13" i="3" s="1"/>
  <c r="B31" i="7"/>
  <c r="K92" i="13"/>
  <c r="M92" i="13" s="1"/>
  <c r="G43" i="7"/>
  <c r="M30" i="1"/>
  <c r="H29" i="3" s="1"/>
  <c r="O30" i="1"/>
  <c r="N29" i="3" s="1"/>
  <c r="R38" i="12"/>
  <c r="Q38" i="12"/>
  <c r="P38" i="12"/>
  <c r="E55" i="13"/>
  <c r="G55" i="13"/>
  <c r="F55" i="13"/>
  <c r="D55" i="13"/>
  <c r="C55" i="13"/>
  <c r="AE55" i="13"/>
  <c r="AD55" i="13"/>
  <c r="AF55" i="13"/>
  <c r="AH55" i="13"/>
  <c r="AG55" i="13"/>
  <c r="AC55" i="13"/>
  <c r="K57" i="13"/>
  <c r="Y56" i="13"/>
  <c r="L58" i="13"/>
  <c r="Z58" i="13" s="1"/>
  <c r="Z57" i="13"/>
  <c r="J58" i="13"/>
  <c r="X58" i="13" s="1"/>
  <c r="X57" i="13"/>
  <c r="I57" i="13"/>
  <c r="W56" i="13"/>
  <c r="M57" i="13"/>
  <c r="AA56" i="13"/>
  <c r="N57" i="13"/>
  <c r="AB56" i="13"/>
  <c r="H5" i="11"/>
  <c r="M5" i="11" s="1"/>
  <c r="G5" i="11"/>
  <c r="L5" i="11" s="1"/>
  <c r="F5" i="11"/>
  <c r="H14" i="11"/>
  <c r="M14" i="11" s="1"/>
  <c r="G14" i="11"/>
  <c r="L14" i="11" s="1"/>
  <c r="F14" i="11"/>
  <c r="G4" i="11"/>
  <c r="L4" i="11" s="1"/>
  <c r="H4" i="11"/>
  <c r="M4" i="11" s="1"/>
  <c r="F4" i="11"/>
  <c r="K4" i="11" l="1"/>
  <c r="E5" i="1"/>
  <c r="K14" i="11"/>
  <c r="E15" i="1"/>
  <c r="N15" i="1" s="1"/>
  <c r="K14" i="3" s="1"/>
  <c r="K13" i="15"/>
  <c r="B143" i="15" s="1"/>
  <c r="L13" i="3"/>
  <c r="L13" i="15" s="1"/>
  <c r="C143" i="15" s="1"/>
  <c r="M13" i="3"/>
  <c r="M13" i="15" s="1"/>
  <c r="D143" i="15" s="1"/>
  <c r="K5" i="11"/>
  <c r="E6" i="1"/>
  <c r="N6" i="1" s="1"/>
  <c r="K5" i="3" s="1"/>
  <c r="AM88" i="13"/>
  <c r="AM89" i="13"/>
  <c r="AH103" i="13" s="1"/>
  <c r="N29" i="15"/>
  <c r="B190" i="15" s="1"/>
  <c r="O29" i="3"/>
  <c r="O29" i="15" s="1"/>
  <c r="C190" i="15" s="1"/>
  <c r="P29" i="3"/>
  <c r="P29" i="15" s="1"/>
  <c r="D190" i="15" s="1"/>
  <c r="AM90" i="13"/>
  <c r="H29" i="15"/>
  <c r="B128" i="15" s="1"/>
  <c r="I29" i="3"/>
  <c r="I29" i="15" s="1"/>
  <c r="C128" i="15" s="1"/>
  <c r="J29" i="3"/>
  <c r="J29" i="15" s="1"/>
  <c r="D128" i="15" s="1"/>
  <c r="AH105" i="13"/>
  <c r="N5" i="1"/>
  <c r="K4" i="3" s="1"/>
  <c r="K93" i="13"/>
  <c r="M93" i="13" s="1"/>
  <c r="G44" i="7"/>
  <c r="M31" i="1"/>
  <c r="H30" i="3" s="1"/>
  <c r="Q39" i="12"/>
  <c r="R39" i="12"/>
  <c r="P39" i="12"/>
  <c r="O31" i="1"/>
  <c r="N30" i="3" s="1"/>
  <c r="E56" i="13"/>
  <c r="G56" i="13"/>
  <c r="F56" i="13"/>
  <c r="D56" i="13"/>
  <c r="C56" i="13"/>
  <c r="AG56" i="13"/>
  <c r="AH56" i="13"/>
  <c r="AF56" i="13"/>
  <c r="AD56" i="13"/>
  <c r="AE56" i="13"/>
  <c r="AC56" i="13"/>
  <c r="M58" i="13"/>
  <c r="AA58" i="13" s="1"/>
  <c r="AA57" i="13"/>
  <c r="N58" i="13"/>
  <c r="AB58" i="13" s="1"/>
  <c r="AB57" i="13"/>
  <c r="I58" i="13"/>
  <c r="W58" i="13" s="1"/>
  <c r="W57" i="13"/>
  <c r="K58" i="13"/>
  <c r="Y58" i="13" s="1"/>
  <c r="Y57" i="13"/>
  <c r="F15" i="11"/>
  <c r="G15" i="11"/>
  <c r="L15" i="11" s="1"/>
  <c r="H15" i="11"/>
  <c r="M15" i="11" s="1"/>
  <c r="H6" i="11"/>
  <c r="M6" i="11" s="1"/>
  <c r="F6" i="11"/>
  <c r="G6" i="11"/>
  <c r="L6" i="11" s="1"/>
  <c r="K14" i="15" l="1"/>
  <c r="B144" i="15" s="1"/>
  <c r="L14" i="3"/>
  <c r="L14" i="15" s="1"/>
  <c r="C144" i="15" s="1"/>
  <c r="M14" i="3"/>
  <c r="M14" i="15" s="1"/>
  <c r="D144" i="15" s="1"/>
  <c r="K4" i="15"/>
  <c r="B134" i="15" s="1"/>
  <c r="L4" i="3"/>
  <c r="L4" i="15" s="1"/>
  <c r="C134" i="15" s="1"/>
  <c r="M4" i="3"/>
  <c r="M4" i="15" s="1"/>
  <c r="D134" i="15" s="1"/>
  <c r="K5" i="15"/>
  <c r="B135" i="15" s="1"/>
  <c r="L5" i="3"/>
  <c r="L5" i="15" s="1"/>
  <c r="C135" i="15" s="1"/>
  <c r="M5" i="3"/>
  <c r="M5" i="15" s="1"/>
  <c r="D135" i="15" s="1"/>
  <c r="K15" i="11"/>
  <c r="E16" i="1"/>
  <c r="N16" i="1" s="1"/>
  <c r="K15" i="3" s="1"/>
  <c r="K6" i="11"/>
  <c r="E7" i="1"/>
  <c r="N7" i="1" s="1"/>
  <c r="K6" i="3" s="1"/>
  <c r="N30" i="15"/>
  <c r="B191" i="15" s="1"/>
  <c r="O30" i="3"/>
  <c r="O30" i="15" s="1"/>
  <c r="C191" i="15" s="1"/>
  <c r="P30" i="3"/>
  <c r="P30" i="15" s="1"/>
  <c r="D191" i="15" s="1"/>
  <c r="H30" i="15"/>
  <c r="B129" i="15" s="1"/>
  <c r="I30" i="3"/>
  <c r="I30" i="15" s="1"/>
  <c r="C129" i="15" s="1"/>
  <c r="J30" i="3"/>
  <c r="J30" i="15" s="1"/>
  <c r="D129" i="15" s="1"/>
  <c r="O32" i="1"/>
  <c r="N31" i="3" s="1"/>
  <c r="R40" i="12"/>
  <c r="Q40" i="12"/>
  <c r="P40" i="12"/>
  <c r="M32" i="1"/>
  <c r="H31" i="3" s="1"/>
  <c r="E57" i="13"/>
  <c r="G57" i="13"/>
  <c r="F57" i="13"/>
  <c r="D57" i="13"/>
  <c r="C57" i="13"/>
  <c r="AE57" i="13"/>
  <c r="AD57" i="13"/>
  <c r="AF57" i="13"/>
  <c r="AH57" i="13"/>
  <c r="AG57" i="13"/>
  <c r="AC57" i="13"/>
  <c r="G7" i="11"/>
  <c r="L7" i="11" s="1"/>
  <c r="H7" i="11"/>
  <c r="M7" i="11" s="1"/>
  <c r="F7" i="11"/>
  <c r="F16" i="11"/>
  <c r="G16" i="11"/>
  <c r="L16" i="11" s="1"/>
  <c r="H16" i="11"/>
  <c r="M16" i="11" s="1"/>
  <c r="K6" i="15" l="1"/>
  <c r="B136" i="15" s="1"/>
  <c r="L6" i="3"/>
  <c r="L6" i="15" s="1"/>
  <c r="C136" i="15" s="1"/>
  <c r="M6" i="3"/>
  <c r="M6" i="15" s="1"/>
  <c r="D136" i="15" s="1"/>
  <c r="K15" i="15"/>
  <c r="B145" i="15" s="1"/>
  <c r="L15" i="3"/>
  <c r="L15" i="15" s="1"/>
  <c r="C145" i="15" s="1"/>
  <c r="M15" i="3"/>
  <c r="M15" i="15" s="1"/>
  <c r="D145" i="15" s="1"/>
  <c r="K7" i="11"/>
  <c r="E8" i="1"/>
  <c r="K16" i="11"/>
  <c r="E17" i="1"/>
  <c r="N31" i="15"/>
  <c r="B192" i="15" s="1"/>
  <c r="P31" i="3"/>
  <c r="P31" i="15" s="1"/>
  <c r="D192" i="15" s="1"/>
  <c r="O31" i="3"/>
  <c r="O31" i="15" s="1"/>
  <c r="C192" i="15" s="1"/>
  <c r="H31" i="15"/>
  <c r="B130" i="15" s="1"/>
  <c r="I31" i="3"/>
  <c r="I31" i="15" s="1"/>
  <c r="C130" i="15" s="1"/>
  <c r="J31" i="3"/>
  <c r="J31" i="15" s="1"/>
  <c r="D130" i="15" s="1"/>
  <c r="M33" i="1"/>
  <c r="H32" i="3" s="1"/>
  <c r="O33" i="1"/>
  <c r="N32" i="3" s="1"/>
  <c r="N17" i="1"/>
  <c r="K16" i="3" s="1"/>
  <c r="N8" i="1"/>
  <c r="K7" i="3" s="1"/>
  <c r="E58" i="13"/>
  <c r="G58" i="13"/>
  <c r="F58" i="13"/>
  <c r="D58" i="13"/>
  <c r="C58" i="13"/>
  <c r="AF58" i="13"/>
  <c r="AD58" i="13"/>
  <c r="AG58" i="13"/>
  <c r="AH58" i="13"/>
  <c r="AE58" i="13"/>
  <c r="AC58" i="13"/>
  <c r="H17" i="11"/>
  <c r="M17" i="11" s="1"/>
  <c r="G17" i="11"/>
  <c r="L17" i="11" s="1"/>
  <c r="F17" i="11"/>
  <c r="F8" i="11"/>
  <c r="H8" i="11"/>
  <c r="M8" i="11" s="1"/>
  <c r="G8" i="11"/>
  <c r="L8" i="11" s="1"/>
  <c r="K8" i="11" l="1"/>
  <c r="E9" i="1"/>
  <c r="K7" i="15"/>
  <c r="B137" i="15" s="1"/>
  <c r="L7" i="3"/>
  <c r="L7" i="15" s="1"/>
  <c r="C137" i="15" s="1"/>
  <c r="M7" i="3"/>
  <c r="M7" i="15" s="1"/>
  <c r="D137" i="15" s="1"/>
  <c r="K17" i="11"/>
  <c r="E18" i="1"/>
  <c r="K16" i="15"/>
  <c r="B146" i="15" s="1"/>
  <c r="L16" i="3"/>
  <c r="L16" i="15" s="1"/>
  <c r="C146" i="15" s="1"/>
  <c r="M16" i="3"/>
  <c r="M16" i="15" s="1"/>
  <c r="D146" i="15" s="1"/>
  <c r="N32" i="15"/>
  <c r="B193" i="15" s="1"/>
  <c r="P32" i="3"/>
  <c r="P32" i="15" s="1"/>
  <c r="D193" i="15" s="1"/>
  <c r="O32" i="3"/>
  <c r="O32" i="15" s="1"/>
  <c r="C193" i="15" s="1"/>
  <c r="H32" i="15"/>
  <c r="B131" i="15" s="1"/>
  <c r="I32" i="3"/>
  <c r="I32" i="15" s="1"/>
  <c r="C131" i="15" s="1"/>
  <c r="J32" i="3"/>
  <c r="J32" i="15" s="1"/>
  <c r="D131" i="15" s="1"/>
  <c r="N9" i="1"/>
  <c r="K8" i="3" s="1"/>
  <c r="N18" i="1"/>
  <c r="K17" i="3" s="1"/>
  <c r="G9" i="11"/>
  <c r="L9" i="11" s="1"/>
  <c r="H9" i="11"/>
  <c r="M9" i="11" s="1"/>
  <c r="F9" i="11"/>
  <c r="F18" i="11"/>
  <c r="H18" i="11"/>
  <c r="M18" i="11" s="1"/>
  <c r="G18" i="11"/>
  <c r="L18" i="11" s="1"/>
  <c r="K8" i="15" l="1"/>
  <c r="B138" i="15" s="1"/>
  <c r="L8" i="3"/>
  <c r="L8" i="15" s="1"/>
  <c r="C138" i="15" s="1"/>
  <c r="M8" i="3"/>
  <c r="M8" i="15" s="1"/>
  <c r="D138" i="15" s="1"/>
  <c r="K17" i="15"/>
  <c r="B147" i="15" s="1"/>
  <c r="M17" i="3"/>
  <c r="M17" i="15" s="1"/>
  <c r="D147" i="15" s="1"/>
  <c r="L17" i="3"/>
  <c r="L17" i="15" s="1"/>
  <c r="C147" i="15" s="1"/>
  <c r="K18" i="11"/>
  <c r="E19" i="1"/>
  <c r="K9" i="11"/>
  <c r="E10" i="1"/>
  <c r="N10" i="1" s="1"/>
  <c r="K9" i="3" s="1"/>
  <c r="N19" i="1"/>
  <c r="K18" i="3" s="1"/>
  <c r="F19" i="11"/>
  <c r="G19" i="11"/>
  <c r="L19" i="11" s="1"/>
  <c r="H19" i="11"/>
  <c r="M19" i="11" s="1"/>
  <c r="F10" i="11"/>
  <c r="H10" i="11"/>
  <c r="M10" i="11" s="1"/>
  <c r="G10" i="11"/>
  <c r="L10" i="11" s="1"/>
  <c r="K9" i="15" l="1"/>
  <c r="B139" i="15" s="1"/>
  <c r="M9" i="3"/>
  <c r="M9" i="15" s="1"/>
  <c r="D139" i="15" s="1"/>
  <c r="L9" i="3"/>
  <c r="L9" i="15" s="1"/>
  <c r="C139" i="15" s="1"/>
  <c r="K18" i="15"/>
  <c r="B148" i="15" s="1"/>
  <c r="L18" i="3"/>
  <c r="L18" i="15" s="1"/>
  <c r="C148" i="15" s="1"/>
  <c r="M18" i="3"/>
  <c r="M18" i="15" s="1"/>
  <c r="D148" i="15" s="1"/>
  <c r="K19" i="11"/>
  <c r="E20" i="1"/>
  <c r="K10" i="11"/>
  <c r="E11" i="1"/>
  <c r="N11" i="1" s="1"/>
  <c r="K10" i="3" s="1"/>
  <c r="N20" i="1"/>
  <c r="K19" i="3" s="1"/>
  <c r="H11" i="11"/>
  <c r="M11" i="11" s="1"/>
  <c r="F11" i="11"/>
  <c r="G11" i="11"/>
  <c r="L11" i="11" s="1"/>
  <c r="H20" i="11"/>
  <c r="M20" i="11" s="1"/>
  <c r="G20" i="11"/>
  <c r="L20" i="11" s="1"/>
  <c r="F20" i="11"/>
  <c r="K10" i="15" l="1"/>
  <c r="B140" i="15" s="1"/>
  <c r="M10" i="3"/>
  <c r="M10" i="15" s="1"/>
  <c r="D140" i="15" s="1"/>
  <c r="L10" i="3"/>
  <c r="L10" i="15" s="1"/>
  <c r="C140" i="15" s="1"/>
  <c r="K19" i="15"/>
  <c r="B149" i="15" s="1"/>
  <c r="L19" i="3"/>
  <c r="L19" i="15" s="1"/>
  <c r="C149" i="15" s="1"/>
  <c r="M19" i="3"/>
  <c r="M19" i="15" s="1"/>
  <c r="D149" i="15" s="1"/>
  <c r="K11" i="11"/>
  <c r="E12" i="1"/>
  <c r="K20" i="11"/>
  <c r="E21" i="1"/>
  <c r="N21" i="1" s="1"/>
  <c r="K20" i="3" s="1"/>
  <c r="N12" i="1"/>
  <c r="K11" i="3" s="1"/>
  <c r="F21" i="11"/>
  <c r="G21" i="11"/>
  <c r="L21" i="11" s="1"/>
  <c r="H21" i="11"/>
  <c r="M21" i="11" s="1"/>
  <c r="G12" i="11"/>
  <c r="L12" i="11" s="1"/>
  <c r="H12" i="11"/>
  <c r="M12" i="11" s="1"/>
  <c r="F12" i="11"/>
  <c r="K21" i="11" l="1"/>
  <c r="E22" i="1"/>
  <c r="K11" i="15"/>
  <c r="B141" i="15" s="1"/>
  <c r="M11" i="3"/>
  <c r="M11" i="15" s="1"/>
  <c r="D141" i="15" s="1"/>
  <c r="L11" i="3"/>
  <c r="L11" i="15" s="1"/>
  <c r="C141" i="15" s="1"/>
  <c r="K12" i="11"/>
  <c r="E13" i="1"/>
  <c r="K20" i="15"/>
  <c r="B150" i="15" s="1"/>
  <c r="L20" i="3"/>
  <c r="L20" i="15" s="1"/>
  <c r="C150" i="15" s="1"/>
  <c r="M20" i="3"/>
  <c r="M20" i="15" s="1"/>
  <c r="D150" i="15" s="1"/>
  <c r="N13" i="1"/>
  <c r="K12" i="3" s="1"/>
  <c r="N22" i="1"/>
  <c r="K21" i="3" s="1"/>
  <c r="F22" i="11"/>
  <c r="G22" i="11"/>
  <c r="L22" i="11" s="1"/>
  <c r="H22" i="11"/>
  <c r="M22" i="11" s="1"/>
  <c r="K12" i="15" l="1"/>
  <c r="B142" i="15" s="1"/>
  <c r="L12" i="3"/>
  <c r="L12" i="15" s="1"/>
  <c r="C142" i="15" s="1"/>
  <c r="M12" i="3"/>
  <c r="M12" i="15" s="1"/>
  <c r="D142" i="15" s="1"/>
  <c r="K22" i="11"/>
  <c r="E23" i="1"/>
  <c r="K21" i="15"/>
  <c r="B151" i="15" s="1"/>
  <c r="L21" i="3"/>
  <c r="L21" i="15" s="1"/>
  <c r="C151" i="15" s="1"/>
  <c r="M21" i="3"/>
  <c r="M21" i="15" s="1"/>
  <c r="D151" i="15" s="1"/>
  <c r="N23" i="1"/>
  <c r="K22" i="3" s="1"/>
  <c r="G23" i="11"/>
  <c r="L23" i="11" s="1"/>
  <c r="F23" i="11"/>
  <c r="H23" i="11"/>
  <c r="M23" i="11" s="1"/>
  <c r="K23" i="11" l="1"/>
  <c r="E24" i="1"/>
  <c r="N24" i="1" s="1"/>
  <c r="K23" i="3" s="1"/>
  <c r="K22" i="15"/>
  <c r="B152" i="15" s="1"/>
  <c r="M22" i="3"/>
  <c r="M22" i="15" s="1"/>
  <c r="D152" i="15" s="1"/>
  <c r="L22" i="3"/>
  <c r="L22" i="15" s="1"/>
  <c r="C152" i="15" s="1"/>
  <c r="F24" i="11"/>
  <c r="G24" i="11"/>
  <c r="L24" i="11" s="1"/>
  <c r="H24" i="11"/>
  <c r="M24" i="11" s="1"/>
  <c r="K23" i="15" l="1"/>
  <c r="B153" i="15" s="1"/>
  <c r="L23" i="3"/>
  <c r="L23" i="15" s="1"/>
  <c r="C153" i="15" s="1"/>
  <c r="M23" i="3"/>
  <c r="M23" i="15" s="1"/>
  <c r="D153" i="15" s="1"/>
  <c r="K24" i="11"/>
  <c r="E25" i="1"/>
  <c r="N25" i="1" s="1"/>
  <c r="K24" i="3" s="1"/>
  <c r="G25" i="11"/>
  <c r="L25" i="11" s="1"/>
  <c r="F25" i="11"/>
  <c r="H25" i="11"/>
  <c r="M25" i="11" s="1"/>
  <c r="K25" i="11" l="1"/>
  <c r="E26" i="1"/>
  <c r="N26" i="1" s="1"/>
  <c r="K25" i="3" s="1"/>
  <c r="K24" i="15"/>
  <c r="B154" i="15" s="1"/>
  <c r="L24" i="3"/>
  <c r="L24" i="15" s="1"/>
  <c r="C154" i="15" s="1"/>
  <c r="M24" i="3"/>
  <c r="M24" i="15" s="1"/>
  <c r="D154" i="15" s="1"/>
  <c r="H26" i="11"/>
  <c r="M26" i="11" s="1"/>
  <c r="G26" i="11"/>
  <c r="L26" i="11" s="1"/>
  <c r="F26" i="11"/>
  <c r="K25" i="15" l="1"/>
  <c r="B155" i="15" s="1"/>
  <c r="L25" i="3"/>
  <c r="L25" i="15" s="1"/>
  <c r="C155" i="15" s="1"/>
  <c r="M25" i="3"/>
  <c r="M25" i="15" s="1"/>
  <c r="D155" i="15" s="1"/>
  <c r="K26" i="11"/>
  <c r="E27" i="1"/>
  <c r="N27" i="1"/>
  <c r="K26" i="3" s="1"/>
  <c r="H27" i="11"/>
  <c r="M27" i="11" s="1"/>
  <c r="F27" i="11"/>
  <c r="G27" i="11"/>
  <c r="L27" i="11" s="1"/>
  <c r="K26" i="15" l="1"/>
  <c r="B156" i="15" s="1"/>
  <c r="L26" i="3"/>
  <c r="L26" i="15" s="1"/>
  <c r="C156" i="15" s="1"/>
  <c r="M26" i="3"/>
  <c r="M26" i="15" s="1"/>
  <c r="D156" i="15" s="1"/>
  <c r="K27" i="11"/>
  <c r="E28" i="1"/>
  <c r="N28" i="1" s="1"/>
  <c r="K27" i="3" s="1"/>
  <c r="G28" i="11"/>
  <c r="L28" i="11" s="1"/>
  <c r="H28" i="11"/>
  <c r="M28" i="11" s="1"/>
  <c r="F28" i="11"/>
  <c r="K27" i="15" l="1"/>
  <c r="B157" i="15" s="1"/>
  <c r="M27" i="3"/>
  <c r="M27" i="15" s="1"/>
  <c r="D157" i="15" s="1"/>
  <c r="L27" i="3"/>
  <c r="L27" i="15" s="1"/>
  <c r="C157" i="15" s="1"/>
  <c r="K28" i="11"/>
  <c r="E29" i="1"/>
  <c r="N29" i="1"/>
  <c r="K28" i="3" s="1"/>
  <c r="G29" i="11"/>
  <c r="L29" i="11" s="1"/>
  <c r="F29" i="11"/>
  <c r="H29" i="11"/>
  <c r="M29" i="11" s="1"/>
  <c r="K29" i="11" l="1"/>
  <c r="E30" i="1"/>
  <c r="K28" i="15"/>
  <c r="B158" i="15" s="1"/>
  <c r="M28" i="3"/>
  <c r="M28" i="15" s="1"/>
  <c r="D158" i="15" s="1"/>
  <c r="L28" i="3"/>
  <c r="L28" i="15" s="1"/>
  <c r="C158" i="15" s="1"/>
  <c r="N30" i="1"/>
  <c r="K29" i="3" s="1"/>
  <c r="G30" i="11"/>
  <c r="L30" i="11" s="1"/>
  <c r="F30" i="11"/>
  <c r="H30" i="11"/>
  <c r="M30" i="11" s="1"/>
  <c r="K29" i="15" l="1"/>
  <c r="B159" i="15" s="1"/>
  <c r="L29" i="3"/>
  <c r="L29" i="15" s="1"/>
  <c r="C159" i="15" s="1"/>
  <c r="M29" i="3"/>
  <c r="M29" i="15" s="1"/>
  <c r="D159" i="15" s="1"/>
  <c r="K30" i="11"/>
  <c r="E31" i="1"/>
  <c r="N31" i="1"/>
  <c r="K30" i="3" s="1"/>
  <c r="H31" i="11"/>
  <c r="M31" i="11" s="1"/>
  <c r="F31" i="11"/>
  <c r="G31" i="11"/>
  <c r="L31" i="11" s="1"/>
  <c r="K31" i="11" l="1"/>
  <c r="E32" i="1"/>
  <c r="K30" i="15"/>
  <c r="B160" i="15" s="1"/>
  <c r="L30" i="3"/>
  <c r="L30" i="15" s="1"/>
  <c r="C160" i="15" s="1"/>
  <c r="M30" i="3"/>
  <c r="M30" i="15" s="1"/>
  <c r="D160" i="15" s="1"/>
  <c r="N32" i="1"/>
  <c r="K31" i="3" s="1"/>
  <c r="G32" i="11"/>
  <c r="L32" i="11" s="1"/>
  <c r="H32" i="11"/>
  <c r="M32" i="11" s="1"/>
  <c r="F32" i="11"/>
  <c r="K32" i="11" l="1"/>
  <c r="E33" i="1"/>
  <c r="K31" i="15"/>
  <c r="B161" i="15" s="1"/>
  <c r="M31" i="3"/>
  <c r="M31" i="15" s="1"/>
  <c r="D161" i="15" s="1"/>
  <c r="L31" i="3"/>
  <c r="L31" i="15" s="1"/>
  <c r="C161" i="15" s="1"/>
  <c r="N33" i="1"/>
  <c r="K32" i="3" s="1"/>
  <c r="F33" i="11"/>
  <c r="G33" i="11"/>
  <c r="L33" i="11" s="1"/>
  <c r="H33" i="11"/>
  <c r="M33" i="11" s="1"/>
  <c r="Q24" i="13"/>
  <c r="K33" i="11" l="1"/>
  <c r="E34" i="1"/>
  <c r="N34" i="1" s="1"/>
  <c r="K33" i="3" s="1"/>
  <c r="K32" i="15"/>
  <c r="B162" i="15" s="1"/>
  <c r="M32" i="3"/>
  <c r="M32" i="15" s="1"/>
  <c r="D162" i="15" s="1"/>
  <c r="L32" i="3"/>
  <c r="L32" i="15" s="1"/>
  <c r="C162" i="15" s="1"/>
  <c r="B30" i="13"/>
  <c r="K33" i="15" l="1"/>
  <c r="B163" i="15" s="1"/>
  <c r="L33" i="3"/>
  <c r="L33" i="15" s="1"/>
  <c r="C163" i="15" s="1"/>
  <c r="M33" i="3"/>
  <c r="M33" i="15" s="1"/>
  <c r="D163" i="15" s="1"/>
  <c r="B31" i="13"/>
  <c r="B32" i="13" l="1"/>
  <c r="B33" i="13" l="1"/>
  <c r="B34" i="13" l="1"/>
  <c r="B35" i="13" l="1"/>
  <c r="B36" i="13" l="1"/>
  <c r="B37" i="13" l="1"/>
  <c r="B38" i="13" l="1"/>
  <c r="B39" i="13" l="1"/>
  <c r="B40" i="13" l="1"/>
  <c r="B41" i="13" l="1"/>
  <c r="B42" i="13" l="1"/>
  <c r="B43" i="13" l="1"/>
  <c r="B44" i="13" l="1"/>
  <c r="B45" i="13" l="1"/>
  <c r="B46" i="13" l="1"/>
  <c r="B47" i="13" l="1"/>
  <c r="B48" i="13" l="1"/>
  <c r="B49" i="13" l="1"/>
  <c r="B50" i="13" l="1"/>
  <c r="B51" i="13" l="1"/>
  <c r="B52" i="13" l="1"/>
  <c r="B53" i="13" l="1"/>
  <c r="B54" i="13" l="1"/>
  <c r="B55" i="13" l="1"/>
  <c r="B56" i="13" l="1"/>
  <c r="B57" i="13" l="1"/>
  <c r="B58" i="13" l="1"/>
  <c r="P45" i="7" l="1"/>
  <c r="B34" i="1" s="1"/>
  <c r="O15" i="7"/>
  <c r="N16" i="7" s="1"/>
  <c r="K34" i="1" l="1"/>
  <c r="B33" i="3" s="1"/>
  <c r="N17" i="7"/>
  <c r="P16" i="7"/>
  <c r="B5" i="1" s="1"/>
  <c r="B33" i="15" l="1"/>
  <c r="B70" i="15" s="1"/>
  <c r="D33" i="3"/>
  <c r="D33" i="15" s="1"/>
  <c r="D70" i="15" s="1"/>
  <c r="C33" i="3"/>
  <c r="C33" i="15" s="1"/>
  <c r="C70" i="15" s="1"/>
  <c r="K5" i="1"/>
  <c r="B4" i="3" s="1"/>
  <c r="N18" i="7"/>
  <c r="P17" i="7"/>
  <c r="B6" i="1" s="1"/>
  <c r="B4" i="15" l="1"/>
  <c r="B41" i="15" s="1"/>
  <c r="C4" i="3"/>
  <c r="C4" i="15" s="1"/>
  <c r="C41" i="15" s="1"/>
  <c r="D4" i="3"/>
  <c r="D4" i="15" s="1"/>
  <c r="D41" i="15" s="1"/>
  <c r="K6" i="1"/>
  <c r="B5" i="3" s="1"/>
  <c r="N19" i="7"/>
  <c r="P18" i="7"/>
  <c r="B7" i="1" s="1"/>
  <c r="B5" i="15" l="1"/>
  <c r="B42" i="15" s="1"/>
  <c r="D5" i="3"/>
  <c r="D5" i="15" s="1"/>
  <c r="D42" i="15" s="1"/>
  <c r="C5" i="3"/>
  <c r="C5" i="15" s="1"/>
  <c r="C42" i="15" s="1"/>
  <c r="K7" i="1"/>
  <c r="B6" i="3" s="1"/>
  <c r="N20" i="7"/>
  <c r="P19" i="7"/>
  <c r="B8" i="1" s="1"/>
  <c r="B6" i="15" l="1"/>
  <c r="B43" i="15" s="1"/>
  <c r="C6" i="3"/>
  <c r="C6" i="15" s="1"/>
  <c r="C43" i="15" s="1"/>
  <c r="D6" i="3"/>
  <c r="D6" i="15" s="1"/>
  <c r="D43" i="15" s="1"/>
  <c r="K8" i="1"/>
  <c r="B7" i="3" s="1"/>
  <c r="N21" i="7"/>
  <c r="P20" i="7"/>
  <c r="B9" i="1" s="1"/>
  <c r="B7" i="15" l="1"/>
  <c r="B44" i="15" s="1"/>
  <c r="D7" i="3"/>
  <c r="D7" i="15" s="1"/>
  <c r="D44" i="15" s="1"/>
  <c r="C7" i="3"/>
  <c r="C7" i="15" s="1"/>
  <c r="C44" i="15" s="1"/>
  <c r="K9" i="1"/>
  <c r="B8" i="3" s="1"/>
  <c r="N22" i="7"/>
  <c r="P21" i="7"/>
  <c r="B10" i="1" s="1"/>
  <c r="B8" i="15" l="1"/>
  <c r="B45" i="15" s="1"/>
  <c r="C8" i="3"/>
  <c r="C8" i="15" s="1"/>
  <c r="C45" i="15" s="1"/>
  <c r="D8" i="3"/>
  <c r="D8" i="15" s="1"/>
  <c r="D45" i="15" s="1"/>
  <c r="K10" i="1"/>
  <c r="B9" i="3" s="1"/>
  <c r="N23" i="7"/>
  <c r="P22" i="7"/>
  <c r="B11" i="1" s="1"/>
  <c r="B9" i="15" l="1"/>
  <c r="B46" i="15" s="1"/>
  <c r="C9" i="3"/>
  <c r="C9" i="15" s="1"/>
  <c r="C46" i="15" s="1"/>
  <c r="D9" i="3"/>
  <c r="D9" i="15" s="1"/>
  <c r="D46" i="15" s="1"/>
  <c r="K11" i="1"/>
  <c r="B10" i="3" s="1"/>
  <c r="N24" i="7"/>
  <c r="P23" i="7"/>
  <c r="B12" i="1" s="1"/>
  <c r="B10" i="15" l="1"/>
  <c r="B47" i="15" s="1"/>
  <c r="C10" i="3"/>
  <c r="C10" i="15" s="1"/>
  <c r="C47" i="15" s="1"/>
  <c r="D10" i="3"/>
  <c r="D10" i="15" s="1"/>
  <c r="D47" i="15" s="1"/>
  <c r="K12" i="1"/>
  <c r="B11" i="3" s="1"/>
  <c r="N25" i="7"/>
  <c r="P24" i="7"/>
  <c r="B13" i="1" s="1"/>
  <c r="B11" i="15" l="1"/>
  <c r="B48" i="15" s="1"/>
  <c r="D11" i="3"/>
  <c r="D11" i="15" s="1"/>
  <c r="D48" i="15" s="1"/>
  <c r="C11" i="3"/>
  <c r="C11" i="15" s="1"/>
  <c r="C48" i="15" s="1"/>
  <c r="K13" i="1"/>
  <c r="B12" i="3" s="1"/>
  <c r="N26" i="7"/>
  <c r="P25" i="7"/>
  <c r="B14" i="1" s="1"/>
  <c r="B12" i="15" l="1"/>
  <c r="B49" i="15" s="1"/>
  <c r="D12" i="3"/>
  <c r="D12" i="15" s="1"/>
  <c r="D49" i="15" s="1"/>
  <c r="C12" i="3"/>
  <c r="C12" i="15" s="1"/>
  <c r="C49" i="15" s="1"/>
  <c r="K14" i="1"/>
  <c r="B13" i="3" s="1"/>
  <c r="N27" i="7"/>
  <c r="P26" i="7"/>
  <c r="B15" i="1" s="1"/>
  <c r="B13" i="15" l="1"/>
  <c r="B50" i="15" s="1"/>
  <c r="D13" i="3"/>
  <c r="D13" i="15" s="1"/>
  <c r="D50" i="15" s="1"/>
  <c r="C13" i="3"/>
  <c r="C13" i="15" s="1"/>
  <c r="C50" i="15" s="1"/>
  <c r="K15" i="1"/>
  <c r="B14" i="3" s="1"/>
  <c r="N28" i="7"/>
  <c r="P27" i="7"/>
  <c r="B16" i="1" s="1"/>
  <c r="B14" i="15" l="1"/>
  <c r="B51" i="15" s="1"/>
  <c r="D14" i="3"/>
  <c r="D14" i="15" s="1"/>
  <c r="D51" i="15" s="1"/>
  <c r="C14" i="3"/>
  <c r="C14" i="15" s="1"/>
  <c r="C51" i="15" s="1"/>
  <c r="K16" i="1"/>
  <c r="B15" i="3" s="1"/>
  <c r="N29" i="7"/>
  <c r="P28" i="7"/>
  <c r="B17" i="1" s="1"/>
  <c r="B15" i="15" l="1"/>
  <c r="B52" i="15" s="1"/>
  <c r="D15" i="3"/>
  <c r="D15" i="15" s="1"/>
  <c r="D52" i="15" s="1"/>
  <c r="C15" i="3"/>
  <c r="C15" i="15" s="1"/>
  <c r="C52" i="15" s="1"/>
  <c r="K17" i="1"/>
  <c r="B16" i="3" s="1"/>
  <c r="N30" i="7"/>
  <c r="P29" i="7"/>
  <c r="B18" i="1" s="1"/>
  <c r="B16" i="15" l="1"/>
  <c r="B53" i="15" s="1"/>
  <c r="D16" i="3"/>
  <c r="D16" i="15" s="1"/>
  <c r="D53" i="15" s="1"/>
  <c r="C16" i="3"/>
  <c r="C16" i="15" s="1"/>
  <c r="C53" i="15" s="1"/>
  <c r="K18" i="1"/>
  <c r="B17" i="3" s="1"/>
  <c r="N31" i="7"/>
  <c r="P30" i="7"/>
  <c r="B19" i="1" s="1"/>
  <c r="B17" i="15" l="1"/>
  <c r="B54" i="15" s="1"/>
  <c r="C17" i="3"/>
  <c r="C17" i="15" s="1"/>
  <c r="C54" i="15" s="1"/>
  <c r="D17" i="3"/>
  <c r="D17" i="15" s="1"/>
  <c r="D54" i="15" s="1"/>
  <c r="K19" i="1"/>
  <c r="B18" i="3" s="1"/>
  <c r="N32" i="7"/>
  <c r="P31" i="7"/>
  <c r="B20" i="1" s="1"/>
  <c r="B18" i="15" l="1"/>
  <c r="B55" i="15" s="1"/>
  <c r="D18" i="3"/>
  <c r="D18" i="15" s="1"/>
  <c r="D55" i="15" s="1"/>
  <c r="C18" i="3"/>
  <c r="C18" i="15" s="1"/>
  <c r="C55" i="15" s="1"/>
  <c r="K20" i="1"/>
  <c r="B19" i="3" s="1"/>
  <c r="N33" i="7"/>
  <c r="P32" i="7"/>
  <c r="B21" i="1" s="1"/>
  <c r="B19" i="15" l="1"/>
  <c r="B56" i="15" s="1"/>
  <c r="C19" i="3"/>
  <c r="C19" i="15" s="1"/>
  <c r="C56" i="15" s="1"/>
  <c r="D19" i="3"/>
  <c r="D19" i="15" s="1"/>
  <c r="D56" i="15" s="1"/>
  <c r="K21" i="1"/>
  <c r="B20" i="3" s="1"/>
  <c r="N34" i="7"/>
  <c r="P33" i="7"/>
  <c r="B22" i="1" s="1"/>
  <c r="B20" i="15" l="1"/>
  <c r="B57" i="15" s="1"/>
  <c r="C20" i="3"/>
  <c r="C20" i="15" s="1"/>
  <c r="C57" i="15" s="1"/>
  <c r="D20" i="3"/>
  <c r="D20" i="15" s="1"/>
  <c r="D57" i="15" s="1"/>
  <c r="K22" i="1"/>
  <c r="B21" i="3" s="1"/>
  <c r="N35" i="7"/>
  <c r="P34" i="7"/>
  <c r="B23" i="1" s="1"/>
  <c r="B21" i="15" l="1"/>
  <c r="B58" i="15" s="1"/>
  <c r="D21" i="3"/>
  <c r="D21" i="15" s="1"/>
  <c r="D58" i="15" s="1"/>
  <c r="C21" i="3"/>
  <c r="C21" i="15" s="1"/>
  <c r="C58" i="15" s="1"/>
  <c r="K23" i="1"/>
  <c r="B22" i="3" s="1"/>
  <c r="N36" i="7"/>
  <c r="P35" i="7"/>
  <c r="B24" i="1" s="1"/>
  <c r="B22" i="15" l="1"/>
  <c r="B59" i="15" s="1"/>
  <c r="C22" i="3"/>
  <c r="C22" i="15" s="1"/>
  <c r="C59" i="15" s="1"/>
  <c r="D22" i="3"/>
  <c r="D22" i="15" s="1"/>
  <c r="D59" i="15" s="1"/>
  <c r="K24" i="1"/>
  <c r="B23" i="3" s="1"/>
  <c r="N37" i="7"/>
  <c r="P36" i="7"/>
  <c r="B25" i="1" s="1"/>
  <c r="B23" i="15" l="1"/>
  <c r="B60" i="15" s="1"/>
  <c r="C23" i="3"/>
  <c r="C23" i="15" s="1"/>
  <c r="C60" i="15" s="1"/>
  <c r="D23" i="3"/>
  <c r="D23" i="15" s="1"/>
  <c r="D60" i="15" s="1"/>
  <c r="K25" i="1"/>
  <c r="B24" i="3" s="1"/>
  <c r="N38" i="7"/>
  <c r="P37" i="7"/>
  <c r="B26" i="1" s="1"/>
  <c r="B24" i="15" l="1"/>
  <c r="B61" i="15" s="1"/>
  <c r="C24" i="3"/>
  <c r="C24" i="15" s="1"/>
  <c r="C61" i="15" s="1"/>
  <c r="D24" i="3"/>
  <c r="D24" i="15" s="1"/>
  <c r="D61" i="15" s="1"/>
  <c r="K26" i="1"/>
  <c r="B25" i="3" s="1"/>
  <c r="N39" i="7"/>
  <c r="P38" i="7"/>
  <c r="B27" i="1" s="1"/>
  <c r="B25" i="15" l="1"/>
  <c r="B62" i="15" s="1"/>
  <c r="C25" i="3"/>
  <c r="C25" i="15" s="1"/>
  <c r="C62" i="15" s="1"/>
  <c r="D25" i="3"/>
  <c r="D25" i="15" s="1"/>
  <c r="D62" i="15" s="1"/>
  <c r="K27" i="1"/>
  <c r="B26" i="3" s="1"/>
  <c r="N40" i="7"/>
  <c r="P39" i="7"/>
  <c r="B28" i="1" s="1"/>
  <c r="B26" i="15" l="1"/>
  <c r="B63" i="15" s="1"/>
  <c r="D26" i="3"/>
  <c r="D26" i="15" s="1"/>
  <c r="D63" i="15" s="1"/>
  <c r="C26" i="3"/>
  <c r="C26" i="15" s="1"/>
  <c r="C63" i="15" s="1"/>
  <c r="K28" i="1"/>
  <c r="B27" i="3" s="1"/>
  <c r="N41" i="7"/>
  <c r="P40" i="7"/>
  <c r="B29" i="1" s="1"/>
  <c r="B27" i="15" l="1"/>
  <c r="B64" i="15" s="1"/>
  <c r="C27" i="3"/>
  <c r="C27" i="15" s="1"/>
  <c r="C64" i="15" s="1"/>
  <c r="D27" i="3"/>
  <c r="D27" i="15" s="1"/>
  <c r="D64" i="15" s="1"/>
  <c r="K29" i="1"/>
  <c r="B28" i="3" s="1"/>
  <c r="N42" i="7"/>
  <c r="P41" i="7"/>
  <c r="B30" i="1" s="1"/>
  <c r="B28" i="15" l="1"/>
  <c r="B65" i="15" s="1"/>
  <c r="D28" i="3"/>
  <c r="D28" i="15" s="1"/>
  <c r="D65" i="15" s="1"/>
  <c r="C28" i="3"/>
  <c r="C28" i="15" s="1"/>
  <c r="C65" i="15" s="1"/>
  <c r="K30" i="1"/>
  <c r="B29" i="3" s="1"/>
  <c r="N43" i="7"/>
  <c r="P42" i="7"/>
  <c r="B31" i="1" s="1"/>
  <c r="B29" i="15" l="1"/>
  <c r="B66" i="15" s="1"/>
  <c r="C29" i="3"/>
  <c r="C29" i="15" s="1"/>
  <c r="C66" i="15" s="1"/>
  <c r="D29" i="3"/>
  <c r="D29" i="15" s="1"/>
  <c r="D66" i="15" s="1"/>
  <c r="K31" i="1"/>
  <c r="B30" i="3" s="1"/>
  <c r="N44" i="7"/>
  <c r="P43" i="7"/>
  <c r="B32" i="1" s="1"/>
  <c r="B30" i="15" l="1"/>
  <c r="B67" i="15" s="1"/>
  <c r="C30" i="3"/>
  <c r="C30" i="15" s="1"/>
  <c r="C67" i="15" s="1"/>
  <c r="D30" i="3"/>
  <c r="D30" i="15" s="1"/>
  <c r="D67" i="15" s="1"/>
  <c r="K32" i="1"/>
  <c r="B31" i="3" s="1"/>
  <c r="P44" i="7"/>
  <c r="B33" i="1" s="1"/>
  <c r="B31" i="15" l="1"/>
  <c r="B68" i="15" s="1"/>
  <c r="D31" i="3"/>
  <c r="D31" i="15" s="1"/>
  <c r="D68" i="15" s="1"/>
  <c r="C31" i="3"/>
  <c r="C31" i="15" s="1"/>
  <c r="C68" i="15" s="1"/>
  <c r="K33" i="1"/>
  <c r="B32" i="3" s="1"/>
  <c r="B32" i="15" l="1"/>
  <c r="B69" i="15" s="1"/>
  <c r="D32" i="3"/>
  <c r="D32" i="15" s="1"/>
  <c r="D69" i="15" s="1"/>
  <c r="C32" i="3"/>
  <c r="C32" i="15" s="1"/>
  <c r="C69" i="15" s="1"/>
  <c r="Q40" i="7" l="1"/>
  <c r="AQ116" i="13" s="1"/>
  <c r="AQ117" i="13" s="1"/>
  <c r="Q35" i="7"/>
  <c r="AP116" i="13" s="1"/>
  <c r="AP117" i="13" s="1"/>
  <c r="Q30" i="7"/>
  <c r="AO116" i="13" s="1"/>
  <c r="AO117" i="13" s="1"/>
  <c r="Q25" i="7"/>
  <c r="AN116" i="13" s="1"/>
  <c r="AN117" i="13" s="1"/>
  <c r="Q20" i="7"/>
  <c r="AM116" i="13" s="1"/>
  <c r="AM117" i="13" s="1"/>
  <c r="Q58" i="13"/>
  <c r="B93" i="13" s="1"/>
  <c r="Q57" i="13"/>
  <c r="B92" i="13" s="1"/>
  <c r="Q56" i="13"/>
  <c r="B91" i="13" s="1"/>
  <c r="Q55" i="13"/>
  <c r="B90" i="13" s="1"/>
  <c r="Q54" i="13"/>
  <c r="B89" i="13" s="1"/>
  <c r="Q89" i="13" s="1"/>
  <c r="Q53" i="13"/>
  <c r="B88" i="13" s="1"/>
  <c r="Q52" i="13"/>
  <c r="B87" i="13" s="1"/>
  <c r="Q122" i="13" s="1"/>
  <c r="Q51" i="13"/>
  <c r="B86" i="13" s="1"/>
  <c r="Q50" i="13"/>
  <c r="B85" i="13" s="1"/>
  <c r="Q49" i="13"/>
  <c r="AK80" i="13" s="1"/>
  <c r="Q48" i="13"/>
  <c r="B83" i="13" s="1"/>
  <c r="Q118" i="13" s="1"/>
  <c r="Q47" i="13"/>
  <c r="B82" i="13"/>
  <c r="Q117" i="13" s="1"/>
  <c r="Q46" i="13"/>
  <c r="B81" i="13" s="1"/>
  <c r="Q116" i="13" s="1"/>
  <c r="Q45" i="13"/>
  <c r="B80" i="13" s="1"/>
  <c r="Q44" i="13"/>
  <c r="B79" i="13" s="1"/>
  <c r="Q79" i="13" s="1"/>
  <c r="Q43" i="13"/>
  <c r="B78" i="13" s="1"/>
  <c r="Q42" i="13"/>
  <c r="B77" i="13" s="1"/>
  <c r="Q41" i="13"/>
  <c r="B76" i="13" s="1"/>
  <c r="Q40" i="13"/>
  <c r="B75" i="13" s="1"/>
  <c r="Q110" i="13" s="1"/>
  <c r="Q39" i="13"/>
  <c r="AG80" i="13" s="1"/>
  <c r="Q38" i="13"/>
  <c r="B73" i="13" s="1"/>
  <c r="Q37" i="13"/>
  <c r="B72" i="13" s="1"/>
  <c r="Q107" i="13" s="1"/>
  <c r="Q36" i="13"/>
  <c r="B71" i="13" s="1"/>
  <c r="Q35" i="13"/>
  <c r="B70" i="13" s="1"/>
  <c r="Q34" i="13"/>
  <c r="B69" i="13" s="1"/>
  <c r="Q33" i="13"/>
  <c r="B68" i="13" s="1"/>
  <c r="Q32" i="13"/>
  <c r="B67" i="13" s="1"/>
  <c r="Q31" i="13"/>
  <c r="B66" i="13" s="1"/>
  <c r="Q66" i="13" s="1"/>
  <c r="Q30" i="13"/>
  <c r="B65" i="13" s="1"/>
  <c r="Q100" i="13" s="1"/>
  <c r="S58" i="13"/>
  <c r="D93" i="13" s="1"/>
  <c r="S93" i="13" s="1"/>
  <c r="V58" i="13"/>
  <c r="G93" i="13" s="1"/>
  <c r="V128" i="13" s="1"/>
  <c r="R58" i="13"/>
  <c r="C93" i="13" s="1"/>
  <c r="R57" i="13"/>
  <c r="C92" i="13" s="1"/>
  <c r="T58" i="13"/>
  <c r="E93" i="13" s="1"/>
  <c r="S57" i="13"/>
  <c r="D92" i="13" s="1"/>
  <c r="S56" i="13"/>
  <c r="D91" i="13" s="1"/>
  <c r="U58" i="13"/>
  <c r="F93" i="13" s="1"/>
  <c r="U93" i="13" s="1"/>
  <c r="R56" i="13"/>
  <c r="C91" i="13" s="1"/>
  <c r="R91" i="13" s="1"/>
  <c r="T57" i="13"/>
  <c r="E92" i="13" s="1"/>
  <c r="T127" i="13" s="1"/>
  <c r="V57" i="13"/>
  <c r="G92" i="13" s="1"/>
  <c r="V92" i="13" s="1"/>
  <c r="U57" i="13"/>
  <c r="F92" i="13" s="1"/>
  <c r="V56" i="13"/>
  <c r="G91" i="13" s="1"/>
  <c r="V126" i="13" s="1"/>
  <c r="T56" i="13"/>
  <c r="E91" i="13" s="1"/>
  <c r="T91" i="13" s="1"/>
  <c r="U56" i="13"/>
  <c r="F91" i="13" s="1"/>
  <c r="T55" i="13"/>
  <c r="E90" i="13" s="1"/>
  <c r="C77" i="4"/>
  <c r="R55" i="13"/>
  <c r="C90" i="13" s="1"/>
  <c r="S55" i="13"/>
  <c r="D90" i="13" s="1"/>
  <c r="S90" i="13" s="1"/>
  <c r="U55" i="13"/>
  <c r="F90" i="13" s="1"/>
  <c r="D77" i="4"/>
  <c r="S54" i="13"/>
  <c r="D89" i="13" s="1"/>
  <c r="V55" i="13"/>
  <c r="G90" i="13" s="1"/>
  <c r="B77" i="4"/>
  <c r="T54" i="13"/>
  <c r="D76" i="4"/>
  <c r="R54" i="13"/>
  <c r="C89" i="13" s="1"/>
  <c r="C76" i="4"/>
  <c r="U54" i="13"/>
  <c r="F89" i="13" s="1"/>
  <c r="U124" i="13" s="1"/>
  <c r="B76" i="4"/>
  <c r="V54" i="13"/>
  <c r="G89" i="13" s="1"/>
  <c r="V89" i="13" s="1"/>
  <c r="R53" i="13"/>
  <c r="C88" i="13" s="1"/>
  <c r="B75" i="4"/>
  <c r="C75" i="4"/>
  <c r="S53" i="13"/>
  <c r="D88" i="13" s="1"/>
  <c r="S123" i="13" s="1"/>
  <c r="T53" i="13"/>
  <c r="E88" i="13" s="1"/>
  <c r="T123" i="13" s="1"/>
  <c r="S52" i="13"/>
  <c r="D87" i="13" s="1"/>
  <c r="D75" i="4"/>
  <c r="U53" i="13"/>
  <c r="F88" i="13" s="1"/>
  <c r="U123" i="13" s="1"/>
  <c r="V53" i="13"/>
  <c r="G88" i="13" s="1"/>
  <c r="V88" i="13" s="1"/>
  <c r="R52" i="13"/>
  <c r="C87" i="13" s="1"/>
  <c r="R122" i="13" s="1"/>
  <c r="U52" i="13"/>
  <c r="F87" i="13" s="1"/>
  <c r="U87" i="13" s="1"/>
  <c r="S51" i="13"/>
  <c r="D86" i="13" s="1"/>
  <c r="S86" i="13" s="1"/>
  <c r="T52" i="13"/>
  <c r="E87" i="13" s="1"/>
  <c r="C74" i="4"/>
  <c r="V52" i="13"/>
  <c r="G87" i="13" s="1"/>
  <c r="D74" i="4"/>
  <c r="R51" i="13"/>
  <c r="C86" i="13" s="1"/>
  <c r="B74" i="4"/>
  <c r="B73" i="4"/>
  <c r="V51" i="13"/>
  <c r="G86" i="13" s="1"/>
  <c r="V121" i="13" s="1"/>
  <c r="U51" i="13"/>
  <c r="F86" i="13" s="1"/>
  <c r="D73" i="4"/>
  <c r="T51" i="13"/>
  <c r="E86" i="13" s="1"/>
  <c r="S50" i="13"/>
  <c r="D85" i="13" s="1"/>
  <c r="S120" i="13" s="1"/>
  <c r="C73" i="4"/>
  <c r="V50" i="13"/>
  <c r="G85" i="13" s="1"/>
  <c r="V85" i="13" s="1"/>
  <c r="R50" i="13"/>
  <c r="C85" i="13" s="1"/>
  <c r="T50" i="13"/>
  <c r="E85" i="13" s="1"/>
  <c r="T120" i="13" s="1"/>
  <c r="C72" i="4"/>
  <c r="S49" i="13"/>
  <c r="D84" i="13" s="1"/>
  <c r="S119" i="13" s="1"/>
  <c r="D72" i="4"/>
  <c r="B72" i="4"/>
  <c r="U50" i="13"/>
  <c r="F85" i="13" s="1"/>
  <c r="T49" i="13"/>
  <c r="E84" i="13" s="1"/>
  <c r="T84" i="13" s="1"/>
  <c r="U49" i="13"/>
  <c r="F84" i="13" s="1"/>
  <c r="R48" i="13"/>
  <c r="C83" i="13" s="1"/>
  <c r="S48" i="13"/>
  <c r="D83" i="13" s="1"/>
  <c r="S83" i="13" s="1"/>
  <c r="C71" i="4"/>
  <c r="V49" i="13"/>
  <c r="G84" i="13" s="1"/>
  <c r="D71" i="4"/>
  <c r="B71" i="4"/>
  <c r="R49" i="13"/>
  <c r="C84" i="13" s="1"/>
  <c r="B70" i="4"/>
  <c r="V48" i="13"/>
  <c r="G83" i="13" s="1"/>
  <c r="R47" i="13"/>
  <c r="C82" i="13" s="1"/>
  <c r="C70" i="4"/>
  <c r="U48" i="13"/>
  <c r="F83" i="13" s="1"/>
  <c r="D70" i="4"/>
  <c r="S47" i="13"/>
  <c r="D82" i="13" s="1"/>
  <c r="T48" i="13"/>
  <c r="E83" i="13" s="1"/>
  <c r="V47" i="13"/>
  <c r="G82" i="13" s="1"/>
  <c r="V82" i="13" s="1"/>
  <c r="S46" i="13"/>
  <c r="D81" i="13" s="1"/>
  <c r="S81" i="13" s="1"/>
  <c r="C69" i="4"/>
  <c r="D69" i="4"/>
  <c r="U47" i="13"/>
  <c r="F82" i="13" s="1"/>
  <c r="U82" i="13" s="1"/>
  <c r="B69" i="4"/>
  <c r="T47" i="13"/>
  <c r="E82" i="13" s="1"/>
  <c r="T82" i="13" s="1"/>
  <c r="T46" i="13"/>
  <c r="E81" i="13" s="1"/>
  <c r="T116" i="13" s="1"/>
  <c r="R46" i="13"/>
  <c r="C81" i="13" s="1"/>
  <c r="U46" i="13"/>
  <c r="F81" i="13" s="1"/>
  <c r="U116" i="13" s="1"/>
  <c r="V46" i="13"/>
  <c r="G81" i="13" s="1"/>
  <c r="V116" i="13" s="1"/>
  <c r="C68" i="4"/>
  <c r="D68" i="4"/>
  <c r="B68" i="4"/>
  <c r="S45" i="13"/>
  <c r="D80" i="13" s="1"/>
  <c r="R45" i="13"/>
  <c r="C80" i="13" s="1"/>
  <c r="D67" i="4"/>
  <c r="S42" i="13"/>
  <c r="D77" i="13" s="1"/>
  <c r="C67" i="4"/>
  <c r="B67" i="4"/>
  <c r="R42" i="13"/>
  <c r="C77" i="13" s="1"/>
  <c r="T45" i="13"/>
  <c r="E80" i="13" s="1"/>
  <c r="R44" i="13"/>
  <c r="C79" i="13" s="1"/>
  <c r="R79" i="13" s="1"/>
  <c r="V45" i="13"/>
  <c r="G80" i="13" s="1"/>
  <c r="U45" i="13"/>
  <c r="F80" i="13" s="1"/>
  <c r="B61" i="4"/>
  <c r="D61" i="4"/>
  <c r="S44" i="13"/>
  <c r="D79" i="13" s="1"/>
  <c r="S114" i="13" s="1"/>
  <c r="V42" i="13"/>
  <c r="G77" i="13" s="1"/>
  <c r="V112" i="13" s="1"/>
  <c r="V44" i="13"/>
  <c r="G79" i="13" s="1"/>
  <c r="V79" i="13" s="1"/>
  <c r="R43" i="13"/>
  <c r="C78" i="13" s="1"/>
  <c r="B62" i="4"/>
  <c r="C66" i="4"/>
  <c r="U44" i="13"/>
  <c r="F79" i="13" s="1"/>
  <c r="U114" i="13" s="1"/>
  <c r="C61" i="4"/>
  <c r="U42" i="13"/>
  <c r="F77" i="13" s="1"/>
  <c r="D66" i="4"/>
  <c r="T42" i="13"/>
  <c r="E77" i="13" s="1"/>
  <c r="S43" i="13"/>
  <c r="D78" i="13" s="1"/>
  <c r="S78" i="13" s="1"/>
  <c r="T44" i="13"/>
  <c r="E79" i="13" s="1"/>
  <c r="B66" i="4"/>
  <c r="D62" i="4"/>
  <c r="D65" i="4"/>
  <c r="R40" i="13"/>
  <c r="C75" i="13" s="1"/>
  <c r="T43" i="13"/>
  <c r="E78" i="13" s="1"/>
  <c r="T78" i="13" s="1"/>
  <c r="R41" i="13"/>
  <c r="C76" i="13" s="1"/>
  <c r="R111" i="13" s="1"/>
  <c r="U41" i="13"/>
  <c r="F76" i="13" s="1"/>
  <c r="U111" i="13" s="1"/>
  <c r="T41" i="13"/>
  <c r="E76" i="13" s="1"/>
  <c r="S41" i="13"/>
  <c r="D76" i="13" s="1"/>
  <c r="S76" i="13" s="1"/>
  <c r="V41" i="13"/>
  <c r="G76" i="13" s="1"/>
  <c r="C65" i="4"/>
  <c r="V43" i="13"/>
  <c r="G78" i="13" s="1"/>
  <c r="V113" i="13" s="1"/>
  <c r="B65" i="4"/>
  <c r="B60" i="4"/>
  <c r="U43" i="13"/>
  <c r="F78" i="13" s="1"/>
  <c r="C60" i="4"/>
  <c r="Q28" i="7"/>
  <c r="E61" i="4"/>
  <c r="F61" i="4"/>
  <c r="G61" i="4"/>
  <c r="S40" i="13"/>
  <c r="D75" i="13" s="1"/>
  <c r="D59" i="4"/>
  <c r="S39" i="13"/>
  <c r="D74" i="13" s="1"/>
  <c r="S109" i="13" s="1"/>
  <c r="R39" i="13"/>
  <c r="C74" i="13" s="1"/>
  <c r="V40" i="13"/>
  <c r="G75" i="13" s="1"/>
  <c r="V110" i="13" s="1"/>
  <c r="C64" i="4"/>
  <c r="C59" i="4"/>
  <c r="D64" i="4"/>
  <c r="B64" i="4"/>
  <c r="U40" i="13"/>
  <c r="F75" i="13" s="1"/>
  <c r="U75" i="13" s="1"/>
  <c r="B58" i="4"/>
  <c r="Q29" i="7"/>
  <c r="E62" i="4"/>
  <c r="G62" i="4"/>
  <c r="C62" i="4"/>
  <c r="F62" i="4"/>
  <c r="B59" i="4"/>
  <c r="T40" i="13"/>
  <c r="E75" i="13" s="1"/>
  <c r="Q27" i="7"/>
  <c r="F60" i="4"/>
  <c r="G60" i="4"/>
  <c r="E60" i="4"/>
  <c r="D60" i="4"/>
  <c r="C58" i="4"/>
  <c r="D63" i="4"/>
  <c r="Q44" i="7"/>
  <c r="G77" i="4"/>
  <c r="F77" i="4"/>
  <c r="E77" i="4"/>
  <c r="R38" i="13"/>
  <c r="C73" i="13" s="1"/>
  <c r="R108" i="13" s="1"/>
  <c r="S38" i="13"/>
  <c r="D73" i="13" s="1"/>
  <c r="R33" i="13"/>
  <c r="C68" i="13" s="1"/>
  <c r="T39" i="13"/>
  <c r="E74" i="13" s="1"/>
  <c r="C63" i="4"/>
  <c r="B57" i="4"/>
  <c r="Q26" i="7"/>
  <c r="F59" i="4"/>
  <c r="E59" i="4"/>
  <c r="G59" i="4"/>
  <c r="Q43" i="7"/>
  <c r="E76" i="4"/>
  <c r="F76" i="4"/>
  <c r="G76" i="4"/>
  <c r="U39" i="13"/>
  <c r="F74" i="13" s="1"/>
  <c r="B63" i="4"/>
  <c r="V39" i="13"/>
  <c r="G74" i="13" s="1"/>
  <c r="V109" i="13" s="1"/>
  <c r="S33" i="13"/>
  <c r="D68" i="13" s="1"/>
  <c r="B52" i="4"/>
  <c r="D52" i="4"/>
  <c r="T38" i="13"/>
  <c r="E73" i="13" s="1"/>
  <c r="T108" i="13" s="1"/>
  <c r="S32" i="13"/>
  <c r="D67" i="13" s="1"/>
  <c r="D57" i="4"/>
  <c r="R32" i="13"/>
  <c r="C67" i="13" s="1"/>
  <c r="R67" i="13" s="1"/>
  <c r="U33" i="13"/>
  <c r="F68" i="13" s="1"/>
  <c r="V38" i="13"/>
  <c r="G73" i="13" s="1"/>
  <c r="U38" i="13"/>
  <c r="F73" i="13" s="1"/>
  <c r="T33" i="13"/>
  <c r="E68" i="13" s="1"/>
  <c r="S37" i="13"/>
  <c r="D72" i="13" s="1"/>
  <c r="S107" i="13" s="1"/>
  <c r="R37" i="13"/>
  <c r="C72" i="13" s="1"/>
  <c r="R107" i="13" s="1"/>
  <c r="C57" i="4"/>
  <c r="F58" i="4"/>
  <c r="D58" i="4"/>
  <c r="G58" i="4"/>
  <c r="E58" i="4"/>
  <c r="Q42" i="7"/>
  <c r="G75" i="4"/>
  <c r="F75" i="4"/>
  <c r="E75" i="4"/>
  <c r="V33" i="13"/>
  <c r="G68" i="13" s="1"/>
  <c r="V68" i="13" s="1"/>
  <c r="B51" i="4"/>
  <c r="C52" i="4"/>
  <c r="S36" i="13"/>
  <c r="D71" i="13" s="1"/>
  <c r="S71" i="13" s="1"/>
  <c r="U32" i="13"/>
  <c r="F67" i="13" s="1"/>
  <c r="T32" i="13"/>
  <c r="E67" i="13" s="1"/>
  <c r="T67" i="13" s="1"/>
  <c r="Q41" i="7"/>
  <c r="F74" i="4"/>
  <c r="E74" i="4"/>
  <c r="G74" i="4"/>
  <c r="B56" i="4"/>
  <c r="D51" i="4"/>
  <c r="U37" i="13"/>
  <c r="F72" i="13" s="1"/>
  <c r="T37" i="13"/>
  <c r="E72" i="13" s="1"/>
  <c r="R36" i="13"/>
  <c r="C71" i="13" s="1"/>
  <c r="R71" i="13" s="1"/>
  <c r="S31" i="13"/>
  <c r="D66" i="13" s="1"/>
  <c r="S101" i="13" s="1"/>
  <c r="V32" i="13"/>
  <c r="G67" i="13" s="1"/>
  <c r="Q24" i="7"/>
  <c r="F57" i="4"/>
  <c r="G57" i="4"/>
  <c r="E57" i="4"/>
  <c r="D56" i="4"/>
  <c r="V37" i="13"/>
  <c r="G72" i="13" s="1"/>
  <c r="V72" i="13" s="1"/>
  <c r="C56" i="4"/>
  <c r="Q19" i="7"/>
  <c r="E52" i="4"/>
  <c r="F52" i="4"/>
  <c r="G52" i="4"/>
  <c r="C51" i="4"/>
  <c r="D50" i="4"/>
  <c r="C50" i="4"/>
  <c r="C55" i="4"/>
  <c r="U36" i="13"/>
  <c r="F71" i="13" s="1"/>
  <c r="U106" i="13" s="1"/>
  <c r="R35" i="13"/>
  <c r="C70" i="13" s="1"/>
  <c r="R105" i="13" s="1"/>
  <c r="V31" i="13"/>
  <c r="G66" i="13" s="1"/>
  <c r="V101" i="13" s="1"/>
  <c r="B50" i="4"/>
  <c r="U31" i="13"/>
  <c r="F66" i="13" s="1"/>
  <c r="S35" i="13"/>
  <c r="D70" i="13" s="1"/>
  <c r="S70" i="13" s="1"/>
  <c r="T36" i="13"/>
  <c r="E71" i="13" s="1"/>
  <c r="T71" i="13" s="1"/>
  <c r="R30" i="13"/>
  <c r="C65" i="13" s="1"/>
  <c r="R65" i="13" s="1"/>
  <c r="B55" i="4"/>
  <c r="D55" i="4"/>
  <c r="F73" i="4"/>
  <c r="G73" i="4"/>
  <c r="E73" i="4"/>
  <c r="R31" i="13"/>
  <c r="C66" i="13" s="1"/>
  <c r="T31" i="13"/>
  <c r="E66" i="13" s="1"/>
  <c r="T101" i="13" s="1"/>
  <c r="Q23" i="7"/>
  <c r="F56" i="4"/>
  <c r="E56" i="4"/>
  <c r="G56" i="4"/>
  <c r="V36" i="13"/>
  <c r="G71" i="13" s="1"/>
  <c r="V71" i="13" s="1"/>
  <c r="B54" i="4"/>
  <c r="D54" i="4"/>
  <c r="U30" i="13"/>
  <c r="F65" i="13" s="1"/>
  <c r="U65" i="13" s="1"/>
  <c r="T35" i="13"/>
  <c r="E70" i="13" s="1"/>
  <c r="T105" i="13" s="1"/>
  <c r="C49" i="4"/>
  <c r="B49" i="4"/>
  <c r="V30" i="13"/>
  <c r="G65" i="13" s="1"/>
  <c r="V65" i="13" s="1"/>
  <c r="Q39" i="7"/>
  <c r="G72" i="4"/>
  <c r="E72" i="4"/>
  <c r="F72" i="4"/>
  <c r="S30" i="13"/>
  <c r="D65" i="13" s="1"/>
  <c r="S100" i="13" s="1"/>
  <c r="V35" i="13"/>
  <c r="G70" i="13" s="1"/>
  <c r="Q17" i="7"/>
  <c r="G50" i="4"/>
  <c r="F50" i="4"/>
  <c r="E50" i="4"/>
  <c r="D49" i="4"/>
  <c r="C54" i="4"/>
  <c r="Q22" i="7"/>
  <c r="G55" i="4"/>
  <c r="E55" i="4"/>
  <c r="F55" i="4"/>
  <c r="U35" i="13"/>
  <c r="F70" i="13" s="1"/>
  <c r="T30" i="13"/>
  <c r="E65" i="13" s="1"/>
  <c r="T100" i="13" s="1"/>
  <c r="Q16" i="7"/>
  <c r="G49" i="4"/>
  <c r="E49" i="4"/>
  <c r="F49" i="4"/>
  <c r="Q38" i="7"/>
  <c r="F71" i="4"/>
  <c r="G71" i="4"/>
  <c r="E71" i="4"/>
  <c r="Q21" i="7"/>
  <c r="E54" i="4"/>
  <c r="G54" i="4"/>
  <c r="F54" i="4"/>
  <c r="S34" i="13"/>
  <c r="D69" i="13" s="1"/>
  <c r="Q37" i="7"/>
  <c r="G70" i="4"/>
  <c r="E70" i="4"/>
  <c r="F70" i="4"/>
  <c r="R34" i="13"/>
  <c r="C69" i="13" s="1"/>
  <c r="T34" i="13"/>
  <c r="U34" i="13"/>
  <c r="F69" i="13" s="1"/>
  <c r="V34" i="13"/>
  <c r="G69" i="13" s="1"/>
  <c r="V104" i="13" s="1"/>
  <c r="Q36" i="7"/>
  <c r="F69" i="4"/>
  <c r="G69" i="4"/>
  <c r="E69" i="4"/>
  <c r="E68" i="4"/>
  <c r="G68" i="4"/>
  <c r="F68" i="4"/>
  <c r="Q34" i="7"/>
  <c r="G67" i="4"/>
  <c r="E67" i="4"/>
  <c r="F67" i="4"/>
  <c r="B53" i="4"/>
  <c r="C53" i="4"/>
  <c r="Q33" i="7"/>
  <c r="E66" i="4"/>
  <c r="F66" i="4"/>
  <c r="G66" i="4"/>
  <c r="Q29" i="13"/>
  <c r="D53" i="4"/>
  <c r="Q59" i="13"/>
  <c r="AO80" i="13" s="1"/>
  <c r="Q32" i="7"/>
  <c r="F65" i="4"/>
  <c r="G65" i="4"/>
  <c r="E65" i="4"/>
  <c r="C78" i="4"/>
  <c r="B78" i="4"/>
  <c r="S59" i="13"/>
  <c r="D94" i="13" s="1"/>
  <c r="S94" i="13" s="1"/>
  <c r="V59" i="13"/>
  <c r="G94" i="13" s="1"/>
  <c r="T29" i="13"/>
  <c r="E64" i="13" s="1"/>
  <c r="R59" i="13"/>
  <c r="C94" i="13" s="1"/>
  <c r="R129" i="13" s="1"/>
  <c r="U59" i="13"/>
  <c r="F94" i="13" s="1"/>
  <c r="T59" i="13"/>
  <c r="AP80" i="13" s="1"/>
  <c r="Q31" i="7"/>
  <c r="E64" i="4"/>
  <c r="F64" i="4"/>
  <c r="G64" i="4"/>
  <c r="G63" i="4"/>
  <c r="F63" i="4"/>
  <c r="E63" i="4"/>
  <c r="D78" i="4"/>
  <c r="F78" i="4"/>
  <c r="G78" i="4"/>
  <c r="E78" i="4"/>
  <c r="Q45" i="7"/>
  <c r="AR116" i="13" s="1"/>
  <c r="AR117" i="13" s="1"/>
  <c r="F53" i="4"/>
  <c r="G53" i="4"/>
  <c r="E53" i="4"/>
  <c r="Q18" i="7"/>
  <c r="F51" i="4"/>
  <c r="E51" i="4"/>
  <c r="G51" i="4"/>
  <c r="J50" i="4" l="1"/>
  <c r="L78" i="4"/>
  <c r="Q78" i="4" s="1"/>
  <c r="J72" i="4"/>
  <c r="O72" i="4" s="1"/>
  <c r="AQ80" i="13"/>
  <c r="AQ82" i="13" s="1"/>
  <c r="AI112" i="13" s="1"/>
  <c r="L58" i="4"/>
  <c r="Q58" i="4" s="1"/>
  <c r="L67" i="4"/>
  <c r="Q67" i="4" s="1"/>
  <c r="L77" i="4"/>
  <c r="Q77" i="4" s="1"/>
  <c r="K68" i="4"/>
  <c r="P68" i="4" s="1"/>
  <c r="L56" i="4"/>
  <c r="Q56" i="4" s="1"/>
  <c r="L68" i="4"/>
  <c r="Q68" i="4" s="1"/>
  <c r="B94" i="13"/>
  <c r="Q94" i="13" s="1"/>
  <c r="S103" i="13"/>
  <c r="S68" i="13"/>
  <c r="Y68" i="13" s="1"/>
  <c r="Y109" i="13"/>
  <c r="AK93" i="13"/>
  <c r="K63" i="4"/>
  <c r="P63" i="4" s="1"/>
  <c r="S84" i="13"/>
  <c r="S66" i="13"/>
  <c r="L70" i="4"/>
  <c r="Q70" i="4" s="1"/>
  <c r="V70" i="13"/>
  <c r="Y70" i="13" s="1"/>
  <c r="V105" i="13"/>
  <c r="R104" i="13"/>
  <c r="R69" i="13"/>
  <c r="Q127" i="13"/>
  <c r="W127" i="13" s="1"/>
  <c r="H32" i="1" s="1"/>
  <c r="Q32" i="1" s="1"/>
  <c r="T31" i="3" s="1"/>
  <c r="Q92" i="13"/>
  <c r="J78" i="4"/>
  <c r="O78" i="4" s="1"/>
  <c r="K56" i="4"/>
  <c r="P56" i="4" s="1"/>
  <c r="L52" i="4"/>
  <c r="Q52" i="4" s="1"/>
  <c r="J68" i="4"/>
  <c r="C24" i="1" s="1"/>
  <c r="L24" i="1" s="1"/>
  <c r="E23" i="3" s="1"/>
  <c r="K71" i="4"/>
  <c r="P71" i="4" s="1"/>
  <c r="K55" i="4"/>
  <c r="P55" i="4" s="1"/>
  <c r="J74" i="4"/>
  <c r="O74" i="4" s="1"/>
  <c r="AC93" i="13"/>
  <c r="L53" i="4"/>
  <c r="Q53" i="4" s="1"/>
  <c r="L76" i="4"/>
  <c r="Q76" i="4" s="1"/>
  <c r="S79" i="13"/>
  <c r="Y79" i="13" s="1"/>
  <c r="K70" i="4"/>
  <c r="P70" i="4" s="1"/>
  <c r="U81" i="13"/>
  <c r="L61" i="4"/>
  <c r="Q61" i="4" s="1"/>
  <c r="L51" i="4"/>
  <c r="Q51" i="4" s="1"/>
  <c r="J49" i="4"/>
  <c r="C5" i="1" s="1"/>
  <c r="L5" i="1" s="1"/>
  <c r="E4" i="3" s="1"/>
  <c r="L60" i="4"/>
  <c r="Q60" i="4" s="1"/>
  <c r="L62" i="4"/>
  <c r="Q62" i="4" s="1"/>
  <c r="AG93" i="13"/>
  <c r="K51" i="4"/>
  <c r="P51" i="4" s="1"/>
  <c r="L57" i="4"/>
  <c r="Q57" i="4" s="1"/>
  <c r="K72" i="4"/>
  <c r="P72" i="4" s="1"/>
  <c r="E94" i="13"/>
  <c r="K50" i="4"/>
  <c r="P50" i="4" s="1"/>
  <c r="R94" i="13"/>
  <c r="R70" i="13"/>
  <c r="J52" i="4"/>
  <c r="C8" i="1" s="1"/>
  <c r="L8" i="1" s="1"/>
  <c r="E7" i="3" s="1"/>
  <c r="F7" i="3" s="1"/>
  <c r="F7" i="15" s="1"/>
  <c r="C75" i="15" s="1"/>
  <c r="S113" i="13"/>
  <c r="Y113" i="13" s="1"/>
  <c r="J71" i="4"/>
  <c r="C27" i="1" s="1"/>
  <c r="L27" i="1" s="1"/>
  <c r="E26" i="3" s="1"/>
  <c r="R87" i="13"/>
  <c r="X87" i="13" s="1"/>
  <c r="J77" i="4"/>
  <c r="C33" i="1" s="1"/>
  <c r="L33" i="1" s="1"/>
  <c r="E32" i="3" s="1"/>
  <c r="F32" i="3" s="1"/>
  <c r="F32" i="15" s="1"/>
  <c r="C100" i="15" s="1"/>
  <c r="J54" i="4"/>
  <c r="C10" i="1" s="1"/>
  <c r="L10" i="1" s="1"/>
  <c r="E9" i="3" s="1"/>
  <c r="U71" i="13"/>
  <c r="X71" i="13" s="1"/>
  <c r="J60" i="4"/>
  <c r="C16" i="1" s="1"/>
  <c r="L16" i="1" s="1"/>
  <c r="E15" i="3" s="1"/>
  <c r="G15" i="3" s="1"/>
  <c r="G15" i="15" s="1"/>
  <c r="D83" i="15" s="1"/>
  <c r="J58" i="4"/>
  <c r="C14" i="1" s="1"/>
  <c r="L14" i="1" s="1"/>
  <c r="E13" i="3" s="1"/>
  <c r="F13" i="3" s="1"/>
  <c r="F13" i="15" s="1"/>
  <c r="C81" i="15" s="1"/>
  <c r="J66" i="4"/>
  <c r="C22" i="1" s="1"/>
  <c r="L22" i="1" s="1"/>
  <c r="E21" i="3" s="1"/>
  <c r="L55" i="4"/>
  <c r="Q55" i="4" s="1"/>
  <c r="J56" i="4"/>
  <c r="C12" i="1" s="1"/>
  <c r="L12" i="1" s="1"/>
  <c r="E11" i="3" s="1"/>
  <c r="E11" i="15" s="1"/>
  <c r="B79" i="15" s="1"/>
  <c r="J67" i="4"/>
  <c r="C23" i="1" s="1"/>
  <c r="L23" i="1" s="1"/>
  <c r="E22" i="3" s="1"/>
  <c r="J55" i="4"/>
  <c r="C11" i="1" s="1"/>
  <c r="L11" i="1" s="1"/>
  <c r="E10" i="3" s="1"/>
  <c r="G10" i="3" s="1"/>
  <c r="G10" i="15" s="1"/>
  <c r="D78" i="15" s="1"/>
  <c r="K67" i="4"/>
  <c r="P67" i="4" s="1"/>
  <c r="R100" i="13"/>
  <c r="R72" i="13"/>
  <c r="J64" i="4"/>
  <c r="C20" i="1" s="1"/>
  <c r="L20" i="1" s="1"/>
  <c r="E19" i="3" s="1"/>
  <c r="K65" i="4"/>
  <c r="P65" i="4" s="1"/>
  <c r="L73" i="4"/>
  <c r="Q73" i="4" s="1"/>
  <c r="J51" i="4"/>
  <c r="O51" i="4" s="1"/>
  <c r="K49" i="4"/>
  <c r="P49" i="4" s="1"/>
  <c r="K74" i="4"/>
  <c r="P74" i="4" s="1"/>
  <c r="L63" i="4"/>
  <c r="Q63" i="4" s="1"/>
  <c r="L64" i="4"/>
  <c r="Q64" i="4" s="1"/>
  <c r="V117" i="13"/>
  <c r="AL80" i="13"/>
  <c r="AM80" i="13" s="1"/>
  <c r="K64" i="4"/>
  <c r="P64" i="4" s="1"/>
  <c r="K66" i="4"/>
  <c r="P66" i="4" s="1"/>
  <c r="V86" i="13"/>
  <c r="Y86" i="13" s="1"/>
  <c r="L49" i="4"/>
  <c r="Q49" i="4" s="1"/>
  <c r="S128" i="13"/>
  <c r="Y128" i="13" s="1"/>
  <c r="J53" i="4"/>
  <c r="O53" i="4" s="1"/>
  <c r="K54" i="4"/>
  <c r="P54" i="4" s="1"/>
  <c r="L54" i="4"/>
  <c r="Q54" i="4" s="1"/>
  <c r="R76" i="13"/>
  <c r="R82" i="13"/>
  <c r="X82" i="13" s="1"/>
  <c r="R117" i="13"/>
  <c r="T87" i="13"/>
  <c r="T122" i="13"/>
  <c r="W122" i="13" s="1"/>
  <c r="H27" i="1" s="1"/>
  <c r="Q27" i="1" s="1"/>
  <c r="T26" i="3" s="1"/>
  <c r="U26" i="3" s="1"/>
  <c r="U26" i="15" s="1"/>
  <c r="C249" i="15" s="1"/>
  <c r="Y101" i="13"/>
  <c r="R124" i="13"/>
  <c r="X124" i="13" s="1"/>
  <c r="R89" i="13"/>
  <c r="V87" i="13"/>
  <c r="V122" i="13"/>
  <c r="R66" i="13"/>
  <c r="X66" i="13" s="1"/>
  <c r="R101" i="13"/>
  <c r="T72" i="13"/>
  <c r="T107" i="13"/>
  <c r="W107" i="13" s="1"/>
  <c r="H12" i="1" s="1"/>
  <c r="Q12" i="1" s="1"/>
  <c r="T11" i="3" s="1"/>
  <c r="V119" i="13"/>
  <c r="Y119" i="13" s="1"/>
  <c r="V84" i="13"/>
  <c r="V129" i="13"/>
  <c r="V94" i="13"/>
  <c r="Y94" i="13" s="1"/>
  <c r="U90" i="13"/>
  <c r="U125" i="13"/>
  <c r="V111" i="13"/>
  <c r="V76" i="13"/>
  <c r="Y76" i="13" s="1"/>
  <c r="V108" i="13"/>
  <c r="V73" i="13"/>
  <c r="R115" i="13"/>
  <c r="R80" i="13"/>
  <c r="T76" i="13"/>
  <c r="T111" i="13"/>
  <c r="S115" i="13"/>
  <c r="S80" i="13"/>
  <c r="Q80" i="13"/>
  <c r="Q115" i="13"/>
  <c r="R109" i="13"/>
  <c r="R74" i="13"/>
  <c r="Q120" i="13"/>
  <c r="W120" i="13" s="1"/>
  <c r="H25" i="1" s="1"/>
  <c r="Q25" i="1" s="1"/>
  <c r="T24" i="3" s="1"/>
  <c r="V24" i="3" s="1"/>
  <c r="V24" i="15" s="1"/>
  <c r="D247" i="15" s="1"/>
  <c r="Q85" i="13"/>
  <c r="T68" i="13"/>
  <c r="T103" i="13"/>
  <c r="U66" i="13"/>
  <c r="U101" i="13"/>
  <c r="V69" i="13"/>
  <c r="X65" i="13"/>
  <c r="L50" i="4"/>
  <c r="Q50" i="4" s="1"/>
  <c r="Y71" i="13"/>
  <c r="K53" i="4"/>
  <c r="P53" i="4" s="1"/>
  <c r="S65" i="13"/>
  <c r="Y65" i="13" s="1"/>
  <c r="K60" i="4"/>
  <c r="P60" i="4" s="1"/>
  <c r="V77" i="13"/>
  <c r="V123" i="13"/>
  <c r="Y123" i="13" s="1"/>
  <c r="U100" i="13"/>
  <c r="S106" i="13"/>
  <c r="V75" i="13"/>
  <c r="V78" i="13"/>
  <c r="Y78" i="13" s="1"/>
  <c r="T113" i="13"/>
  <c r="J69" i="4"/>
  <c r="L72" i="4"/>
  <c r="Q72" i="4" s="1"/>
  <c r="U117" i="13"/>
  <c r="K62" i="4"/>
  <c r="P62" i="4" s="1"/>
  <c r="L69" i="4"/>
  <c r="Q69" i="4" s="1"/>
  <c r="V100" i="13"/>
  <c r="Y100" i="13" s="1"/>
  <c r="T66" i="13"/>
  <c r="W66" i="13" s="1"/>
  <c r="G6" i="1" s="1"/>
  <c r="P6" i="1" s="1"/>
  <c r="Q5" i="3" s="1"/>
  <c r="AH93" i="13"/>
  <c r="K69" i="4"/>
  <c r="P69" i="4" s="1"/>
  <c r="S125" i="13"/>
  <c r="T102" i="13"/>
  <c r="K77" i="4"/>
  <c r="P77" i="4" s="1"/>
  <c r="S116" i="13"/>
  <c r="Y116" i="13" s="1"/>
  <c r="K52" i="4"/>
  <c r="P52" i="4" s="1"/>
  <c r="V66" i="13"/>
  <c r="L71" i="4"/>
  <c r="Q71" i="4" s="1"/>
  <c r="V124" i="13"/>
  <c r="L74" i="4"/>
  <c r="Q74" i="4" s="1"/>
  <c r="X111" i="13"/>
  <c r="L75" i="4"/>
  <c r="Q75" i="4" s="1"/>
  <c r="R73" i="13"/>
  <c r="R114" i="13"/>
  <c r="X114" i="13" s="1"/>
  <c r="J75" i="4"/>
  <c r="C31" i="1" s="1"/>
  <c r="L31" i="1" s="1"/>
  <c r="E30" i="3" s="1"/>
  <c r="K78" i="4"/>
  <c r="P78" i="4" s="1"/>
  <c r="K57" i="4"/>
  <c r="P57" i="4" s="1"/>
  <c r="U110" i="13"/>
  <c r="L66" i="4"/>
  <c r="Q66" i="4" s="1"/>
  <c r="R106" i="13"/>
  <c r="X106" i="13" s="1"/>
  <c r="R102" i="13"/>
  <c r="B84" i="13"/>
  <c r="Q119" i="13" s="1"/>
  <c r="J65" i="4"/>
  <c r="C21" i="1" s="1"/>
  <c r="L21" i="1" s="1"/>
  <c r="E20" i="3" s="1"/>
  <c r="T73" i="13"/>
  <c r="K61" i="4"/>
  <c r="P61" i="4" s="1"/>
  <c r="S88" i="13"/>
  <c r="Y88" i="13" s="1"/>
  <c r="Q87" i="13"/>
  <c r="AD80" i="13"/>
  <c r="T99" i="13"/>
  <c r="T64" i="13"/>
  <c r="U104" i="13"/>
  <c r="U69" i="13"/>
  <c r="Q78" i="13"/>
  <c r="W78" i="13" s="1"/>
  <c r="G18" i="1" s="1"/>
  <c r="P18" i="1" s="1"/>
  <c r="Q17" i="3" s="1"/>
  <c r="Q113" i="13"/>
  <c r="U108" i="13"/>
  <c r="X108" i="13" s="1"/>
  <c r="U73" i="13"/>
  <c r="U105" i="13"/>
  <c r="X105" i="13" s="1"/>
  <c r="U70" i="13"/>
  <c r="Q123" i="13"/>
  <c r="W123" i="13" s="1"/>
  <c r="H28" i="1" s="1"/>
  <c r="Q28" i="1" s="1"/>
  <c r="T27" i="3" s="1"/>
  <c r="Q88" i="13"/>
  <c r="Q68" i="13"/>
  <c r="Q103" i="13"/>
  <c r="V80" i="13"/>
  <c r="V115" i="13"/>
  <c r="U78" i="13"/>
  <c r="U113" i="13"/>
  <c r="C6" i="1"/>
  <c r="L6" i="1" s="1"/>
  <c r="E5" i="3" s="1"/>
  <c r="O50" i="4"/>
  <c r="S104" i="13"/>
  <c r="Y104" i="13" s="1"/>
  <c r="S69" i="13"/>
  <c r="S110" i="13"/>
  <c r="Y110" i="13" s="1"/>
  <c r="S75" i="13"/>
  <c r="S67" i="13"/>
  <c r="S102" i="13"/>
  <c r="U92" i="13"/>
  <c r="U127" i="13"/>
  <c r="T114" i="13"/>
  <c r="T79" i="13"/>
  <c r="W79" i="13" s="1"/>
  <c r="G19" i="1" s="1"/>
  <c r="P19" i="1" s="1"/>
  <c r="Q18" i="3" s="1"/>
  <c r="T112" i="13"/>
  <c r="T77" i="13"/>
  <c r="W116" i="13"/>
  <c r="H21" i="1" s="1"/>
  <c r="Q21" i="1" s="1"/>
  <c r="T20" i="3" s="1"/>
  <c r="V114" i="13"/>
  <c r="Y114" i="13" s="1"/>
  <c r="W100" i="13"/>
  <c r="H5" i="1" s="1"/>
  <c r="Q5" i="1" s="1"/>
  <c r="T4" i="3" s="1"/>
  <c r="T80" i="13"/>
  <c r="T115" i="13"/>
  <c r="R85" i="13"/>
  <c r="R120" i="13"/>
  <c r="V74" i="13"/>
  <c r="AH80" i="13"/>
  <c r="AI80" i="13" s="1"/>
  <c r="R77" i="13"/>
  <c r="R112" i="13"/>
  <c r="U88" i="13"/>
  <c r="S129" i="13"/>
  <c r="V106" i="13"/>
  <c r="J63" i="4"/>
  <c r="U84" i="13"/>
  <c r="U119" i="13"/>
  <c r="Q71" i="13"/>
  <c r="W71" i="13" s="1"/>
  <c r="G11" i="1" s="1"/>
  <c r="P11" i="1" s="1"/>
  <c r="Q10" i="3" s="1"/>
  <c r="Q106" i="13"/>
  <c r="Q70" i="13"/>
  <c r="Q105" i="13"/>
  <c r="W105" i="13" s="1"/>
  <c r="H10" i="1" s="1"/>
  <c r="Q10" i="1" s="1"/>
  <c r="T9" i="3" s="1"/>
  <c r="U68" i="13"/>
  <c r="U103" i="13"/>
  <c r="U74" i="13"/>
  <c r="U109" i="13"/>
  <c r="S73" i="13"/>
  <c r="S108" i="13"/>
  <c r="U115" i="13"/>
  <c r="U80" i="13"/>
  <c r="R90" i="13"/>
  <c r="R125" i="13"/>
  <c r="T70" i="13"/>
  <c r="T117" i="13"/>
  <c r="W117" i="13" s="1"/>
  <c r="H22" i="1" s="1"/>
  <c r="Q22" i="1" s="1"/>
  <c r="T21" i="3" s="1"/>
  <c r="T74" i="13"/>
  <c r="T109" i="13"/>
  <c r="R110" i="13"/>
  <c r="R75" i="13"/>
  <c r="X75" i="13" s="1"/>
  <c r="Q93" i="13"/>
  <c r="Q128" i="13"/>
  <c r="Q125" i="13"/>
  <c r="Q90" i="13"/>
  <c r="V107" i="13"/>
  <c r="Y107" i="13" s="1"/>
  <c r="S87" i="13"/>
  <c r="S122" i="13"/>
  <c r="AL93" i="13"/>
  <c r="E89" i="13"/>
  <c r="U128" i="13"/>
  <c r="S105" i="13"/>
  <c r="K58" i="4"/>
  <c r="P58" i="4" s="1"/>
  <c r="U102" i="13"/>
  <c r="U67" i="13"/>
  <c r="X67" i="13" s="1"/>
  <c r="L65" i="4"/>
  <c r="Q65" i="4" s="1"/>
  <c r="V81" i="13"/>
  <c r="Y81" i="13" s="1"/>
  <c r="S91" i="13"/>
  <c r="S126" i="13"/>
  <c r="Y126" i="13" s="1"/>
  <c r="Q81" i="13"/>
  <c r="T65" i="13"/>
  <c r="V118" i="13"/>
  <c r="V83" i="13"/>
  <c r="Y83" i="13" s="1"/>
  <c r="U121" i="13"/>
  <c r="U86" i="13"/>
  <c r="S92" i="13"/>
  <c r="Y92" i="13" s="1"/>
  <c r="S127" i="13"/>
  <c r="T119" i="13"/>
  <c r="R103" i="13"/>
  <c r="R68" i="13"/>
  <c r="U118" i="13"/>
  <c r="U83" i="13"/>
  <c r="D48" i="4"/>
  <c r="G48" i="4"/>
  <c r="U29" i="13"/>
  <c r="F64" i="13" s="1"/>
  <c r="S29" i="13"/>
  <c r="D64" i="13" s="1"/>
  <c r="B48" i="4"/>
  <c r="F48" i="4"/>
  <c r="V29" i="13"/>
  <c r="G64" i="13" s="1"/>
  <c r="E48" i="4"/>
  <c r="C48" i="4"/>
  <c r="Q15" i="7"/>
  <c r="AL116" i="13" s="1"/>
  <c r="AL117" i="13" s="1"/>
  <c r="R29" i="13"/>
  <c r="C64" i="13" s="1"/>
  <c r="E69" i="13"/>
  <c r="AD93" i="13"/>
  <c r="S77" i="13"/>
  <c r="S112" i="13"/>
  <c r="Y112" i="13" s="1"/>
  <c r="Q75" i="13"/>
  <c r="AC80" i="13"/>
  <c r="B64" i="13"/>
  <c r="R83" i="13"/>
  <c r="R118" i="13"/>
  <c r="E10" i="15"/>
  <c r="B78" i="15" s="1"/>
  <c r="R119" i="13"/>
  <c r="R84" i="13"/>
  <c r="T128" i="13"/>
  <c r="T93" i="13"/>
  <c r="Q126" i="13"/>
  <c r="Q91" i="13"/>
  <c r="W91" i="13" s="1"/>
  <c r="G31" i="1" s="1"/>
  <c r="P31" i="1" s="1"/>
  <c r="Q30" i="3" s="1"/>
  <c r="T110" i="13"/>
  <c r="W110" i="13" s="1"/>
  <c r="H15" i="1" s="1"/>
  <c r="Q15" i="1" s="1"/>
  <c r="T14" i="3" s="1"/>
  <c r="T75" i="13"/>
  <c r="R88" i="13"/>
  <c r="R123" i="13"/>
  <c r="X123" i="13" s="1"/>
  <c r="J57" i="4"/>
  <c r="T83" i="13"/>
  <c r="T118" i="13"/>
  <c r="W118" i="13" s="1"/>
  <c r="H23" i="1" s="1"/>
  <c r="Q23" i="1" s="1"/>
  <c r="T22" i="3" s="1"/>
  <c r="V102" i="13"/>
  <c r="V67" i="13"/>
  <c r="U112" i="13"/>
  <c r="U77" i="13"/>
  <c r="U129" i="13"/>
  <c r="X129" i="13" s="1"/>
  <c r="U94" i="13"/>
  <c r="U72" i="13"/>
  <c r="U107" i="13"/>
  <c r="X107" i="13" s="1"/>
  <c r="S72" i="13"/>
  <c r="Y72" i="13" s="1"/>
  <c r="J59" i="4"/>
  <c r="R113" i="13"/>
  <c r="R78" i="13"/>
  <c r="R116" i="13"/>
  <c r="X116" i="13" s="1"/>
  <c r="R81" i="13"/>
  <c r="V90" i="13"/>
  <c r="Y90" i="13" s="1"/>
  <c r="V125" i="13"/>
  <c r="R92" i="13"/>
  <c r="R127" i="13"/>
  <c r="Q73" i="13"/>
  <c r="Q108" i="13"/>
  <c r="W108" i="13" s="1"/>
  <c r="H13" i="1" s="1"/>
  <c r="Q13" i="1" s="1"/>
  <c r="T12" i="3" s="1"/>
  <c r="Q69" i="13"/>
  <c r="Q104" i="13"/>
  <c r="S118" i="13"/>
  <c r="S121" i="13"/>
  <c r="Y121" i="13" s="1"/>
  <c r="J76" i="4"/>
  <c r="V127" i="13"/>
  <c r="J73" i="4"/>
  <c r="S124" i="13"/>
  <c r="S89" i="13"/>
  <c r="Y89" i="13" s="1"/>
  <c r="S111" i="13"/>
  <c r="U85" i="13"/>
  <c r="U120" i="13"/>
  <c r="V120" i="13"/>
  <c r="Y120" i="13" s="1"/>
  <c r="T106" i="13"/>
  <c r="V103" i="13"/>
  <c r="S74" i="13"/>
  <c r="K73" i="4"/>
  <c r="P73" i="4" s="1"/>
  <c r="T125" i="13"/>
  <c r="T90" i="13"/>
  <c r="T92" i="13"/>
  <c r="R93" i="13"/>
  <c r="X93" i="13" s="1"/>
  <c r="R128" i="13"/>
  <c r="J62" i="4"/>
  <c r="U126" i="13"/>
  <c r="U91" i="13"/>
  <c r="X91" i="13" s="1"/>
  <c r="Q111" i="13"/>
  <c r="Q76" i="13"/>
  <c r="R86" i="13"/>
  <c r="R121" i="13"/>
  <c r="U122" i="13"/>
  <c r="X122" i="13" s="1"/>
  <c r="V93" i="13"/>
  <c r="Y93" i="13" s="1"/>
  <c r="Q86" i="13"/>
  <c r="Q121" i="13"/>
  <c r="J61" i="4"/>
  <c r="T81" i="13"/>
  <c r="J70" i="4"/>
  <c r="T121" i="13"/>
  <c r="T86" i="13"/>
  <c r="L59" i="4"/>
  <c r="Q59" i="4" s="1"/>
  <c r="U89" i="13"/>
  <c r="B74" i="13"/>
  <c r="U76" i="13"/>
  <c r="U79" i="13"/>
  <c r="X79" i="13" s="1"/>
  <c r="K76" i="4"/>
  <c r="P76" i="4" s="1"/>
  <c r="R126" i="13"/>
  <c r="S82" i="13"/>
  <c r="Y82" i="13" s="1"/>
  <c r="S117" i="13"/>
  <c r="K59" i="4"/>
  <c r="P59" i="4" s="1"/>
  <c r="K75" i="4"/>
  <c r="P75" i="4" s="1"/>
  <c r="Q67" i="13"/>
  <c r="W67" i="13" s="1"/>
  <c r="G7" i="1" s="1"/>
  <c r="P7" i="1" s="1"/>
  <c r="Q6" i="3" s="1"/>
  <c r="Q102" i="13"/>
  <c r="Q77" i="13"/>
  <c r="Q112" i="13"/>
  <c r="Q114" i="13"/>
  <c r="Q65" i="13"/>
  <c r="Q72" i="13"/>
  <c r="Q83" i="13"/>
  <c r="T126" i="13"/>
  <c r="Q124" i="13"/>
  <c r="S85" i="13"/>
  <c r="Y85" i="13" s="1"/>
  <c r="T88" i="13"/>
  <c r="Q101" i="13"/>
  <c r="W101" i="13" s="1"/>
  <c r="H6" i="1" s="1"/>
  <c r="Q6" i="1" s="1"/>
  <c r="T5" i="3" s="1"/>
  <c r="Q82" i="13"/>
  <c r="W82" i="13" s="1"/>
  <c r="G22" i="1" s="1"/>
  <c r="P22" i="1" s="1"/>
  <c r="Q21" i="3" s="1"/>
  <c r="T85" i="13"/>
  <c r="V91" i="13"/>
  <c r="Q129" i="13" l="1"/>
  <c r="AI102" i="13"/>
  <c r="AI109" i="13" s="1"/>
  <c r="X92" i="13"/>
  <c r="AM93" i="13"/>
  <c r="C28" i="1"/>
  <c r="L28" i="1" s="1"/>
  <c r="E27" i="3" s="1"/>
  <c r="E27" i="15" s="1"/>
  <c r="B95" i="15" s="1"/>
  <c r="X88" i="13"/>
  <c r="O52" i="4"/>
  <c r="W70" i="13"/>
  <c r="G10" i="1" s="1"/>
  <c r="P10" i="1" s="1"/>
  <c r="Q9" i="3" s="1"/>
  <c r="Q9" i="15" s="1"/>
  <c r="B201" i="15" s="1"/>
  <c r="X117" i="13"/>
  <c r="AE93" i="13"/>
  <c r="AD102" i="13" s="1"/>
  <c r="Y103" i="13"/>
  <c r="AE80" i="13"/>
  <c r="AC102" i="13" s="1"/>
  <c r="Y66" i="13"/>
  <c r="X70" i="13"/>
  <c r="Y122" i="13"/>
  <c r="Y74" i="13"/>
  <c r="X69" i="13"/>
  <c r="O71" i="4"/>
  <c r="W77" i="13"/>
  <c r="G17" i="1" s="1"/>
  <c r="P17" i="1" s="1"/>
  <c r="Q16" i="3" s="1"/>
  <c r="R16" i="3" s="1"/>
  <c r="R16" i="15" s="1"/>
  <c r="C208" i="15" s="1"/>
  <c r="W102" i="13"/>
  <c r="H7" i="1" s="1"/>
  <c r="Q7" i="1" s="1"/>
  <c r="T6" i="3" s="1"/>
  <c r="V6" i="3" s="1"/>
  <c r="V6" i="15" s="1"/>
  <c r="D229" i="15" s="1"/>
  <c r="Y111" i="13"/>
  <c r="X81" i="13"/>
  <c r="Y69" i="13"/>
  <c r="AI93" i="13"/>
  <c r="AF102" i="13" s="1"/>
  <c r="E7" i="15"/>
  <c r="B75" i="15" s="1"/>
  <c r="G7" i="3"/>
  <c r="G7" i="15" s="1"/>
  <c r="D75" i="15" s="1"/>
  <c r="Y105" i="13"/>
  <c r="W92" i="13"/>
  <c r="G32" i="1" s="1"/>
  <c r="P32" i="1" s="1"/>
  <c r="Q31" i="3" s="1"/>
  <c r="Q31" i="15" s="1"/>
  <c r="B223" i="15" s="1"/>
  <c r="X104" i="13"/>
  <c r="Y84" i="13"/>
  <c r="O58" i="4"/>
  <c r="F10" i="3"/>
  <c r="F10" i="15" s="1"/>
  <c r="C78" i="15" s="1"/>
  <c r="W103" i="13"/>
  <c r="H8" i="1" s="1"/>
  <c r="Q8" i="1" s="1"/>
  <c r="T7" i="3" s="1"/>
  <c r="T7" i="15" s="1"/>
  <c r="B230" i="15" s="1"/>
  <c r="X83" i="13"/>
  <c r="W73" i="13"/>
  <c r="G13" i="1" s="1"/>
  <c r="P13" i="1" s="1"/>
  <c r="Q12" i="3" s="1"/>
  <c r="S12" i="3" s="1"/>
  <c r="S12" i="15" s="1"/>
  <c r="D204" i="15" s="1"/>
  <c r="W68" i="13"/>
  <c r="G8" i="1" s="1"/>
  <c r="P8" i="1" s="1"/>
  <c r="Q7" i="3" s="1"/>
  <c r="Q7" i="15" s="1"/>
  <c r="B199" i="15" s="1"/>
  <c r="Q84" i="13"/>
  <c r="W84" i="13" s="1"/>
  <c r="G24" i="1" s="1"/>
  <c r="P24" i="1" s="1"/>
  <c r="Q23" i="3" s="1"/>
  <c r="Q23" i="15" s="1"/>
  <c r="B215" i="15" s="1"/>
  <c r="O67" i="4"/>
  <c r="Y129" i="13"/>
  <c r="W113" i="13"/>
  <c r="H18" i="1" s="1"/>
  <c r="Q18" i="1" s="1"/>
  <c r="T17" i="3" s="1"/>
  <c r="U17" i="3" s="1"/>
  <c r="U17" i="15" s="1"/>
  <c r="C240" i="15" s="1"/>
  <c r="X115" i="13"/>
  <c r="X76" i="13"/>
  <c r="AI111" i="13"/>
  <c r="X78" i="13"/>
  <c r="O55" i="4"/>
  <c r="AI110" i="13"/>
  <c r="O65" i="4"/>
  <c r="C34" i="1"/>
  <c r="L34" i="1" s="1"/>
  <c r="E33" i="3" s="1"/>
  <c r="E33" i="15" s="1"/>
  <c r="B101" i="15" s="1"/>
  <c r="O68" i="4"/>
  <c r="X100" i="13"/>
  <c r="X121" i="13"/>
  <c r="Y124" i="13"/>
  <c r="X72" i="13"/>
  <c r="W85" i="13"/>
  <c r="G25" i="1" s="1"/>
  <c r="P25" i="1" s="1"/>
  <c r="Q24" i="3" s="1"/>
  <c r="R24" i="3" s="1"/>
  <c r="R24" i="15" s="1"/>
  <c r="C216" i="15" s="1"/>
  <c r="X84" i="13"/>
  <c r="X86" i="13"/>
  <c r="W106" i="13"/>
  <c r="H11" i="1" s="1"/>
  <c r="Q11" i="1" s="1"/>
  <c r="T10" i="3" s="1"/>
  <c r="T10" i="15" s="1"/>
  <c r="B233" i="15" s="1"/>
  <c r="O49" i="4"/>
  <c r="X94" i="13"/>
  <c r="C30" i="1"/>
  <c r="L30" i="1" s="1"/>
  <c r="E29" i="3" s="1"/>
  <c r="E29" i="15" s="1"/>
  <c r="B97" i="15" s="1"/>
  <c r="Y87" i="13"/>
  <c r="W87" i="13"/>
  <c r="G27" i="1" s="1"/>
  <c r="P27" i="1" s="1"/>
  <c r="Q26" i="3" s="1"/>
  <c r="R26" i="3" s="1"/>
  <c r="R26" i="15" s="1"/>
  <c r="C218" i="15" s="1"/>
  <c r="E32" i="15"/>
  <c r="B100" i="15" s="1"/>
  <c r="F27" i="3"/>
  <c r="F27" i="15" s="1"/>
  <c r="C95" i="15" s="1"/>
  <c r="G32" i="3"/>
  <c r="G32" i="15" s="1"/>
  <c r="D100" i="15" s="1"/>
  <c r="X125" i="13"/>
  <c r="X90" i="13"/>
  <c r="X119" i="13"/>
  <c r="Y91" i="13"/>
  <c r="W115" i="13"/>
  <c r="H20" i="1" s="1"/>
  <c r="Q20" i="1" s="1"/>
  <c r="T19" i="3" s="1"/>
  <c r="U19" i="3" s="1"/>
  <c r="U19" i="15" s="1"/>
  <c r="C242" i="15" s="1"/>
  <c r="O64" i="4"/>
  <c r="X73" i="13"/>
  <c r="X101" i="13"/>
  <c r="Y115" i="13"/>
  <c r="C7" i="1"/>
  <c r="L7" i="1" s="1"/>
  <c r="E6" i="3" s="1"/>
  <c r="E6" i="15" s="1"/>
  <c r="B74" i="15" s="1"/>
  <c r="Y75" i="13"/>
  <c r="W119" i="13"/>
  <c r="H24" i="1" s="1"/>
  <c r="Q24" i="1" s="1"/>
  <c r="T23" i="3" s="1"/>
  <c r="U23" i="3" s="1"/>
  <c r="U23" i="15" s="1"/>
  <c r="C246" i="15" s="1"/>
  <c r="F15" i="3"/>
  <c r="F15" i="15" s="1"/>
  <c r="C83" i="15" s="1"/>
  <c r="E15" i="15"/>
  <c r="B83" i="15" s="1"/>
  <c r="W76" i="13"/>
  <c r="G16" i="1" s="1"/>
  <c r="P16" i="1" s="1"/>
  <c r="Q15" i="3" s="1"/>
  <c r="S15" i="3" s="1"/>
  <c r="S15" i="15" s="1"/>
  <c r="D207" i="15" s="1"/>
  <c r="X89" i="13"/>
  <c r="O77" i="4"/>
  <c r="Y125" i="13"/>
  <c r="X126" i="13"/>
  <c r="W111" i="13"/>
  <c r="H16" i="1" s="1"/>
  <c r="Q16" i="1" s="1"/>
  <c r="T15" i="3" s="1"/>
  <c r="U15" i="3" s="1"/>
  <c r="U15" i="15" s="1"/>
  <c r="C238" i="15" s="1"/>
  <c r="O60" i="4"/>
  <c r="W81" i="13"/>
  <c r="G21" i="1" s="1"/>
  <c r="P21" i="1" s="1"/>
  <c r="Q20" i="3" s="1"/>
  <c r="Q20" i="15" s="1"/>
  <c r="B212" i="15" s="1"/>
  <c r="Y117" i="13"/>
  <c r="Y80" i="13"/>
  <c r="Y73" i="13"/>
  <c r="X110" i="13"/>
  <c r="O54" i="4"/>
  <c r="O56" i="4"/>
  <c r="T94" i="13"/>
  <c r="W94" i="13" s="1"/>
  <c r="G34" i="1" s="1"/>
  <c r="P34" i="1" s="1"/>
  <c r="Q33" i="3" s="1"/>
  <c r="T129" i="13"/>
  <c r="W129" i="13" s="1"/>
  <c r="H34" i="1" s="1"/>
  <c r="Q34" i="1" s="1"/>
  <c r="T33" i="3" s="1"/>
  <c r="B256" i="15" s="1"/>
  <c r="O66" i="4"/>
  <c r="T26" i="15"/>
  <c r="B249" i="15" s="1"/>
  <c r="X74" i="13"/>
  <c r="W72" i="13"/>
  <c r="G12" i="1" s="1"/>
  <c r="P12" i="1" s="1"/>
  <c r="Q11" i="3" s="1"/>
  <c r="Q11" i="15" s="1"/>
  <c r="B203" i="15" s="1"/>
  <c r="C9" i="1"/>
  <c r="L9" i="1" s="1"/>
  <c r="E8" i="3" s="1"/>
  <c r="F8" i="3" s="1"/>
  <c r="F8" i="15" s="1"/>
  <c r="C76" i="15" s="1"/>
  <c r="V26" i="3"/>
  <c r="V26" i="15" s="1"/>
  <c r="D249" i="15" s="1"/>
  <c r="X109" i="13"/>
  <c r="Y67" i="13"/>
  <c r="O75" i="4"/>
  <c r="W83" i="13"/>
  <c r="G23" i="1" s="1"/>
  <c r="P23" i="1" s="1"/>
  <c r="Q22" i="3" s="1"/>
  <c r="S22" i="3" s="1"/>
  <c r="S22" i="15" s="1"/>
  <c r="D214" i="15" s="1"/>
  <c r="X120" i="13"/>
  <c r="W112" i="13"/>
  <c r="H17" i="1" s="1"/>
  <c r="Q17" i="1" s="1"/>
  <c r="T16" i="3" s="1"/>
  <c r="T16" i="15" s="1"/>
  <c r="B239" i="15" s="1"/>
  <c r="X113" i="13"/>
  <c r="W75" i="13"/>
  <c r="G15" i="1" s="1"/>
  <c r="P15" i="1" s="1"/>
  <c r="Q14" i="3" s="1"/>
  <c r="R14" i="3" s="1"/>
  <c r="R14" i="15" s="1"/>
  <c r="C206" i="15" s="1"/>
  <c r="X103" i="13"/>
  <c r="E13" i="15"/>
  <c r="B81" i="15" s="1"/>
  <c r="T24" i="15"/>
  <c r="B247" i="15" s="1"/>
  <c r="W65" i="13"/>
  <c r="G5" i="1" s="1"/>
  <c r="P5" i="1" s="1"/>
  <c r="Q4" i="3" s="1"/>
  <c r="Q4" i="15" s="1"/>
  <c r="B196" i="15" s="1"/>
  <c r="Y106" i="13"/>
  <c r="U24" i="3"/>
  <c r="U24" i="15" s="1"/>
  <c r="C247" i="15" s="1"/>
  <c r="Y77" i="13"/>
  <c r="X102" i="13"/>
  <c r="W80" i="13"/>
  <c r="G20" i="1" s="1"/>
  <c r="P20" i="1" s="1"/>
  <c r="Q19" i="3" s="1"/>
  <c r="R19" i="3" s="1"/>
  <c r="R19" i="15" s="1"/>
  <c r="C211" i="15" s="1"/>
  <c r="X85" i="13"/>
  <c r="G13" i="3"/>
  <c r="G13" i="15" s="1"/>
  <c r="D81" i="15" s="1"/>
  <c r="X80" i="13"/>
  <c r="Y118" i="13"/>
  <c r="W126" i="13"/>
  <c r="H31" i="1" s="1"/>
  <c r="Q31" i="1" s="1"/>
  <c r="T30" i="3" s="1"/>
  <c r="T30" i="15" s="1"/>
  <c r="B253" i="15" s="1"/>
  <c r="W86" i="13"/>
  <c r="G26" i="1" s="1"/>
  <c r="P26" i="1" s="1"/>
  <c r="Q25" i="3" s="1"/>
  <c r="Q25" i="15" s="1"/>
  <c r="B217" i="15" s="1"/>
  <c r="F11" i="3"/>
  <c r="F11" i="15" s="1"/>
  <c r="C79" i="15" s="1"/>
  <c r="G11" i="3"/>
  <c r="G11" i="15" s="1"/>
  <c r="D79" i="15" s="1"/>
  <c r="C25" i="1"/>
  <c r="L25" i="1" s="1"/>
  <c r="E24" i="3" s="1"/>
  <c r="O69" i="4"/>
  <c r="Y108" i="13"/>
  <c r="Y102" i="13"/>
  <c r="J48" i="4"/>
  <c r="C4" i="1" s="1"/>
  <c r="L4" i="1" s="1"/>
  <c r="E3" i="3" s="1"/>
  <c r="T21" i="15"/>
  <c r="B244" i="15" s="1"/>
  <c r="U21" i="3"/>
  <c r="U21" i="15" s="1"/>
  <c r="C244" i="15" s="1"/>
  <c r="V21" i="3"/>
  <c r="V21" i="15" s="1"/>
  <c r="D244" i="15" s="1"/>
  <c r="T14" i="15"/>
  <c r="B237" i="15" s="1"/>
  <c r="U14" i="3"/>
  <c r="U14" i="15" s="1"/>
  <c r="C237" i="15" s="1"/>
  <c r="V14" i="3"/>
  <c r="V14" i="15" s="1"/>
  <c r="D237" i="15" s="1"/>
  <c r="S18" i="3"/>
  <c r="S18" i="15" s="1"/>
  <c r="D210" i="15" s="1"/>
  <c r="Q18" i="15"/>
  <c r="B210" i="15" s="1"/>
  <c r="R18" i="3"/>
  <c r="R18" i="15" s="1"/>
  <c r="C210" i="15" s="1"/>
  <c r="C26" i="1"/>
  <c r="L26" i="1" s="1"/>
  <c r="E25" i="3" s="1"/>
  <c r="O70" i="4"/>
  <c r="G26" i="3"/>
  <c r="G26" i="15" s="1"/>
  <c r="D94" i="15" s="1"/>
  <c r="F26" i="3"/>
  <c r="F26" i="15" s="1"/>
  <c r="C94" i="15" s="1"/>
  <c r="E26" i="15"/>
  <c r="B94" i="15" s="1"/>
  <c r="W121" i="13"/>
  <c r="H26" i="1" s="1"/>
  <c r="Q26" i="1" s="1"/>
  <c r="T25" i="3" s="1"/>
  <c r="S10" i="3"/>
  <c r="S10" i="15" s="1"/>
  <c r="D202" i="15" s="1"/>
  <c r="R10" i="3"/>
  <c r="R10" i="15" s="1"/>
  <c r="C202" i="15" s="1"/>
  <c r="Q10" i="15"/>
  <c r="B202" i="15" s="1"/>
  <c r="T20" i="15"/>
  <c r="B243" i="15" s="1"/>
  <c r="U20" i="3"/>
  <c r="U20" i="15" s="1"/>
  <c r="C243" i="15" s="1"/>
  <c r="V20" i="3"/>
  <c r="V20" i="15" s="1"/>
  <c r="D243" i="15" s="1"/>
  <c r="R21" i="3"/>
  <c r="R21" i="15" s="1"/>
  <c r="C213" i="15" s="1"/>
  <c r="S21" i="3"/>
  <c r="S21" i="15" s="1"/>
  <c r="D213" i="15" s="1"/>
  <c r="Q21" i="15"/>
  <c r="B213" i="15" s="1"/>
  <c r="T22" i="15"/>
  <c r="B245" i="15" s="1"/>
  <c r="V22" i="3"/>
  <c r="V22" i="15" s="1"/>
  <c r="D245" i="15" s="1"/>
  <c r="U22" i="3"/>
  <c r="U22" i="15" s="1"/>
  <c r="C245" i="15" s="1"/>
  <c r="T5" i="15"/>
  <c r="B228" i="15" s="1"/>
  <c r="V5" i="3"/>
  <c r="V5" i="15" s="1"/>
  <c r="D228" i="15" s="1"/>
  <c r="U5" i="3"/>
  <c r="U5" i="15" s="1"/>
  <c r="C228" i="15" s="1"/>
  <c r="V11" i="3"/>
  <c r="V11" i="15" s="1"/>
  <c r="D234" i="15" s="1"/>
  <c r="T11" i="15"/>
  <c r="B234" i="15" s="1"/>
  <c r="U11" i="3"/>
  <c r="U11" i="15" s="1"/>
  <c r="C234" i="15" s="1"/>
  <c r="R30" i="3"/>
  <c r="R30" i="15" s="1"/>
  <c r="C222" i="15" s="1"/>
  <c r="S30" i="3"/>
  <c r="S30" i="15" s="1"/>
  <c r="D222" i="15" s="1"/>
  <c r="Q30" i="15"/>
  <c r="B222" i="15" s="1"/>
  <c r="O59" i="4"/>
  <c r="C15" i="1"/>
  <c r="L15" i="1" s="1"/>
  <c r="E14" i="3" s="1"/>
  <c r="AM82" i="13"/>
  <c r="AG102" i="13"/>
  <c r="X127" i="13"/>
  <c r="K48" i="4"/>
  <c r="P48" i="4" s="1"/>
  <c r="G4" i="3"/>
  <c r="G4" i="15" s="1"/>
  <c r="D72" i="15" s="1"/>
  <c r="F4" i="3"/>
  <c r="F4" i="15" s="1"/>
  <c r="C72" i="15" s="1"/>
  <c r="E4" i="15"/>
  <c r="B72" i="15" s="1"/>
  <c r="W128" i="13"/>
  <c r="H33" i="1" s="1"/>
  <c r="Q33" i="1" s="1"/>
  <c r="T32" i="3" s="1"/>
  <c r="O63" i="4"/>
  <c r="C19" i="1"/>
  <c r="L19" i="1" s="1"/>
  <c r="E18" i="3" s="1"/>
  <c r="W93" i="13"/>
  <c r="G33" i="1" s="1"/>
  <c r="P33" i="1" s="1"/>
  <c r="Q32" i="3" s="1"/>
  <c r="T31" i="15"/>
  <c r="B254" i="15" s="1"/>
  <c r="U31" i="3"/>
  <c r="U31" i="15" s="1"/>
  <c r="C254" i="15" s="1"/>
  <c r="V31" i="3"/>
  <c r="V31" i="15" s="1"/>
  <c r="D254" i="15" s="1"/>
  <c r="O76" i="4"/>
  <c r="C32" i="1"/>
  <c r="L32" i="1" s="1"/>
  <c r="E31" i="3" s="1"/>
  <c r="Y127" i="13"/>
  <c r="V64" i="13"/>
  <c r="V99" i="13"/>
  <c r="X112" i="13"/>
  <c r="S17" i="3"/>
  <c r="S17" i="15" s="1"/>
  <c r="D209" i="15" s="1"/>
  <c r="R17" i="3"/>
  <c r="R17" i="15" s="1"/>
  <c r="C209" i="15" s="1"/>
  <c r="Q17" i="15"/>
  <c r="B209" i="15" s="1"/>
  <c r="AE102" i="13"/>
  <c r="AI82" i="13"/>
  <c r="X77" i="13"/>
  <c r="X68" i="13"/>
  <c r="T69" i="13"/>
  <c r="W69" i="13" s="1"/>
  <c r="G9" i="1" s="1"/>
  <c r="P9" i="1" s="1"/>
  <c r="Q8" i="3" s="1"/>
  <c r="T104" i="13"/>
  <c r="W104" i="13" s="1"/>
  <c r="H9" i="1" s="1"/>
  <c r="Q9" i="1" s="1"/>
  <c r="T8" i="3" s="1"/>
  <c r="W114" i="13"/>
  <c r="H19" i="1" s="1"/>
  <c r="Q19" i="1" s="1"/>
  <c r="T18" i="3" s="1"/>
  <c r="G19" i="3"/>
  <c r="G19" i="15" s="1"/>
  <c r="D87" i="15" s="1"/>
  <c r="E19" i="15"/>
  <c r="B87" i="15" s="1"/>
  <c r="F19" i="3"/>
  <c r="F19" i="15" s="1"/>
  <c r="C87" i="15" s="1"/>
  <c r="T4" i="15"/>
  <c r="B227" i="15" s="1"/>
  <c r="U4" i="3"/>
  <c r="U4" i="15" s="1"/>
  <c r="C227" i="15" s="1"/>
  <c r="V4" i="3"/>
  <c r="V4" i="15" s="1"/>
  <c r="D227" i="15" s="1"/>
  <c r="F23" i="3"/>
  <c r="F23" i="15" s="1"/>
  <c r="C91" i="15" s="1"/>
  <c r="E23" i="15"/>
  <c r="B91" i="15" s="1"/>
  <c r="G23" i="3"/>
  <c r="G23" i="15" s="1"/>
  <c r="D91" i="15" s="1"/>
  <c r="R64" i="13"/>
  <c r="R99" i="13"/>
  <c r="W125" i="13"/>
  <c r="H30" i="1" s="1"/>
  <c r="Q30" i="1" s="1"/>
  <c r="T29" i="3" s="1"/>
  <c r="E30" i="15"/>
  <c r="B98" i="15" s="1"/>
  <c r="F30" i="3"/>
  <c r="F30" i="15" s="1"/>
  <c r="C98" i="15" s="1"/>
  <c r="G30" i="3"/>
  <c r="G30" i="15" s="1"/>
  <c r="D98" i="15" s="1"/>
  <c r="S99" i="13"/>
  <c r="S64" i="13"/>
  <c r="O61" i="4"/>
  <c r="C17" i="1"/>
  <c r="L17" i="1" s="1"/>
  <c r="E16" i="3" s="1"/>
  <c r="W90" i="13"/>
  <c r="G30" i="1" s="1"/>
  <c r="P30" i="1" s="1"/>
  <c r="Q29" i="3" s="1"/>
  <c r="C13" i="1"/>
  <c r="L13" i="1" s="1"/>
  <c r="E12" i="3" s="1"/>
  <c r="O57" i="4"/>
  <c r="U99" i="13"/>
  <c r="U64" i="13"/>
  <c r="W88" i="13"/>
  <c r="G28" i="1" s="1"/>
  <c r="P28" i="1" s="1"/>
  <c r="Q27" i="3" s="1"/>
  <c r="U9" i="3"/>
  <c r="U9" i="15" s="1"/>
  <c r="C232" i="15" s="1"/>
  <c r="T9" i="15"/>
  <c r="B232" i="15" s="1"/>
  <c r="V9" i="3"/>
  <c r="V9" i="15" s="1"/>
  <c r="D232" i="15" s="1"/>
  <c r="E5" i="15"/>
  <c r="B73" i="15" s="1"/>
  <c r="G5" i="3"/>
  <c r="G5" i="15" s="1"/>
  <c r="D73" i="15" s="1"/>
  <c r="F5" i="3"/>
  <c r="F5" i="15" s="1"/>
  <c r="C73" i="15" s="1"/>
  <c r="X118" i="13"/>
  <c r="T89" i="13"/>
  <c r="W89" i="13" s="1"/>
  <c r="G29" i="1" s="1"/>
  <c r="P29" i="1" s="1"/>
  <c r="Q28" i="3" s="1"/>
  <c r="T124" i="13"/>
  <c r="W124" i="13" s="1"/>
  <c r="H29" i="1" s="1"/>
  <c r="Q29" i="1" s="1"/>
  <c r="T28" i="3" s="1"/>
  <c r="F21" i="3"/>
  <c r="F21" i="15" s="1"/>
  <c r="C89" i="15" s="1"/>
  <c r="E21" i="15"/>
  <c r="B89" i="15" s="1"/>
  <c r="G21" i="3"/>
  <c r="G21" i="15" s="1"/>
  <c r="D89" i="15" s="1"/>
  <c r="T27" i="15"/>
  <c r="B250" i="15" s="1"/>
  <c r="U27" i="3"/>
  <c r="U27" i="15" s="1"/>
  <c r="C250" i="15" s="1"/>
  <c r="V27" i="3"/>
  <c r="V27" i="15" s="1"/>
  <c r="D250" i="15" s="1"/>
  <c r="U12" i="3"/>
  <c r="U12" i="15" s="1"/>
  <c r="C235" i="15" s="1"/>
  <c r="V12" i="3"/>
  <c r="V12" i="15" s="1"/>
  <c r="D235" i="15" s="1"/>
  <c r="T12" i="15"/>
  <c r="B235" i="15" s="1"/>
  <c r="Q5" i="15"/>
  <c r="B197" i="15" s="1"/>
  <c r="S5" i="3"/>
  <c r="S5" i="15" s="1"/>
  <c r="D197" i="15" s="1"/>
  <c r="R5" i="3"/>
  <c r="R5" i="15" s="1"/>
  <c r="C197" i="15" s="1"/>
  <c r="L48" i="4"/>
  <c r="Q48" i="4" s="1"/>
  <c r="F9" i="3"/>
  <c r="F9" i="15" s="1"/>
  <c r="C77" i="15" s="1"/>
  <c r="G9" i="3"/>
  <c r="G9" i="15" s="1"/>
  <c r="D77" i="15" s="1"/>
  <c r="E9" i="15"/>
  <c r="B77" i="15" s="1"/>
  <c r="E22" i="15"/>
  <c r="B90" i="15" s="1"/>
  <c r="F22" i="3"/>
  <c r="F22" i="15" s="1"/>
  <c r="C90" i="15" s="1"/>
  <c r="G22" i="3"/>
  <c r="G22" i="15" s="1"/>
  <c r="D90" i="15" s="1"/>
  <c r="AH102" i="13"/>
  <c r="AM95" i="13"/>
  <c r="Q109" i="13"/>
  <c r="W109" i="13" s="1"/>
  <c r="H14" i="1" s="1"/>
  <c r="Q14" i="1" s="1"/>
  <c r="T13" i="3" s="1"/>
  <c r="Q74" i="13"/>
  <c r="W74" i="13" s="1"/>
  <c r="G14" i="1" s="1"/>
  <c r="P14" i="1" s="1"/>
  <c r="Q13" i="3" s="1"/>
  <c r="C18" i="1"/>
  <c r="L18" i="1" s="1"/>
  <c r="E17" i="3" s="1"/>
  <c r="O62" i="4"/>
  <c r="S6" i="3"/>
  <c r="S6" i="15" s="1"/>
  <c r="D198" i="15" s="1"/>
  <c r="R6" i="3"/>
  <c r="R6" i="15" s="1"/>
  <c r="C198" i="15" s="1"/>
  <c r="Q6" i="15"/>
  <c r="B198" i="15" s="1"/>
  <c r="F20" i="3"/>
  <c r="F20" i="15" s="1"/>
  <c r="C88" i="15" s="1"/>
  <c r="G20" i="3"/>
  <c r="G20" i="15" s="1"/>
  <c r="D88" i="15" s="1"/>
  <c r="E20" i="15"/>
  <c r="B88" i="15" s="1"/>
  <c r="X128" i="13"/>
  <c r="C29" i="1"/>
  <c r="L29" i="1" s="1"/>
  <c r="E28" i="3" s="1"/>
  <c r="O73" i="4"/>
  <c r="Q64" i="13"/>
  <c r="W64" i="13" s="1"/>
  <c r="G4" i="1" s="1"/>
  <c r="P4" i="1" s="1"/>
  <c r="Q3" i="3" s="1"/>
  <c r="Q99" i="13"/>
  <c r="W99" i="13" s="1"/>
  <c r="H4" i="1" s="1"/>
  <c r="Q4" i="1" s="1"/>
  <c r="T3" i="3" s="1"/>
  <c r="AE95" i="13" l="1"/>
  <c r="R9" i="3"/>
  <c r="R9" i="15" s="1"/>
  <c r="C201" i="15" s="1"/>
  <c r="S9" i="3"/>
  <c r="S9" i="15" s="1"/>
  <c r="D201" i="15" s="1"/>
  <c r="G27" i="3"/>
  <c r="G27" i="15" s="1"/>
  <c r="D95" i="15" s="1"/>
  <c r="Q16" i="15"/>
  <c r="B208" i="15" s="1"/>
  <c r="AE82" i="13"/>
  <c r="AC111" i="13" s="1"/>
  <c r="AC118" i="13" s="1"/>
  <c r="B4" i="16" s="1"/>
  <c r="B14" i="16" s="1"/>
  <c r="S16" i="3"/>
  <c r="S16" i="15" s="1"/>
  <c r="D208" i="15" s="1"/>
  <c r="T6" i="15"/>
  <c r="B229" i="15" s="1"/>
  <c r="U6" i="3"/>
  <c r="U6" i="15" s="1"/>
  <c r="C229" i="15" s="1"/>
  <c r="V15" i="3"/>
  <c r="V15" i="15" s="1"/>
  <c r="D238" i="15" s="1"/>
  <c r="AI95" i="13"/>
  <c r="AF112" i="13" s="1"/>
  <c r="AF119" i="13" s="1"/>
  <c r="E5" i="16" s="1"/>
  <c r="B27" i="16" s="1"/>
  <c r="S31" i="3"/>
  <c r="S31" i="15" s="1"/>
  <c r="D223" i="15" s="1"/>
  <c r="R31" i="3"/>
  <c r="R31" i="15" s="1"/>
  <c r="C223" i="15" s="1"/>
  <c r="U30" i="3"/>
  <c r="U30" i="15" s="1"/>
  <c r="C253" i="15" s="1"/>
  <c r="R12" i="3"/>
  <c r="R12" i="15" s="1"/>
  <c r="C204" i="15" s="1"/>
  <c r="Q12" i="15"/>
  <c r="B204" i="15" s="1"/>
  <c r="R25" i="3"/>
  <c r="R25" i="15" s="1"/>
  <c r="C217" i="15" s="1"/>
  <c r="F6" i="3"/>
  <c r="F6" i="15" s="1"/>
  <c r="C74" i="15" s="1"/>
  <c r="V19" i="3"/>
  <c r="V19" i="15" s="1"/>
  <c r="D242" i="15" s="1"/>
  <c r="G6" i="3"/>
  <c r="G6" i="15" s="1"/>
  <c r="D74" i="15" s="1"/>
  <c r="T19" i="15"/>
  <c r="B242" i="15" s="1"/>
  <c r="V7" i="3"/>
  <c r="V7" i="15" s="1"/>
  <c r="D230" i="15" s="1"/>
  <c r="S25" i="3"/>
  <c r="S25" i="15" s="1"/>
  <c r="D217" i="15" s="1"/>
  <c r="U7" i="3"/>
  <c r="U7" i="15" s="1"/>
  <c r="C230" i="15" s="1"/>
  <c r="S24" i="3"/>
  <c r="S24" i="15" s="1"/>
  <c r="D216" i="15" s="1"/>
  <c r="R15" i="3"/>
  <c r="R15" i="15" s="1"/>
  <c r="C207" i="15" s="1"/>
  <c r="R11" i="3"/>
  <c r="R11" i="15" s="1"/>
  <c r="C203" i="15" s="1"/>
  <c r="S11" i="3"/>
  <c r="S11" i="15" s="1"/>
  <c r="D203" i="15" s="1"/>
  <c r="R7" i="3"/>
  <c r="R7" i="15" s="1"/>
  <c r="C199" i="15" s="1"/>
  <c r="V23" i="3"/>
  <c r="V23" i="15" s="1"/>
  <c r="D246" i="15" s="1"/>
  <c r="S7" i="3"/>
  <c r="S7" i="15" s="1"/>
  <c r="D199" i="15" s="1"/>
  <c r="T23" i="15"/>
  <c r="B246" i="15" s="1"/>
  <c r="Q15" i="15"/>
  <c r="B207" i="15" s="1"/>
  <c r="G8" i="3"/>
  <c r="G8" i="15" s="1"/>
  <c r="D76" i="15" s="1"/>
  <c r="E8" i="15"/>
  <c r="B76" i="15" s="1"/>
  <c r="R23" i="3"/>
  <c r="R23" i="15" s="1"/>
  <c r="C215" i="15" s="1"/>
  <c r="G29" i="3"/>
  <c r="G29" i="15" s="1"/>
  <c r="D97" i="15" s="1"/>
  <c r="V17" i="3"/>
  <c r="V17" i="15" s="1"/>
  <c r="D240" i="15" s="1"/>
  <c r="T17" i="15"/>
  <c r="B240" i="15" s="1"/>
  <c r="F29" i="3"/>
  <c r="F29" i="15" s="1"/>
  <c r="C97" i="15" s="1"/>
  <c r="Q24" i="15"/>
  <c r="B216" i="15" s="1"/>
  <c r="S23" i="3"/>
  <c r="S23" i="15" s="1"/>
  <c r="D215" i="15" s="1"/>
  <c r="S20" i="3"/>
  <c r="S20" i="15" s="1"/>
  <c r="D212" i="15" s="1"/>
  <c r="V16" i="3"/>
  <c r="V16" i="15" s="1"/>
  <c r="D239" i="15" s="1"/>
  <c r="R20" i="3"/>
  <c r="R20" i="15" s="1"/>
  <c r="C212" i="15" s="1"/>
  <c r="AG109" i="13"/>
  <c r="AG116" i="13" s="1"/>
  <c r="F2" i="16" s="1"/>
  <c r="B28" i="16" s="1"/>
  <c r="G33" i="3"/>
  <c r="G33" i="15" s="1"/>
  <c r="D101" i="15" s="1"/>
  <c r="Q22" i="15"/>
  <c r="B214" i="15" s="1"/>
  <c r="F33" i="3"/>
  <c r="F33" i="15" s="1"/>
  <c r="C101" i="15" s="1"/>
  <c r="R22" i="3"/>
  <c r="R22" i="15" s="1"/>
  <c r="C214" i="15" s="1"/>
  <c r="U16" i="3"/>
  <c r="U16" i="15" s="1"/>
  <c r="C239" i="15" s="1"/>
  <c r="T15" i="15"/>
  <c r="B238" i="15" s="1"/>
  <c r="U10" i="3"/>
  <c r="U10" i="15" s="1"/>
  <c r="C233" i="15" s="1"/>
  <c r="V10" i="3"/>
  <c r="V10" i="15" s="1"/>
  <c r="D233" i="15" s="1"/>
  <c r="V30" i="3"/>
  <c r="V30" i="15" s="1"/>
  <c r="D253" i="15" s="1"/>
  <c r="S26" i="3"/>
  <c r="S26" i="15" s="1"/>
  <c r="D218" i="15" s="1"/>
  <c r="Q26" i="15"/>
  <c r="B218" i="15" s="1"/>
  <c r="AF109" i="13"/>
  <c r="AF116" i="13" s="1"/>
  <c r="S14" i="3"/>
  <c r="S14" i="15" s="1"/>
  <c r="D206" i="15" s="1"/>
  <c r="Q14" i="15"/>
  <c r="B206" i="15" s="1"/>
  <c r="O48" i="4"/>
  <c r="AI118" i="13"/>
  <c r="H4" i="16" s="1"/>
  <c r="B38" i="16" s="1"/>
  <c r="S4" i="3"/>
  <c r="S4" i="15" s="1"/>
  <c r="D196" i="15" s="1"/>
  <c r="V33" i="3"/>
  <c r="V33" i="15" s="1"/>
  <c r="D256" i="15" s="1"/>
  <c r="R4" i="3"/>
  <c r="R4" i="15" s="1"/>
  <c r="C196" i="15" s="1"/>
  <c r="AI117" i="13"/>
  <c r="H3" i="16" s="1"/>
  <c r="B37" i="16" s="1"/>
  <c r="AI119" i="13"/>
  <c r="H5" i="16" s="1"/>
  <c r="B39" i="16" s="1"/>
  <c r="U33" i="3"/>
  <c r="U33" i="15" s="1"/>
  <c r="C256" i="15" s="1"/>
  <c r="Q19" i="15"/>
  <c r="B211" i="15" s="1"/>
  <c r="S19" i="3"/>
  <c r="S19" i="15" s="1"/>
  <c r="D211" i="15" s="1"/>
  <c r="F24" i="3"/>
  <c r="F24" i="15" s="1"/>
  <c r="C92" i="15" s="1"/>
  <c r="G24" i="3"/>
  <c r="G24" i="15" s="1"/>
  <c r="D92" i="15" s="1"/>
  <c r="E24" i="15"/>
  <c r="B92" i="15" s="1"/>
  <c r="X99" i="13"/>
  <c r="V8" i="3"/>
  <c r="V8" i="15" s="1"/>
  <c r="D231" i="15" s="1"/>
  <c r="U8" i="3"/>
  <c r="U8" i="15" s="1"/>
  <c r="C231" i="15" s="1"/>
  <c r="T8" i="15"/>
  <c r="B231" i="15" s="1"/>
  <c r="AD110" i="13"/>
  <c r="AD117" i="13" s="1"/>
  <c r="C3" i="16" s="1"/>
  <c r="B17" i="16" s="1"/>
  <c r="AD112" i="13"/>
  <c r="AD119" i="13" s="1"/>
  <c r="C5" i="16" s="1"/>
  <c r="B19" i="16" s="1"/>
  <c r="AD111" i="13"/>
  <c r="AD118" i="13" s="1"/>
  <c r="C4" i="16" s="1"/>
  <c r="B18" i="16" s="1"/>
  <c r="AD109" i="13"/>
  <c r="AD116" i="13" s="1"/>
  <c r="AH111" i="13"/>
  <c r="AH118" i="13" s="1"/>
  <c r="G4" i="16" s="1"/>
  <c r="B34" i="16" s="1"/>
  <c r="AH112" i="13"/>
  <c r="AH119" i="13" s="1"/>
  <c r="G5" i="16" s="1"/>
  <c r="B35" i="16" s="1"/>
  <c r="AH110" i="13"/>
  <c r="AH117" i="13" s="1"/>
  <c r="G3" i="16" s="1"/>
  <c r="B33" i="16" s="1"/>
  <c r="F14" i="3"/>
  <c r="F14" i="15" s="1"/>
  <c r="C82" i="15" s="1"/>
  <c r="G14" i="3"/>
  <c r="G14" i="15" s="1"/>
  <c r="D82" i="15" s="1"/>
  <c r="E14" i="15"/>
  <c r="B82" i="15" s="1"/>
  <c r="G25" i="3"/>
  <c r="G25" i="15" s="1"/>
  <c r="D93" i="15" s="1"/>
  <c r="F25" i="3"/>
  <c r="F25" i="15" s="1"/>
  <c r="C93" i="15" s="1"/>
  <c r="E25" i="15"/>
  <c r="B93" i="15" s="1"/>
  <c r="AH109" i="13"/>
  <c r="AH116" i="13" s="1"/>
  <c r="G28" i="3"/>
  <c r="G28" i="15" s="1"/>
  <c r="D96" i="15" s="1"/>
  <c r="F28" i="3"/>
  <c r="F28" i="15" s="1"/>
  <c r="C96" i="15" s="1"/>
  <c r="E28" i="15"/>
  <c r="B96" i="15" s="1"/>
  <c r="G18" i="3"/>
  <c r="G18" i="15" s="1"/>
  <c r="D86" i="15" s="1"/>
  <c r="F18" i="3"/>
  <c r="F18" i="15" s="1"/>
  <c r="C86" i="15" s="1"/>
  <c r="E18" i="15"/>
  <c r="B86" i="15" s="1"/>
  <c r="Y64" i="13"/>
  <c r="V18" i="3"/>
  <c r="V18" i="15" s="1"/>
  <c r="D241" i="15" s="1"/>
  <c r="T18" i="15"/>
  <c r="B241" i="15" s="1"/>
  <c r="U18" i="3"/>
  <c r="U18" i="15" s="1"/>
  <c r="C241" i="15" s="1"/>
  <c r="AE111" i="13"/>
  <c r="AE118" i="13" s="1"/>
  <c r="D4" i="16" s="1"/>
  <c r="B22" i="16" s="1"/>
  <c r="AE110" i="13"/>
  <c r="AE117" i="13" s="1"/>
  <c r="D3" i="16" s="1"/>
  <c r="B21" i="16" s="1"/>
  <c r="AE112" i="13"/>
  <c r="AE119" i="13" s="1"/>
  <c r="D5" i="16" s="1"/>
  <c r="B23" i="16" s="1"/>
  <c r="S3" i="3"/>
  <c r="S3" i="15" s="1"/>
  <c r="D195" i="15" s="1"/>
  <c r="Q3" i="15"/>
  <c r="B195" i="15" s="1"/>
  <c r="R3" i="3"/>
  <c r="R3" i="15" s="1"/>
  <c r="C195" i="15" s="1"/>
  <c r="S13" i="3"/>
  <c r="S13" i="15" s="1"/>
  <c r="D205" i="15" s="1"/>
  <c r="R13" i="3"/>
  <c r="R13" i="15" s="1"/>
  <c r="C205" i="15" s="1"/>
  <c r="Q13" i="15"/>
  <c r="B205" i="15" s="1"/>
  <c r="Q27" i="15"/>
  <c r="B219" i="15" s="1"/>
  <c r="S27" i="3"/>
  <c r="S27" i="15" s="1"/>
  <c r="D219" i="15" s="1"/>
  <c r="R27" i="3"/>
  <c r="R27" i="15" s="1"/>
  <c r="C219" i="15" s="1"/>
  <c r="AE109" i="13"/>
  <c r="AE116" i="13" s="1"/>
  <c r="Y99" i="13"/>
  <c r="AI116" i="13"/>
  <c r="S32" i="3"/>
  <c r="S32" i="15" s="1"/>
  <c r="D224" i="15" s="1"/>
  <c r="Q32" i="15"/>
  <c r="B224" i="15" s="1"/>
  <c r="R32" i="3"/>
  <c r="R32" i="15" s="1"/>
  <c r="C224" i="15" s="1"/>
  <c r="V32" i="3"/>
  <c r="V32" i="15" s="1"/>
  <c r="D255" i="15" s="1"/>
  <c r="U32" i="3"/>
  <c r="U32" i="15" s="1"/>
  <c r="C255" i="15" s="1"/>
  <c r="T32" i="15"/>
  <c r="B255" i="15" s="1"/>
  <c r="U28" i="3"/>
  <c r="U28" i="15" s="1"/>
  <c r="C251" i="15" s="1"/>
  <c r="V28" i="3"/>
  <c r="V28" i="15" s="1"/>
  <c r="D251" i="15" s="1"/>
  <c r="T28" i="15"/>
  <c r="B251" i="15" s="1"/>
  <c r="V29" i="3"/>
  <c r="V29" i="15" s="1"/>
  <c r="D252" i="15" s="1"/>
  <c r="U29" i="3"/>
  <c r="U29" i="15" s="1"/>
  <c r="C252" i="15" s="1"/>
  <c r="T29" i="15"/>
  <c r="B252" i="15" s="1"/>
  <c r="S28" i="3"/>
  <c r="S28" i="15" s="1"/>
  <c r="D220" i="15" s="1"/>
  <c r="Q28" i="15"/>
  <c r="B220" i="15" s="1"/>
  <c r="R28" i="3"/>
  <c r="R28" i="15" s="1"/>
  <c r="C220" i="15" s="1"/>
  <c r="V25" i="3"/>
  <c r="V25" i="15" s="1"/>
  <c r="D248" i="15" s="1"/>
  <c r="U25" i="3"/>
  <c r="U25" i="15" s="1"/>
  <c r="C248" i="15" s="1"/>
  <c r="T25" i="15"/>
  <c r="B248" i="15" s="1"/>
  <c r="S8" i="3"/>
  <c r="S8" i="15" s="1"/>
  <c r="D200" i="15" s="1"/>
  <c r="R8" i="3"/>
  <c r="R8" i="15" s="1"/>
  <c r="C200" i="15" s="1"/>
  <c r="Q8" i="15"/>
  <c r="B200" i="15" s="1"/>
  <c r="G3" i="3"/>
  <c r="G3" i="15" s="1"/>
  <c r="D71" i="15" s="1"/>
  <c r="E3" i="15"/>
  <c r="B71" i="15" s="1"/>
  <c r="F3" i="3"/>
  <c r="F3" i="15" s="1"/>
  <c r="C71" i="15" s="1"/>
  <c r="U3" i="3"/>
  <c r="U3" i="15" s="1"/>
  <c r="C226" i="15" s="1"/>
  <c r="V3" i="3"/>
  <c r="V3" i="15" s="1"/>
  <c r="D226" i="15" s="1"/>
  <c r="T3" i="15"/>
  <c r="B226" i="15" s="1"/>
  <c r="AG110" i="13"/>
  <c r="AG117" i="13" s="1"/>
  <c r="F3" i="16" s="1"/>
  <c r="B29" i="16" s="1"/>
  <c r="AG112" i="13"/>
  <c r="AG119" i="13" s="1"/>
  <c r="F5" i="16" s="1"/>
  <c r="B31" i="16" s="1"/>
  <c r="AG111" i="13"/>
  <c r="AG118" i="13" s="1"/>
  <c r="F4" i="16" s="1"/>
  <c r="B30" i="16" s="1"/>
  <c r="U13" i="3"/>
  <c r="U13" i="15" s="1"/>
  <c r="C236" i="15" s="1"/>
  <c r="V13" i="3"/>
  <c r="V13" i="15" s="1"/>
  <c r="D236" i="15" s="1"/>
  <c r="T13" i="15"/>
  <c r="B236" i="15" s="1"/>
  <c r="Q29" i="15"/>
  <c r="B221" i="15" s="1"/>
  <c r="R29" i="3"/>
  <c r="R29" i="15" s="1"/>
  <c r="C221" i="15" s="1"/>
  <c r="S29" i="3"/>
  <c r="S29" i="15" s="1"/>
  <c r="D221" i="15" s="1"/>
  <c r="F16" i="3"/>
  <c r="F16" i="15" s="1"/>
  <c r="C84" i="15" s="1"/>
  <c r="E16" i="15"/>
  <c r="B84" i="15" s="1"/>
  <c r="G16" i="3"/>
  <c r="G16" i="15" s="1"/>
  <c r="D84" i="15" s="1"/>
  <c r="Q33" i="15"/>
  <c r="B225" i="15" s="1"/>
  <c r="R33" i="3"/>
  <c r="R33" i="15" s="1"/>
  <c r="C225" i="15" s="1"/>
  <c r="S33" i="3"/>
  <c r="S33" i="15" s="1"/>
  <c r="D225" i="15" s="1"/>
  <c r="F31" i="3"/>
  <c r="F31" i="15" s="1"/>
  <c r="C99" i="15" s="1"/>
  <c r="E31" i="15"/>
  <c r="B99" i="15" s="1"/>
  <c r="G31" i="3"/>
  <c r="G31" i="15" s="1"/>
  <c r="D99" i="15" s="1"/>
  <c r="E17" i="15"/>
  <c r="B85" i="15" s="1"/>
  <c r="G17" i="3"/>
  <c r="G17" i="15" s="1"/>
  <c r="D85" i="15" s="1"/>
  <c r="F17" i="3"/>
  <c r="F17" i="15" s="1"/>
  <c r="C85" i="15" s="1"/>
  <c r="X64" i="13"/>
  <c r="G12" i="3"/>
  <c r="G12" i="15" s="1"/>
  <c r="D80" i="15" s="1"/>
  <c r="E12" i="15"/>
  <c r="B80" i="15" s="1"/>
  <c r="F12" i="3"/>
  <c r="F12" i="15" s="1"/>
  <c r="C80" i="15" s="1"/>
  <c r="AF110" i="13" l="1"/>
  <c r="AF117" i="13" s="1"/>
  <c r="E3" i="16" s="1"/>
  <c r="B25" i="16" s="1"/>
  <c r="AF111" i="13"/>
  <c r="AF118" i="13" s="1"/>
  <c r="E4" i="16" s="1"/>
  <c r="B26" i="16" s="1"/>
  <c r="AC112" i="13"/>
  <c r="AC119" i="13" s="1"/>
  <c r="B5" i="16" s="1"/>
  <c r="B15" i="16" s="1"/>
  <c r="AC109" i="13"/>
  <c r="AC116" i="13" s="1"/>
  <c r="AC110" i="13"/>
  <c r="AC117" i="13" s="1"/>
  <c r="B3" i="16" s="1"/>
  <c r="B13" i="16" s="1"/>
  <c r="C2" i="16"/>
  <c r="B16" i="16" s="1"/>
  <c r="AD121" i="13"/>
  <c r="AH121" i="13"/>
  <c r="G2" i="16"/>
  <c r="B32" i="16" s="1"/>
  <c r="H2" i="16"/>
  <c r="B36" i="16" s="1"/>
  <c r="AI121" i="13"/>
  <c r="AG121" i="13"/>
  <c r="AE121" i="13"/>
  <c r="D2" i="16"/>
  <c r="B20" i="16" s="1"/>
  <c r="E2" i="16"/>
  <c r="B24" i="16" s="1"/>
  <c r="AF121" i="13"/>
  <c r="AC121" i="13" l="1"/>
  <c r="B2" i="16"/>
  <c r="B12" i="16" s="1"/>
</calcChain>
</file>

<file path=xl/sharedStrings.xml><?xml version="1.0" encoding="utf-8"?>
<sst xmlns="http://schemas.openxmlformats.org/spreadsheetml/2006/main" count="1750" uniqueCount="254">
  <si>
    <t>年份</t>
    <phoneticPr fontId="1" type="noConversion"/>
  </si>
  <si>
    <t>mean</t>
    <phoneticPr fontId="1" type="noConversion"/>
  </si>
  <si>
    <t>max</t>
    <phoneticPr fontId="1" type="noConversion"/>
  </si>
  <si>
    <t>min</t>
    <phoneticPr fontId="1" type="noConversion"/>
  </si>
  <si>
    <t>基准情景单位产量碳足迹</t>
    <phoneticPr fontId="1" type="noConversion"/>
  </si>
  <si>
    <t>能源改进单位产量碳足迹</t>
    <phoneticPr fontId="1" type="noConversion"/>
  </si>
  <si>
    <t>核能</t>
  </si>
  <si>
    <t>光伏</t>
  </si>
  <si>
    <t>风力</t>
  </si>
  <si>
    <t>水力</t>
  </si>
  <si>
    <t>煤炭</t>
  </si>
  <si>
    <t>核电</t>
  </si>
  <si>
    <t>煤电</t>
  </si>
  <si>
    <t>光伏</t>
    <phoneticPr fontId="1" type="noConversion"/>
  </si>
  <si>
    <t>风电</t>
    <phoneticPr fontId="1" type="noConversion"/>
  </si>
  <si>
    <t>水力</t>
    <phoneticPr fontId="1" type="noConversion"/>
  </si>
  <si>
    <t>品种比例</t>
  </si>
  <si>
    <t>皱纹盘鲍</t>
  </si>
  <si>
    <t>绿盘鲍</t>
  </si>
  <si>
    <t>中国未来鲍鱼总产量（吨）</t>
    <phoneticPr fontId="1" type="noConversion"/>
  </si>
  <si>
    <t>皱纹盘鲍产量</t>
    <phoneticPr fontId="1" type="noConversion"/>
  </si>
  <si>
    <t>绿盘鲍产量</t>
    <phoneticPr fontId="1" type="noConversion"/>
  </si>
  <si>
    <t>input</t>
  </si>
  <si>
    <t>CF</t>
  </si>
  <si>
    <t>饲料</t>
  </si>
  <si>
    <t>龙须菜</t>
  </si>
  <si>
    <t>t</t>
  </si>
  <si>
    <t>设备</t>
  </si>
  <si>
    <t>小型工作船（9m）</t>
  </si>
  <si>
    <t>item</t>
  </si>
  <si>
    <t>能源</t>
  </si>
  <si>
    <t>柴油</t>
  </si>
  <si>
    <t>kg</t>
  </si>
  <si>
    <t>电</t>
  </si>
  <si>
    <t>kwh</t>
  </si>
  <si>
    <t>基建</t>
  </si>
  <si>
    <t>彩钢活动板房</t>
  </si>
  <si>
    <t>养殖笼</t>
  </si>
  <si>
    <t>渔排浮板</t>
  </si>
  <si>
    <t>泡沫浮球</t>
  </si>
  <si>
    <t>木桩</t>
  </si>
  <si>
    <t>m3</t>
  </si>
  <si>
    <t>基建电力</t>
  </si>
  <si>
    <t>塑料管道</t>
  </si>
  <si>
    <t>混凝土</t>
  </si>
  <si>
    <t>运输</t>
  </si>
  <si>
    <t>幼苗运输</t>
  </si>
  <si>
    <t>tkm</t>
  </si>
  <si>
    <t>龙须菜运输</t>
  </si>
  <si>
    <t>陆运</t>
  </si>
  <si>
    <t>海运</t>
  </si>
  <si>
    <t>鲍鱼幼苗</t>
  </si>
  <si>
    <t>1粒苗</t>
  </si>
  <si>
    <t>其他部分</t>
  </si>
  <si>
    <t>尼龙6</t>
  </si>
  <si>
    <t>育苗用电</t>
  </si>
  <si>
    <r>
      <rPr>
        <sz val="11"/>
        <color theme="1"/>
        <rFont val="宋体"/>
        <family val="3"/>
        <charset val="134"/>
      </rPr>
      <t>皱纹盘鲍</t>
    </r>
    <r>
      <rPr>
        <sz val="11"/>
        <color theme="1"/>
        <rFont val="Times New Roman"/>
        <family val="1"/>
      </rPr>
      <t>mean</t>
    </r>
    <phoneticPr fontId="1" type="noConversion"/>
  </si>
  <si>
    <r>
      <rPr>
        <sz val="11"/>
        <color theme="1"/>
        <rFont val="宋体"/>
        <family val="3"/>
        <charset val="134"/>
      </rPr>
      <t>皱纹盘鲍</t>
    </r>
    <r>
      <rPr>
        <sz val="11"/>
        <color theme="1"/>
        <rFont val="Times New Roman"/>
        <family val="1"/>
      </rPr>
      <t>max</t>
    </r>
    <phoneticPr fontId="1" type="noConversion"/>
  </si>
  <si>
    <r>
      <rPr>
        <sz val="11"/>
        <color theme="1"/>
        <rFont val="宋体"/>
        <family val="3"/>
        <charset val="134"/>
      </rPr>
      <t>皱纹盘鲍</t>
    </r>
    <r>
      <rPr>
        <sz val="11"/>
        <color theme="1"/>
        <rFont val="Times New Roman"/>
        <family val="1"/>
      </rPr>
      <t>min</t>
    </r>
    <phoneticPr fontId="1" type="noConversion"/>
  </si>
  <si>
    <r>
      <rPr>
        <sz val="11"/>
        <color theme="1"/>
        <rFont val="宋体"/>
        <family val="3"/>
        <charset val="134"/>
      </rPr>
      <t>饲料</t>
    </r>
  </si>
  <si>
    <r>
      <rPr>
        <sz val="11"/>
        <color theme="1"/>
        <rFont val="宋体"/>
        <family val="3"/>
        <charset val="134"/>
      </rPr>
      <t>龙须菜</t>
    </r>
  </si>
  <si>
    <r>
      <rPr>
        <sz val="11"/>
        <color theme="1"/>
        <rFont val="宋体"/>
        <family val="3"/>
        <charset val="134"/>
      </rPr>
      <t>设备</t>
    </r>
  </si>
  <si>
    <r>
      <rPr>
        <sz val="11"/>
        <color theme="1"/>
        <rFont val="宋体"/>
        <family val="3"/>
        <charset val="134"/>
      </rPr>
      <t>小型工作船（</t>
    </r>
    <r>
      <rPr>
        <sz val="11"/>
        <color theme="1"/>
        <rFont val="Times New Roman"/>
        <family val="1"/>
      </rPr>
      <t>9m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</si>
  <si>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能源</t>
    </r>
  </si>
  <si>
    <r>
      <rPr>
        <sz val="11"/>
        <color theme="1"/>
        <rFont val="宋体"/>
        <family val="3"/>
        <charset val="134"/>
      </rPr>
      <t>柴油</t>
    </r>
  </si>
  <si>
    <r>
      <rPr>
        <sz val="11"/>
        <color theme="1"/>
        <rFont val="宋体"/>
        <family val="3"/>
        <charset val="134"/>
      </rPr>
      <t>电</t>
    </r>
  </si>
  <si>
    <r>
      <rPr>
        <sz val="11"/>
        <color theme="1"/>
        <rFont val="宋体"/>
        <family val="3"/>
        <charset val="134"/>
      </rPr>
      <t>基建</t>
    </r>
  </si>
  <si>
    <r>
      <rPr>
        <sz val="11"/>
        <color theme="1"/>
        <rFont val="宋体"/>
        <family val="3"/>
        <charset val="134"/>
      </rPr>
      <t>彩钢活动板房</t>
    </r>
  </si>
  <si>
    <r>
      <rPr>
        <sz val="11"/>
        <color theme="1"/>
        <rFont val="宋体"/>
        <family val="3"/>
        <charset val="134"/>
      </rPr>
      <t>养殖笼</t>
    </r>
  </si>
  <si>
    <r>
      <rPr>
        <sz val="11"/>
        <color theme="1"/>
        <rFont val="宋体"/>
        <family val="3"/>
        <charset val="134"/>
      </rPr>
      <t>渔排浮板</t>
    </r>
  </si>
  <si>
    <r>
      <rPr>
        <sz val="11"/>
        <color theme="1"/>
        <rFont val="宋体"/>
        <family val="3"/>
        <charset val="134"/>
      </rPr>
      <t>泡沫浮球</t>
    </r>
  </si>
  <si>
    <r>
      <rPr>
        <sz val="11"/>
        <color theme="1"/>
        <rFont val="宋体"/>
        <family val="3"/>
        <charset val="134"/>
      </rPr>
      <t>木桩</t>
    </r>
  </si>
  <si>
    <r>
      <rPr>
        <sz val="11"/>
        <color theme="1"/>
        <rFont val="宋体"/>
        <family val="3"/>
        <charset val="134"/>
      </rPr>
      <t>基建电力</t>
    </r>
  </si>
  <si>
    <r>
      <rPr>
        <sz val="11"/>
        <color theme="1"/>
        <rFont val="宋体"/>
        <family val="3"/>
        <charset val="134"/>
      </rPr>
      <t>塑料管道</t>
    </r>
  </si>
  <si>
    <r>
      <rPr>
        <sz val="11"/>
        <color theme="1"/>
        <rFont val="宋体"/>
        <family val="3"/>
        <charset val="134"/>
      </rPr>
      <t>混凝土</t>
    </r>
  </si>
  <si>
    <r>
      <rPr>
        <sz val="11"/>
        <color theme="1"/>
        <rFont val="宋体"/>
        <family val="3"/>
        <charset val="134"/>
      </rPr>
      <t>运输</t>
    </r>
  </si>
  <si>
    <r>
      <rPr>
        <sz val="11"/>
        <color theme="1"/>
        <rFont val="宋体"/>
        <family val="3"/>
        <charset val="134"/>
      </rPr>
      <t>幼苗运输</t>
    </r>
  </si>
  <si>
    <r>
      <rPr>
        <sz val="11"/>
        <color theme="1"/>
        <rFont val="宋体"/>
        <family val="3"/>
        <charset val="134"/>
      </rPr>
      <t>龙须菜运输</t>
    </r>
  </si>
  <si>
    <r>
      <rPr>
        <sz val="11"/>
        <color theme="1"/>
        <rFont val="宋体"/>
        <family val="3"/>
        <charset val="134"/>
      </rPr>
      <t>陆运</t>
    </r>
  </si>
  <si>
    <r>
      <rPr>
        <sz val="11"/>
        <color theme="1"/>
        <rFont val="宋体"/>
        <family val="3"/>
        <charset val="134"/>
      </rPr>
      <t>海运</t>
    </r>
  </si>
  <si>
    <r>
      <rPr>
        <sz val="11"/>
        <color theme="1"/>
        <rFont val="宋体"/>
        <family val="3"/>
        <charset val="134"/>
      </rPr>
      <t>鲍鱼幼苗</t>
    </r>
  </si>
  <si>
    <r>
      <t>1</t>
    </r>
    <r>
      <rPr>
        <sz val="11"/>
        <color theme="1"/>
        <rFont val="宋体"/>
        <family val="3"/>
        <charset val="134"/>
      </rPr>
      <t>粒苗</t>
    </r>
  </si>
  <si>
    <r>
      <rPr>
        <sz val="11"/>
        <color theme="1"/>
        <rFont val="宋体"/>
        <family val="3"/>
        <charset val="134"/>
      </rPr>
      <t>其他部分</t>
    </r>
  </si>
  <si>
    <r>
      <t xml:space="preserve">    </t>
    </r>
    <r>
      <rPr>
        <sz val="11"/>
        <color theme="1"/>
        <rFont val="宋体"/>
        <family val="3"/>
        <charset val="134"/>
      </rPr>
      <t>绿盘鲍</t>
    </r>
    <r>
      <rPr>
        <sz val="11"/>
        <color theme="1"/>
        <rFont val="Times New Roman"/>
        <family val="1"/>
      </rPr>
      <t xml:space="preserve">mean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1" type="noConversion"/>
  </si>
  <si>
    <r>
      <rPr>
        <sz val="11"/>
        <color theme="1"/>
        <rFont val="宋体"/>
        <family val="3"/>
        <charset val="134"/>
      </rPr>
      <t>绿盘鲍</t>
    </r>
    <r>
      <rPr>
        <sz val="11"/>
        <color theme="1"/>
        <rFont val="Times New Roman"/>
        <family val="1"/>
      </rPr>
      <t>max</t>
    </r>
    <phoneticPr fontId="1" type="noConversion"/>
  </si>
  <si>
    <r>
      <rPr>
        <sz val="11"/>
        <color theme="1"/>
        <rFont val="宋体"/>
        <family val="3"/>
        <charset val="134"/>
      </rPr>
      <t>绿盘鲍</t>
    </r>
    <r>
      <rPr>
        <sz val="11"/>
        <color theme="1"/>
        <rFont val="Times New Roman"/>
        <family val="1"/>
      </rPr>
      <t>min</t>
    </r>
    <phoneticPr fontId="1" type="noConversion"/>
  </si>
  <si>
    <r>
      <rPr>
        <sz val="11"/>
        <color theme="1"/>
        <rFont val="宋体"/>
        <family val="3"/>
        <charset val="134"/>
      </rPr>
      <t>聚乙烯绳</t>
    </r>
  </si>
  <si>
    <r>
      <rPr>
        <sz val="11"/>
        <color theme="1"/>
        <rFont val="宋体"/>
        <family val="3"/>
        <charset val="134"/>
      </rPr>
      <t>养殖扣盆</t>
    </r>
  </si>
  <si>
    <r>
      <rPr>
        <sz val="11"/>
        <color theme="1"/>
        <rFont val="宋体"/>
        <family val="3"/>
        <charset val="134"/>
      </rPr>
      <t>育苗设备用电</t>
    </r>
  </si>
  <si>
    <t>占比</t>
    <phoneticPr fontId="1" type="noConversion"/>
  </si>
  <si>
    <t>电力</t>
    <phoneticPr fontId="1" type="noConversion"/>
  </si>
  <si>
    <t>CF</t>
    <phoneticPr fontId="1" type="noConversion"/>
  </si>
  <si>
    <t>input</t>
    <phoneticPr fontId="1" type="noConversion"/>
  </si>
  <si>
    <t>皱纹盘鲍</t>
    <phoneticPr fontId="1" type="noConversion"/>
  </si>
  <si>
    <t>绿盘鲍</t>
    <phoneticPr fontId="1" type="noConversion"/>
  </si>
  <si>
    <t>mean</t>
  </si>
  <si>
    <t>max</t>
  </si>
  <si>
    <t>min</t>
  </si>
  <si>
    <t>电力input</t>
    <phoneticPr fontId="1" type="noConversion"/>
  </si>
  <si>
    <t>其他CF</t>
    <phoneticPr fontId="1" type="noConversion"/>
  </si>
  <si>
    <t>其他</t>
    <phoneticPr fontId="1" type="noConversion"/>
  </si>
  <si>
    <t>市场售卖鲍鱼品种比例</t>
  </si>
  <si>
    <t>数据时间</t>
  </si>
  <si>
    <t>一吨鲍鱼碳足迹</t>
    <phoneticPr fontId="1" type="noConversion"/>
  </si>
  <si>
    <t>1t鲍鱼碳足迹</t>
  </si>
  <si>
    <r>
      <rPr>
        <sz val="11"/>
        <color theme="1"/>
        <rFont val="等线"/>
        <family val="2"/>
        <scheme val="minor"/>
      </rPr>
      <t>产业碳足迹(kgCO</t>
    </r>
    <r>
      <rPr>
        <vertAlign val="subscript"/>
        <sz val="12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</si>
  <si>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>总产量(t)</t>
  </si>
  <si>
    <t>产量增长率</t>
  </si>
  <si>
    <t>碳足迹（各种模式比例）</t>
  </si>
  <si>
    <t>1t碳足迹</t>
  </si>
  <si>
    <t xml:space="preserve"> </t>
  </si>
  <si>
    <t>加温度</t>
    <phoneticPr fontId="1" type="noConversion"/>
  </si>
  <si>
    <t>鲍鱼</t>
    <phoneticPr fontId="1" type="noConversion"/>
  </si>
  <si>
    <t>Both</t>
    <phoneticPr fontId="1" type="noConversion"/>
  </si>
  <si>
    <t>带温度</t>
    <phoneticPr fontId="1" type="noConversion"/>
  </si>
  <si>
    <t>参考sheet Temprature</t>
    <phoneticPr fontId="1" type="noConversion"/>
  </si>
  <si>
    <t>参考sheet Baseline</t>
    <phoneticPr fontId="1" type="noConversion"/>
  </si>
  <si>
    <t>参考sheet Elec str</t>
    <phoneticPr fontId="1" type="noConversion"/>
  </si>
  <si>
    <t>养殖模式优化</t>
    <phoneticPr fontId="1" type="noConversion"/>
  </si>
  <si>
    <t>参考sheet Mode</t>
    <phoneticPr fontId="1" type="noConversion"/>
  </si>
  <si>
    <t>品种优化</t>
    <phoneticPr fontId="1" type="noConversion"/>
  </si>
  <si>
    <t>参考sheet Speed</t>
    <phoneticPr fontId="1" type="noConversion"/>
  </si>
  <si>
    <t>基建改进</t>
    <phoneticPr fontId="1" type="noConversion"/>
  </si>
  <si>
    <t>参考sheet Infrastructure</t>
    <phoneticPr fontId="1" type="noConversion"/>
  </si>
  <si>
    <t>基建</t>
    <phoneticPr fontId="1" type="noConversion"/>
  </si>
  <si>
    <t>基建CF</t>
    <phoneticPr fontId="1" type="noConversion"/>
  </si>
  <si>
    <t>基建排放比例</t>
    <phoneticPr fontId="1" type="noConversion"/>
  </si>
  <si>
    <t>参考sheet Best</t>
    <phoneticPr fontId="1" type="noConversion"/>
  </si>
  <si>
    <t>NA</t>
  </si>
  <si>
    <t>化学品</t>
  </si>
  <si>
    <t>总计</t>
  </si>
  <si>
    <t>育苗数据</t>
    <phoneticPr fontId="1" type="noConversion"/>
  </si>
  <si>
    <t>能源(柴油）</t>
    <phoneticPr fontId="1" type="noConversion"/>
  </si>
  <si>
    <t>能源(电力input）</t>
    <phoneticPr fontId="1" type="noConversion"/>
  </si>
  <si>
    <t>综合</t>
    <phoneticPr fontId="1" type="noConversion"/>
  </si>
  <si>
    <t>原始</t>
    <phoneticPr fontId="1" type="noConversion"/>
  </si>
  <si>
    <r>
      <rPr>
        <sz val="11"/>
        <color theme="1"/>
        <rFont val="等线"/>
        <family val="2"/>
      </rPr>
      <t>除电力与基建外</t>
    </r>
    <phoneticPr fontId="1" type="noConversion"/>
  </si>
  <si>
    <t>基建（仅mode无延长寿命）</t>
    <phoneticPr fontId="1" type="noConversion"/>
  </si>
  <si>
    <t>Speed</t>
    <phoneticPr fontId="1" type="noConversion"/>
  </si>
  <si>
    <t>温度</t>
    <phoneticPr fontId="1" type="noConversion"/>
  </si>
  <si>
    <t>产量变化统一核算</t>
    <phoneticPr fontId="1" type="noConversion"/>
  </si>
  <si>
    <t>结果</t>
    <phoneticPr fontId="1" type="noConversion"/>
  </si>
  <si>
    <t>最终碳足迹</t>
    <phoneticPr fontId="1" type="noConversion"/>
  </si>
  <si>
    <t>Z</t>
    <phoneticPr fontId="1" type="noConversion"/>
  </si>
  <si>
    <t>L</t>
    <phoneticPr fontId="1" type="noConversion"/>
  </si>
  <si>
    <t>MEAN</t>
    <phoneticPr fontId="1" type="noConversion"/>
  </si>
  <si>
    <t>MAX</t>
    <phoneticPr fontId="1" type="noConversion"/>
  </si>
  <si>
    <t>MIN</t>
    <phoneticPr fontId="1" type="noConversion"/>
  </si>
  <si>
    <t>未来</t>
    <phoneticPr fontId="1" type="noConversion"/>
  </si>
  <si>
    <t>自然</t>
    <phoneticPr fontId="1" type="noConversion"/>
  </si>
  <si>
    <t>基准情景</t>
    <phoneticPr fontId="1" type="noConversion"/>
  </si>
  <si>
    <t>能源改进</t>
    <phoneticPr fontId="1" type="noConversion"/>
  </si>
  <si>
    <t>贡献分解部分</t>
    <phoneticPr fontId="1" type="noConversion"/>
  </si>
  <si>
    <t>能源(柴油）</t>
  </si>
  <si>
    <t>能源(电力）</t>
    <phoneticPr fontId="1" type="noConversion"/>
  </si>
  <si>
    <t>ave</t>
    <phoneticPr fontId="1" type="noConversion"/>
  </si>
  <si>
    <t>所占比例</t>
    <phoneticPr fontId="1" type="noConversion"/>
  </si>
  <si>
    <t>其他投入（除电力、基建）</t>
    <phoneticPr fontId="1" type="noConversion"/>
  </si>
  <si>
    <t>只使用碳足迹mean</t>
    <phoneticPr fontId="1" type="noConversion"/>
  </si>
  <si>
    <t>Energy</t>
  </si>
  <si>
    <t>Infra.&amp;Equip</t>
    <phoneticPr fontId="1" type="noConversion"/>
  </si>
  <si>
    <t>Transport</t>
  </si>
  <si>
    <t>Net carbon sequestration</t>
  </si>
  <si>
    <t>BAU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</si>
  <si>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</si>
  <si>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</si>
  <si>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</si>
  <si>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P5</t>
    <phoneticPr fontId="1" type="noConversion"/>
  </si>
  <si>
    <t>贡献分解结果（未换算整体比例）</t>
    <phoneticPr fontId="1" type="noConversion"/>
  </si>
  <si>
    <t>贡献分解结果（比例）</t>
    <phoneticPr fontId="1" type="noConversion"/>
  </si>
  <si>
    <t>贡献分解结果（换算整体比例）</t>
    <phoneticPr fontId="1" type="noConversion"/>
  </si>
  <si>
    <t>Feed</t>
    <phoneticPr fontId="1" type="noConversion"/>
  </si>
  <si>
    <t>Both（带温度）</t>
    <phoneticPr fontId="1" type="noConversion"/>
  </si>
  <si>
    <t>Both（不带温度）</t>
    <phoneticPr fontId="1" type="noConversion"/>
  </si>
  <si>
    <t>最优 (with BG)</t>
    <phoneticPr fontId="1" type="noConversion"/>
  </si>
  <si>
    <t>最优 (without BG)</t>
    <phoneticPr fontId="1" type="noConversion"/>
  </si>
  <si>
    <t>Best (with BG)</t>
    <phoneticPr fontId="1" type="noConversion"/>
  </si>
  <si>
    <t>Best (without BG)</t>
    <phoneticPr fontId="1" type="noConversion"/>
  </si>
  <si>
    <t>注：基准考虑温度，其他不考虑</t>
    <phoneticPr fontId="1" type="noConversion"/>
  </si>
  <si>
    <t>Year</t>
    <phoneticPr fontId="1" type="noConversion"/>
  </si>
  <si>
    <t>BAU</t>
  </si>
  <si>
    <t>scenario</t>
    <phoneticPr fontId="1" type="noConversion"/>
  </si>
  <si>
    <t>Process</t>
    <phoneticPr fontId="1" type="noConversion"/>
  </si>
  <si>
    <t>Infra.&amp;Equip.</t>
  </si>
  <si>
    <t>Infra.&amp;Equip.</t>
    <phoneticPr fontId="1" type="noConversion"/>
  </si>
  <si>
    <t>工厂化</t>
  </si>
  <si>
    <t>南北</t>
  </si>
  <si>
    <t>本地</t>
  </si>
  <si>
    <t>渔排（筏式）</t>
  </si>
  <si>
    <t>延绳</t>
  </si>
  <si>
    <t>模式比例</t>
    <phoneticPr fontId="1" type="noConversion"/>
  </si>
  <si>
    <t>新增冷却用电量</t>
    <phoneticPr fontId="1" type="noConversion"/>
  </si>
  <si>
    <t>新增冷却用电碳足迹（不考虑电力结构）</t>
    <phoneticPr fontId="1" type="noConversion"/>
  </si>
  <si>
    <t>新增冷却用电碳足迹（考虑电力结构）</t>
    <phoneticPr fontId="1" type="noConversion"/>
  </si>
  <si>
    <t>维持时间</t>
    <phoneticPr fontId="1" type="noConversion"/>
  </si>
  <si>
    <t>day</t>
    <phoneticPr fontId="1" type="noConversion"/>
  </si>
  <si>
    <t>hour</t>
    <phoneticPr fontId="1" type="noConversion"/>
  </si>
  <si>
    <t>kwh</t>
    <phoneticPr fontId="1" type="noConversion"/>
  </si>
  <si>
    <t>制冷机</t>
    <phoneticPr fontId="1" type="noConversion"/>
  </si>
  <si>
    <t>空调</t>
    <phoneticPr fontId="1" type="noConversion"/>
  </si>
  <si>
    <t>原来</t>
    <phoneticPr fontId="1" type="noConversion"/>
  </si>
  <si>
    <t>增加值</t>
    <phoneticPr fontId="1" type="noConversion"/>
  </si>
  <si>
    <t>一个房间</t>
    <phoneticPr fontId="1" type="noConversion"/>
  </si>
  <si>
    <t>池子数</t>
    <phoneticPr fontId="1" type="noConversion"/>
  </si>
  <si>
    <t>空调数</t>
    <phoneticPr fontId="1" type="noConversion"/>
  </si>
  <si>
    <t>每小时总增加值</t>
    <phoneticPr fontId="1" type="noConversion"/>
  </si>
  <si>
    <t>养殖周期总增加值</t>
    <phoneticPr fontId="1" type="noConversion"/>
  </si>
  <si>
    <t>产量（吨）</t>
    <phoneticPr fontId="1" type="noConversion"/>
  </si>
  <si>
    <t>折算到每吨</t>
    <phoneticPr fontId="1" type="noConversion"/>
  </si>
  <si>
    <t>功率</t>
    <phoneticPr fontId="1" type="noConversion"/>
  </si>
  <si>
    <t>都要*0.01（模式占比）</t>
    <phoneticPr fontId="1" type="noConversion"/>
  </si>
  <si>
    <t>新增冷却电力</t>
    <phoneticPr fontId="1" type="noConversion"/>
  </si>
  <si>
    <t>模式占比</t>
    <phoneticPr fontId="1" type="noConversion"/>
  </si>
  <si>
    <t>CO2</t>
    <phoneticPr fontId="1" type="noConversion"/>
  </si>
  <si>
    <t>t CO2 eq.</t>
    <phoneticPr fontId="1" type="noConversion"/>
  </si>
  <si>
    <t>year</t>
    <phoneticPr fontId="1" type="noConversion"/>
  </si>
  <si>
    <t>error</t>
    <phoneticPr fontId="1" type="noConversion"/>
  </si>
  <si>
    <t>排放系数</t>
    <phoneticPr fontId="1" type="noConversion"/>
  </si>
  <si>
    <t>k</t>
    <phoneticPr fontId="1" type="noConversion"/>
  </si>
  <si>
    <t>1kwh排放（调整后）</t>
    <phoneticPr fontId="1" type="noConversion"/>
  </si>
  <si>
    <t>2023官方</t>
    <phoneticPr fontId="1" type="noConversion"/>
  </si>
  <si>
    <t>kg CO2/ kWh</t>
    <phoneticPr fontId="1" type="noConversion"/>
  </si>
  <si>
    <t>t</t>
    <phoneticPr fontId="1" type="noConversion"/>
  </si>
  <si>
    <t>1kwh排放（无k、t）</t>
    <phoneticPr fontId="1" type="noConversion"/>
  </si>
  <si>
    <t>t转换系数</t>
    <phoneticPr fontId="1" type="noConversion"/>
  </si>
  <si>
    <t>2021官方</t>
    <phoneticPr fontId="1" type="noConversion"/>
  </si>
  <si>
    <t>2022官方</t>
  </si>
  <si>
    <t>整体转换系数</t>
    <phoneticPr fontId="1" type="noConversion"/>
  </si>
  <si>
    <t>技术效率系数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</si>
  <si>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</si>
  <si>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1t</t>
  </si>
  <si>
    <t>FRCM-Raft</t>
  </si>
  <si>
    <t>其他</t>
  </si>
  <si>
    <t>FRCM-longline</t>
  </si>
  <si>
    <t>聚乙烯绳</t>
  </si>
  <si>
    <t>养殖扣盆</t>
  </si>
  <si>
    <t>主绳（聚乙烯）</t>
  </si>
  <si>
    <t>育苗设备用电</t>
  </si>
  <si>
    <t>幼苗</t>
  </si>
  <si>
    <t>SNCM-陆运</t>
  </si>
  <si>
    <t>苗</t>
  </si>
  <si>
    <t>南方养殖（晋江市）</t>
  </si>
  <si>
    <t>浮球</t>
  </si>
  <si>
    <t>北方养殖（荣成市）</t>
  </si>
  <si>
    <t>SNCM-海运</t>
  </si>
  <si>
    <t>聚乙烯管</t>
  </si>
  <si>
    <t>高密度聚乙烯</t>
  </si>
  <si>
    <t>卡车</t>
  </si>
  <si>
    <t>的皱纹盘鲍</t>
  </si>
  <si>
    <t>p（成活率50%）</t>
  </si>
  <si>
    <t>FRCM-ll</t>
  </si>
  <si>
    <t>/</t>
    <phoneticPr fontId="1" type="noConversion"/>
  </si>
  <si>
    <t>增加比例</t>
    <phoneticPr fontId="1" type="noConversion"/>
  </si>
  <si>
    <t>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</si>
</sst>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0_ "/>
    <numFmt numFmtId="178" formatCode="0.0000%"/>
    <numFmt numFmtId="179" formatCode="0.000_ 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vertAlign val="subscript"/>
      <sz val="12"/>
      <color theme="1"/>
      <name val="等线"/>
      <family val="3"/>
      <charset val="134"/>
      <scheme val="minor"/>
    </font>
    <font>
      <sz val="11"/>
      <color theme="1"/>
      <name val="Times New Roman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000000"/>
      <name val="等线"/>
      <family val="4"/>
      <charset val="134"/>
      <scheme val="minor"/>
    </font>
    <font>
      <sz val="12"/>
      <color theme="1"/>
      <name val="Times New Roman"/>
      <family val="1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74">
    <xf numFmtId="0" fontId="0" fillId="0" borderId="0" xfId="0"/>
    <xf numFmtId="10" fontId="0" fillId="0" borderId="1" xfId="0" applyNumberFormat="1" applyBorder="1"/>
    <xf numFmtId="10" fontId="0" fillId="0" borderId="0" xfId="0" applyNumberFormat="1"/>
    <xf numFmtId="0" fontId="0" fillId="0" borderId="1" xfId="0" applyBorder="1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1" applyFont="1"/>
    <xf numFmtId="176" fontId="5" fillId="0" borderId="0" xfId="1" applyNumberFormat="1" applyFont="1"/>
    <xf numFmtId="0" fontId="5" fillId="0" borderId="0" xfId="1" applyFont="1" applyAlignment="1">
      <alignment horizontal="center"/>
    </xf>
    <xf numFmtId="11" fontId="5" fillId="0" borderId="0" xfId="1" applyNumberFormat="1" applyFont="1"/>
    <xf numFmtId="176" fontId="5" fillId="3" borderId="0" xfId="1" applyNumberFormat="1" applyFont="1" applyFill="1"/>
    <xf numFmtId="11" fontId="5" fillId="3" borderId="0" xfId="1" applyNumberFormat="1" applyFont="1" applyFill="1"/>
    <xf numFmtId="0" fontId="5" fillId="0" borderId="1" xfId="1" applyFont="1" applyBorder="1"/>
    <xf numFmtId="10" fontId="5" fillId="0" borderId="0" xfId="1" applyNumberFormat="1" applyFont="1"/>
    <xf numFmtId="10" fontId="5" fillId="0" borderId="1" xfId="1" applyNumberFormat="1" applyFont="1" applyBorder="1"/>
    <xf numFmtId="176" fontId="5" fillId="2" borderId="1" xfId="1" applyNumberFormat="1" applyFont="1" applyFill="1" applyBorder="1"/>
    <xf numFmtId="0" fontId="6" fillId="0" borderId="0" xfId="1"/>
    <xf numFmtId="0" fontId="8" fillId="2" borderId="0" xfId="0" applyFont="1" applyFill="1"/>
    <xf numFmtId="0" fontId="5" fillId="2" borderId="0" xfId="1" applyFont="1" applyFill="1"/>
    <xf numFmtId="176" fontId="5" fillId="2" borderId="0" xfId="1" applyNumberFormat="1" applyFont="1" applyFill="1"/>
    <xf numFmtId="11" fontId="5" fillId="2" borderId="0" xfId="1" applyNumberFormat="1" applyFont="1" applyFill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7" fontId="5" fillId="0" borderId="0" xfId="1" applyNumberFormat="1" applyFont="1"/>
    <xf numFmtId="0" fontId="9" fillId="2" borderId="0" xfId="0" applyFont="1" applyFill="1"/>
    <xf numFmtId="11" fontId="0" fillId="0" borderId="0" xfId="0" applyNumberFormat="1"/>
    <xf numFmtId="0" fontId="9" fillId="0" borderId="2" xfId="0" applyFont="1" applyBorder="1" applyAlignment="1">
      <alignment horizontal="center" vertical="center"/>
    </xf>
    <xf numFmtId="11" fontId="0" fillId="0" borderId="2" xfId="0" applyNumberFormat="1" applyBorder="1"/>
    <xf numFmtId="0" fontId="9" fillId="0" borderId="3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1" fillId="0" borderId="0" xfId="0" applyFont="1"/>
    <xf numFmtId="178" fontId="0" fillId="0" borderId="0" xfId="0" applyNumberFormat="1"/>
    <xf numFmtId="0" fontId="12" fillId="0" borderId="0" xfId="0" applyFont="1"/>
    <xf numFmtId="176" fontId="0" fillId="0" borderId="0" xfId="0" applyNumberFormat="1"/>
    <xf numFmtId="0" fontId="0" fillId="5" borderId="0" xfId="0" applyFill="1"/>
    <xf numFmtId="0" fontId="9" fillId="0" borderId="0" xfId="0" applyFont="1" applyFill="1" applyBorder="1" applyAlignment="1">
      <alignment horizontal="center" vertical="center"/>
    </xf>
    <xf numFmtId="0" fontId="13" fillId="0" borderId="0" xfId="0" applyFont="1"/>
    <xf numFmtId="0" fontId="9" fillId="0" borderId="0" xfId="0" applyFont="1" applyAlignment="1">
      <alignment horizontal="center" vertical="center"/>
    </xf>
    <xf numFmtId="0" fontId="14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79" fontId="0" fillId="0" borderId="0" xfId="0" applyNumberFormat="1"/>
    <xf numFmtId="179" fontId="0" fillId="2" borderId="0" xfId="0" applyNumberFormat="1" applyFill="1"/>
    <xf numFmtId="176" fontId="5" fillId="0" borderId="0" xfId="1" applyNumberFormat="1" applyFont="1" applyAlignment="1"/>
    <xf numFmtId="179" fontId="11" fillId="0" borderId="0" xfId="0" applyNumberFormat="1" applyFont="1"/>
    <xf numFmtId="179" fontId="15" fillId="2" borderId="0" xfId="0" applyNumberFormat="1" applyFont="1" applyFill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Font="1" applyBorder="1" applyAlignment="1">
      <alignment horizontal="center"/>
    </xf>
    <xf numFmtId="176" fontId="5" fillId="0" borderId="0" xfId="1" applyNumberFormat="1" applyFont="1" applyAlignment="1">
      <alignment horizontal="center"/>
    </xf>
    <xf numFmtId="0" fontId="5" fillId="3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</cellXfs>
  <cellStyles count="2">
    <cellStyle name="常规" xfId="0" builtinId="0"/>
    <cellStyle name="常规 2" xfId="1" xr:uid="{E9D8CFB1-B1F9-4A91-BE32-69CA1056180C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31</xdr:row>
      <xdr:rowOff>0</xdr:rowOff>
    </xdr:from>
    <xdr:to>
      <xdr:col>14</xdr:col>
      <xdr:colOff>33022</xdr:colOff>
      <xdr:row>41</xdr:row>
      <xdr:rowOff>93074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AF4B694-CACA-4808-87DA-93A53A17C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0400" y="5511800"/>
          <a:ext cx="2725422" cy="187107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g%204%20South%20Afric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neDrive/&#26700;&#38754;/&#40077;&#40060;&#23567;&#35770;&#25991;/&#21407;&#22987;&#25968;&#25454;/&#24773;&#26223;&#20998;&#26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e"/>
      <sheetName val="Temperature"/>
      <sheetName val="Baseline"/>
      <sheetName val="Elec str"/>
      <sheetName val="Speed"/>
      <sheetName val="Infrastructure"/>
      <sheetName val="Feed"/>
      <sheetName val="Best"/>
      <sheetName val="单位碳足迹"/>
      <sheetName val="Production"/>
      <sheetName val="Error"/>
      <sheetName val="产业碳足迹"/>
      <sheetName val="Fig 4c1"/>
      <sheetName val="Fig 4c2"/>
    </sheetNames>
    <sheetDataSet>
      <sheetData sheetId="0"/>
      <sheetData sheetId="1"/>
      <sheetData sheetId="2"/>
      <sheetData sheetId="3">
        <row r="3">
          <cell r="G3">
            <v>0.98713314137855113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皱纹"/>
      <sheetName val="皱纹盘鲍1tinput"/>
      <sheetName val="绿盘"/>
      <sheetName val="绿盘鲍input"/>
      <sheetName val="能源结构改变"/>
      <sheetName val="能源结构+模式"/>
      <sheetName val="电力结构（假设1风电）"/>
      <sheetName val="电力结构（假设2光伏）"/>
      <sheetName val="电力结构（假设3核电）"/>
      <sheetName val="基准情景"/>
      <sheetName val="基建寿命延长"/>
      <sheetName val="养殖模式（假设1）"/>
      <sheetName val="养殖模式（假设2）"/>
      <sheetName val="养殖模式（假设3）"/>
      <sheetName val="2024基准年"/>
      <sheetName val="2024基准年 (2)"/>
      <sheetName val="生长速率（模式）"/>
      <sheetName val="气候变化"/>
      <sheetName val="配合饲料替代"/>
      <sheetName val="能源+生长"/>
      <sheetName val="能源+生长+模式"/>
      <sheetName val="气候变化+养殖模式+饲料替代"/>
    </sheetNames>
    <sheetDataSet>
      <sheetData sheetId="0" refreshError="1"/>
      <sheetData sheetId="1">
        <row r="21">
          <cell r="W21">
            <v>2.1119647116181101E-2</v>
          </cell>
          <cell r="X21">
            <v>1.3495276577460601E-2</v>
          </cell>
        </row>
        <row r="22">
          <cell r="X22">
            <v>9.5956870454252906E-3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7B63-C359-44D7-86AA-0A670DC3E5F9}">
  <dimension ref="A1:Q70"/>
  <sheetViews>
    <sheetView workbookViewId="0">
      <selection activeCell="E5" sqref="E5"/>
    </sheetView>
  </sheetViews>
  <sheetFormatPr defaultColWidth="8.6640625" defaultRowHeight="14" x14ac:dyDescent="0.3"/>
  <cols>
    <col min="1" max="21" width="8.6640625" style="7"/>
    <col min="22" max="22" width="16.1640625" style="7" bestFit="1" customWidth="1"/>
    <col min="23" max="16384" width="8.6640625" style="7"/>
  </cols>
  <sheetData>
    <row r="1" spans="1:17" ht="14.5" x14ac:dyDescent="0.3">
      <c r="A1" s="20" t="s">
        <v>56</v>
      </c>
      <c r="D1" s="7" t="s">
        <v>22</v>
      </c>
      <c r="E1" s="7" t="s">
        <v>23</v>
      </c>
      <c r="G1" s="20" t="s">
        <v>57</v>
      </c>
      <c r="J1" s="7" t="s">
        <v>22</v>
      </c>
      <c r="K1" s="7" t="s">
        <v>23</v>
      </c>
      <c r="M1" s="20" t="s">
        <v>58</v>
      </c>
      <c r="P1" s="7" t="s">
        <v>22</v>
      </c>
      <c r="Q1" s="7" t="s">
        <v>23</v>
      </c>
    </row>
    <row r="2" spans="1:17" x14ac:dyDescent="0.3">
      <c r="A2" s="7" t="s">
        <v>24</v>
      </c>
      <c r="B2" s="7" t="s">
        <v>25</v>
      </c>
      <c r="C2" s="7" t="s">
        <v>26</v>
      </c>
      <c r="D2" s="7">
        <v>20</v>
      </c>
      <c r="E2" s="7">
        <v>132.856672183179</v>
      </c>
      <c r="G2" s="7" t="s">
        <v>24</v>
      </c>
      <c r="H2" s="7" t="s">
        <v>25</v>
      </c>
      <c r="I2" s="7" t="s">
        <v>26</v>
      </c>
      <c r="J2" s="7">
        <v>20</v>
      </c>
      <c r="K2" s="7">
        <v>132.856672183179</v>
      </c>
      <c r="M2" s="7" t="s">
        <v>24</v>
      </c>
      <c r="N2" s="7" t="s">
        <v>25</v>
      </c>
      <c r="O2" s="7" t="s">
        <v>26</v>
      </c>
      <c r="P2" s="7">
        <v>20</v>
      </c>
      <c r="Q2" s="7">
        <v>132.856672183179</v>
      </c>
    </row>
    <row r="3" spans="1:17" x14ac:dyDescent="0.3">
      <c r="A3" s="7" t="s">
        <v>27</v>
      </c>
      <c r="B3" s="7" t="s">
        <v>28</v>
      </c>
      <c r="C3" s="7" t="s">
        <v>29</v>
      </c>
      <c r="D3" s="7">
        <v>1.4566397151846815E-3</v>
      </c>
      <c r="E3" s="7">
        <v>7.3918056330875732</v>
      </c>
      <c r="G3" s="7" t="s">
        <v>27</v>
      </c>
      <c r="H3" s="7" t="s">
        <v>28</v>
      </c>
      <c r="I3" s="7" t="s">
        <v>29</v>
      </c>
      <c r="J3" s="7">
        <v>2.19299259470312E-3</v>
      </c>
      <c r="K3" s="7">
        <v>11.128472501376701</v>
      </c>
      <c r="M3" s="7" t="s">
        <v>27</v>
      </c>
      <c r="N3" s="7" t="s">
        <v>28</v>
      </c>
      <c r="O3" s="7" t="s">
        <v>29</v>
      </c>
      <c r="P3" s="7">
        <v>1.0904825452174899E-3</v>
      </c>
      <c r="Q3" s="7">
        <v>5.5337191046588803</v>
      </c>
    </row>
    <row r="4" spans="1:17" x14ac:dyDescent="0.3">
      <c r="A4" s="7" t="s">
        <v>30</v>
      </c>
      <c r="B4" s="7" t="s">
        <v>31</v>
      </c>
      <c r="C4" s="7" t="s">
        <v>32</v>
      </c>
      <c r="D4" s="7">
        <v>16.04578946629498</v>
      </c>
      <c r="E4" s="7">
        <v>7.3350406200117497</v>
      </c>
      <c r="G4" s="7" t="s">
        <v>30</v>
      </c>
      <c r="H4" s="7" t="s">
        <v>31</v>
      </c>
      <c r="I4" s="7" t="s">
        <v>32</v>
      </c>
      <c r="J4" s="7">
        <v>24.157172915808399</v>
      </c>
      <c r="K4" s="7">
        <v>11.043011936203399</v>
      </c>
      <c r="M4" s="7" t="s">
        <v>30</v>
      </c>
      <c r="N4" s="7" t="s">
        <v>31</v>
      </c>
      <c r="O4" s="7" t="s">
        <v>32</v>
      </c>
      <c r="P4" s="7">
        <v>12.012341250087999</v>
      </c>
      <c r="Q4" s="7">
        <v>5.4912231770159901</v>
      </c>
    </row>
    <row r="5" spans="1:17" x14ac:dyDescent="0.3">
      <c r="B5" s="7" t="s">
        <v>33</v>
      </c>
      <c r="C5" s="7" t="s">
        <v>34</v>
      </c>
      <c r="D5" s="7">
        <v>98.956993785500714</v>
      </c>
      <c r="E5" s="7">
        <v>63.232685331480198</v>
      </c>
      <c r="H5" s="7" t="s">
        <v>33</v>
      </c>
      <c r="I5" s="7" t="s">
        <v>34</v>
      </c>
      <c r="J5" s="7">
        <v>148.98121498641899</v>
      </c>
      <c r="K5" s="7">
        <v>95.197741232496398</v>
      </c>
      <c r="N5" s="7" t="s">
        <v>33</v>
      </c>
      <c r="O5" s="7" t="s">
        <v>34</v>
      </c>
      <c r="P5" s="7">
        <v>74.082062520588906</v>
      </c>
      <c r="Q5" s="7">
        <v>47.337813820672103</v>
      </c>
    </row>
    <row r="6" spans="1:17" x14ac:dyDescent="0.3">
      <c r="A6" s="7" t="s">
        <v>35</v>
      </c>
      <c r="B6" s="7" t="s">
        <v>36</v>
      </c>
      <c r="C6" s="7" t="s">
        <v>32</v>
      </c>
      <c r="D6" s="7">
        <v>0.75327943015063525</v>
      </c>
      <c r="E6" s="7">
        <v>1.4740883543089034</v>
      </c>
      <c r="G6" s="7" t="s">
        <v>35</v>
      </c>
      <c r="H6" s="7" t="s">
        <v>36</v>
      </c>
      <c r="I6" s="7" t="s">
        <v>32</v>
      </c>
      <c r="J6" s="7">
        <v>1.13407330230118</v>
      </c>
      <c r="K6" s="7">
        <v>2.2192617784883599</v>
      </c>
      <c r="M6" s="7" t="s">
        <v>35</v>
      </c>
      <c r="N6" s="7" t="s">
        <v>36</v>
      </c>
      <c r="O6" s="7" t="s">
        <v>32</v>
      </c>
      <c r="P6" s="7">
        <v>0.56392672923002196</v>
      </c>
      <c r="Q6" s="7">
        <v>1.1035451002229699</v>
      </c>
    </row>
    <row r="7" spans="1:17" x14ac:dyDescent="0.3">
      <c r="B7" s="7" t="s">
        <v>37</v>
      </c>
      <c r="C7" s="7" t="s">
        <v>32</v>
      </c>
      <c r="D7" s="7">
        <v>131.39581170212278</v>
      </c>
      <c r="E7" s="7">
        <v>313.30066171778839</v>
      </c>
      <c r="H7" s="7" t="s">
        <v>37</v>
      </c>
      <c r="I7" s="7" t="s">
        <v>32</v>
      </c>
      <c r="J7" s="7">
        <v>197.81833423457601</v>
      </c>
      <c r="K7" s="7">
        <v>471.67877128462402</v>
      </c>
      <c r="N7" s="7" t="s">
        <v>37</v>
      </c>
      <c r="O7" s="7" t="s">
        <v>32</v>
      </c>
      <c r="P7" s="7">
        <v>98.366698149296795</v>
      </c>
      <c r="Q7" s="7">
        <v>234.54592061910199</v>
      </c>
    </row>
    <row r="8" spans="1:17" x14ac:dyDescent="0.3">
      <c r="B8" s="7" t="s">
        <v>38</v>
      </c>
      <c r="C8" s="7" t="s">
        <v>32</v>
      </c>
      <c r="D8" s="7">
        <v>3.3787134869544255</v>
      </c>
      <c r="E8" s="7">
        <v>8.0562582148923116</v>
      </c>
      <c r="H8" s="7" t="s">
        <v>38</v>
      </c>
      <c r="I8" s="7" t="s">
        <v>32</v>
      </c>
      <c r="J8" s="7">
        <v>5.0867030325169997</v>
      </c>
      <c r="K8" s="7">
        <v>12.1288156721959</v>
      </c>
      <c r="N8" s="7" t="s">
        <v>38</v>
      </c>
      <c r="O8" s="7" t="s">
        <v>32</v>
      </c>
      <c r="P8" s="7">
        <v>2.52940246267252</v>
      </c>
      <c r="Q8" s="7">
        <v>6.0311474907103397</v>
      </c>
    </row>
    <row r="9" spans="1:17" x14ac:dyDescent="0.3">
      <c r="B9" s="7" t="s">
        <v>54</v>
      </c>
      <c r="C9" s="7" t="s">
        <v>32</v>
      </c>
      <c r="D9" s="7">
        <v>2.1303640665161523</v>
      </c>
      <c r="E9" s="7">
        <v>21.027669254484898</v>
      </c>
      <c r="H9" s="7" t="s">
        <v>54</v>
      </c>
      <c r="I9" s="7" t="s">
        <v>32</v>
      </c>
      <c r="J9" s="7">
        <v>3.2072945514184501</v>
      </c>
      <c r="K9" s="7">
        <v>31.6574664814115</v>
      </c>
      <c r="N9" s="7" t="s">
        <v>54</v>
      </c>
      <c r="O9" s="7" t="s">
        <v>32</v>
      </c>
      <c r="P9" s="7">
        <v>1.5948520456205499</v>
      </c>
      <c r="Q9" s="7">
        <v>15.741920290643099</v>
      </c>
    </row>
    <row r="10" spans="1:17" x14ac:dyDescent="0.3">
      <c r="B10" s="7" t="s">
        <v>39</v>
      </c>
      <c r="C10" s="7" t="s">
        <v>32</v>
      </c>
      <c r="D10" s="7">
        <v>26.096826433651664</v>
      </c>
      <c r="E10" s="7">
        <v>62.225361238750502</v>
      </c>
      <c r="H10" s="7" t="s">
        <v>39</v>
      </c>
      <c r="I10" s="7" t="s">
        <v>32</v>
      </c>
      <c r="J10" s="7">
        <v>39.289157447553684</v>
      </c>
      <c r="K10" s="7">
        <v>93.681199940374398</v>
      </c>
      <c r="N10" s="7" t="s">
        <v>39</v>
      </c>
      <c r="O10" s="7" t="s">
        <v>32</v>
      </c>
      <c r="P10" s="7">
        <v>19.536837705856101</v>
      </c>
      <c r="Q10" s="7">
        <v>46.583701922549402</v>
      </c>
    </row>
    <row r="11" spans="1:17" x14ac:dyDescent="0.3">
      <c r="B11" s="7" t="s">
        <v>40</v>
      </c>
      <c r="C11" s="7" t="s">
        <v>41</v>
      </c>
      <c r="D11" s="7">
        <v>2.7921125172638388E-2</v>
      </c>
      <c r="E11" s="7">
        <v>0</v>
      </c>
      <c r="H11" s="7" t="s">
        <v>40</v>
      </c>
      <c r="I11" s="7" t="s">
        <v>41</v>
      </c>
      <c r="J11" s="7">
        <v>4.2035666130118998E-2</v>
      </c>
      <c r="K11" s="7">
        <v>0</v>
      </c>
      <c r="N11" s="7" t="s">
        <v>40</v>
      </c>
      <c r="O11" s="7" t="s">
        <v>41</v>
      </c>
      <c r="P11" s="7">
        <v>2.0902560410921301E-2</v>
      </c>
      <c r="Q11" s="7">
        <v>0</v>
      </c>
    </row>
    <row r="12" spans="1:17" x14ac:dyDescent="0.3">
      <c r="B12" s="7" t="s">
        <v>42</v>
      </c>
      <c r="C12" s="7" t="s">
        <v>34</v>
      </c>
      <c r="D12" s="7">
        <v>0.109949465962092</v>
      </c>
      <c r="E12" s="7">
        <v>7.0256782442434607E-2</v>
      </c>
      <c r="H12" s="7" t="s">
        <v>42</v>
      </c>
      <c r="I12" s="7" t="s">
        <v>34</v>
      </c>
      <c r="J12" s="7">
        <v>0.16553054412350801</v>
      </c>
      <c r="K12" s="7">
        <v>0.105772623125543</v>
      </c>
      <c r="N12" s="7" t="s">
        <v>42</v>
      </c>
      <c r="O12" s="7" t="s">
        <v>34</v>
      </c>
      <c r="P12" s="7">
        <v>8.2311344554027402E-2</v>
      </c>
      <c r="Q12" s="7">
        <v>5.25962557096036E-2</v>
      </c>
    </row>
    <row r="13" spans="1:17" x14ac:dyDescent="0.3">
      <c r="B13" s="7" t="s">
        <v>43</v>
      </c>
      <c r="C13" s="7" t="s">
        <v>32</v>
      </c>
      <c r="D13" s="7">
        <v>7.9219724107902595E-2</v>
      </c>
      <c r="E13" s="7">
        <v>0.81306554455652702</v>
      </c>
      <c r="H13" s="7" t="s">
        <v>43</v>
      </c>
      <c r="I13" s="7" t="s">
        <v>32</v>
      </c>
      <c r="J13" s="7">
        <v>0.11926646411740099</v>
      </c>
      <c r="K13" s="7">
        <v>1.2240821801255499</v>
      </c>
      <c r="N13" s="7" t="s">
        <v>43</v>
      </c>
      <c r="O13" s="7" t="s">
        <v>32</v>
      </c>
      <c r="P13" s="7">
        <v>5.9306172608139002E-2</v>
      </c>
      <c r="Q13" s="7">
        <v>0.60868434055035703</v>
      </c>
    </row>
    <row r="14" spans="1:17" x14ac:dyDescent="0.3">
      <c r="B14" s="7" t="s">
        <v>44</v>
      </c>
      <c r="C14" s="7" t="s">
        <v>32</v>
      </c>
      <c r="D14" s="7">
        <v>3.0357432659766002E-3</v>
      </c>
      <c r="E14" s="7">
        <v>0.86045945731984796</v>
      </c>
      <c r="H14" s="7" t="s">
        <v>44</v>
      </c>
      <c r="I14" s="7" t="s">
        <v>32</v>
      </c>
      <c r="J14" s="7">
        <v>4.5703563017726002E-3</v>
      </c>
      <c r="K14" s="7">
        <v>1.2954344154384501</v>
      </c>
      <c r="N14" s="7" t="s">
        <v>44</v>
      </c>
      <c r="O14" s="7" t="s">
        <v>32</v>
      </c>
      <c r="P14" s="7">
        <v>2.2726450534058902E-3</v>
      </c>
      <c r="Q14" s="7">
        <v>0.64416479194763998</v>
      </c>
    </row>
    <row r="15" spans="1:17" x14ac:dyDescent="0.3">
      <c r="A15" s="7" t="s">
        <v>45</v>
      </c>
      <c r="B15" s="7" t="s">
        <v>46</v>
      </c>
      <c r="C15" s="7" t="s">
        <v>47</v>
      </c>
      <c r="D15" s="7">
        <v>9.012434324375981</v>
      </c>
      <c r="E15" s="7">
        <v>1.8609011211739512</v>
      </c>
      <c r="G15" s="7" t="s">
        <v>45</v>
      </c>
      <c r="H15" s="7" t="s">
        <v>46</v>
      </c>
      <c r="I15" s="7" t="s">
        <v>47</v>
      </c>
      <c r="J15" s="7">
        <v>13.568352920474201</v>
      </c>
      <c r="K15" s="7">
        <v>2.8016141092870108</v>
      </c>
      <c r="M15" s="7" t="s">
        <v>45</v>
      </c>
      <c r="N15" s="7" t="s">
        <v>46</v>
      </c>
      <c r="O15" s="7" t="s">
        <v>47</v>
      </c>
      <c r="P15" s="7">
        <v>6.7469685318891299</v>
      </c>
      <c r="Q15" s="7">
        <v>1.3931243051124487</v>
      </c>
    </row>
    <row r="16" spans="1:17" x14ac:dyDescent="0.3">
      <c r="B16" s="7" t="s">
        <v>48</v>
      </c>
      <c r="C16" s="7" t="s">
        <v>47</v>
      </c>
      <c r="D16" s="7">
        <v>591.8656511430579</v>
      </c>
      <c r="E16" s="7">
        <v>93.29734357995477</v>
      </c>
      <c r="H16" s="7" t="s">
        <v>48</v>
      </c>
      <c r="I16" s="7" t="s">
        <v>47</v>
      </c>
      <c r="J16" s="7">
        <v>591.8656511430579</v>
      </c>
      <c r="K16" s="7">
        <v>93.29734357995477</v>
      </c>
      <c r="N16" s="7" t="s">
        <v>48</v>
      </c>
      <c r="O16" s="7" t="s">
        <v>47</v>
      </c>
      <c r="P16" s="7">
        <v>591.8656511430579</v>
      </c>
      <c r="Q16" s="7">
        <v>93.29734357995477</v>
      </c>
    </row>
    <row r="17" spans="1:17" x14ac:dyDescent="0.3">
      <c r="B17" s="7" t="s">
        <v>49</v>
      </c>
      <c r="C17" s="7" t="s">
        <v>47</v>
      </c>
      <c r="D17" s="7">
        <v>177.490701341197</v>
      </c>
      <c r="E17" s="7">
        <v>23.8604154971759</v>
      </c>
      <c r="H17" s="7" t="s">
        <v>49</v>
      </c>
      <c r="I17" s="7" t="s">
        <v>47</v>
      </c>
      <c r="J17" s="7">
        <v>267.21487105722599</v>
      </c>
      <c r="K17" s="7">
        <v>35.9222077679051</v>
      </c>
      <c r="N17" s="7" t="s">
        <v>49</v>
      </c>
      <c r="O17" s="7" t="s">
        <v>47</v>
      </c>
      <c r="P17" s="7">
        <v>132.87466333186401</v>
      </c>
      <c r="Q17" s="7">
        <v>17.862595911720302</v>
      </c>
    </row>
    <row r="18" spans="1:17" x14ac:dyDescent="0.3">
      <c r="B18" s="7" t="s">
        <v>50</v>
      </c>
      <c r="C18" s="7" t="s">
        <v>47</v>
      </c>
      <c r="D18" s="7">
        <v>153.11284010528999</v>
      </c>
      <c r="E18" s="7">
        <v>1.4390578693271601</v>
      </c>
      <c r="H18" s="7" t="s">
        <v>50</v>
      </c>
      <c r="I18" s="7" t="s">
        <v>47</v>
      </c>
      <c r="J18" s="7">
        <v>230.51364109092199</v>
      </c>
      <c r="K18" s="7">
        <v>2.16652286621445</v>
      </c>
      <c r="N18" s="7" t="s">
        <v>50</v>
      </c>
      <c r="O18" s="7" t="s">
        <v>47</v>
      </c>
      <c r="P18" s="7">
        <v>114.62469260103001</v>
      </c>
      <c r="Q18" s="7">
        <v>1.0773202678056799</v>
      </c>
    </row>
    <row r="19" spans="1:17" x14ac:dyDescent="0.3">
      <c r="A19" s="7" t="s">
        <v>51</v>
      </c>
      <c r="B19" s="7" t="s">
        <v>51</v>
      </c>
      <c r="C19" s="7" t="s">
        <v>29</v>
      </c>
      <c r="D19" s="7">
        <v>34571.332441777929</v>
      </c>
      <c r="E19" s="7">
        <f>D19*E23</f>
        <v>798.28537980778935</v>
      </c>
      <c r="G19" s="7" t="s">
        <v>51</v>
      </c>
      <c r="H19" s="7" t="s">
        <v>51</v>
      </c>
      <c r="I19" s="7" t="s">
        <v>29</v>
      </c>
      <c r="J19" s="7">
        <v>52047.651346803003</v>
      </c>
      <c r="K19" s="7">
        <f>J19*K23</f>
        <v>1201.8304239056765</v>
      </c>
      <c r="M19" s="7" t="s">
        <v>51</v>
      </c>
      <c r="N19" s="7" t="s">
        <v>51</v>
      </c>
      <c r="O19" s="7" t="s">
        <v>29</v>
      </c>
      <c r="P19" s="7">
        <v>25881.097569751699</v>
      </c>
      <c r="Q19" s="7">
        <f>P19*Q23</f>
        <v>597.61948250349724</v>
      </c>
    </row>
    <row r="20" spans="1:17" x14ac:dyDescent="0.3">
      <c r="E20" s="6">
        <f>SUM(E2:E19)</f>
        <v>1537.3871222077232</v>
      </c>
      <c r="K20" s="6">
        <f>SUM(K2:K19)</f>
        <v>2200.2348144580769</v>
      </c>
      <c r="Q20" s="6">
        <f>SUM(Q2:Q19)</f>
        <v>1207.7809756650518</v>
      </c>
    </row>
    <row r="21" spans="1:17" x14ac:dyDescent="0.3">
      <c r="A21" s="7" t="s">
        <v>52</v>
      </c>
      <c r="B21" s="7" t="s">
        <v>55</v>
      </c>
      <c r="C21" s="7" t="s">
        <v>34</v>
      </c>
      <c r="D21" s="7">
        <v>2.0435880425255029E-2</v>
      </c>
      <c r="E21" s="7">
        <v>1.3058355422588054E-2</v>
      </c>
      <c r="G21" s="7" t="s">
        <v>52</v>
      </c>
      <c r="H21" s="7" t="s">
        <v>55</v>
      </c>
      <c r="I21" s="7" t="s">
        <v>34</v>
      </c>
      <c r="J21" s="7">
        <v>2.0435880425255029E-2</v>
      </c>
      <c r="K21" s="7">
        <v>1.3058355422588054E-2</v>
      </c>
      <c r="M21" s="7" t="s">
        <v>52</v>
      </c>
      <c r="N21" s="7" t="s">
        <v>55</v>
      </c>
      <c r="O21" s="7" t="s">
        <v>34</v>
      </c>
      <c r="P21" s="7">
        <v>2.0435880425255029E-2</v>
      </c>
      <c r="Q21" s="7">
        <v>1.3058355422588054E-2</v>
      </c>
    </row>
    <row r="22" spans="1:17" x14ac:dyDescent="0.3">
      <c r="B22" s="7" t="s">
        <v>53</v>
      </c>
      <c r="E22" s="7">
        <f>E23-E21</f>
        <v>1.0032608200297848E-2</v>
      </c>
      <c r="H22" s="7" t="s">
        <v>53</v>
      </c>
      <c r="K22" s="7">
        <f>K23-K21</f>
        <v>1.0032608200297848E-2</v>
      </c>
      <c r="N22" s="7" t="s">
        <v>53</v>
      </c>
      <c r="Q22" s="7">
        <f>Q23-Q21</f>
        <v>1.0032608200297848E-2</v>
      </c>
    </row>
    <row r="23" spans="1:17" x14ac:dyDescent="0.3">
      <c r="E23" s="7">
        <v>2.3090963622885902E-2</v>
      </c>
      <c r="K23" s="7">
        <v>2.3090963622885902E-2</v>
      </c>
      <c r="Q23" s="7">
        <v>2.3090963622885902E-2</v>
      </c>
    </row>
    <row r="24" spans="1:17" x14ac:dyDescent="0.3">
      <c r="A24" s="7" t="s">
        <v>52</v>
      </c>
      <c r="B24" s="7" t="s">
        <v>35</v>
      </c>
      <c r="E24" s="7">
        <v>4.9020610227415648E-3</v>
      </c>
      <c r="G24" s="7" t="s">
        <v>52</v>
      </c>
      <c r="H24" s="7" t="s">
        <v>35</v>
      </c>
      <c r="K24" s="7">
        <v>4.9020610227415648E-3</v>
      </c>
      <c r="M24" s="7" t="s">
        <v>52</v>
      </c>
      <c r="N24" s="7" t="s">
        <v>35</v>
      </c>
      <c r="Q24" s="7">
        <v>4.9020610227415648E-3</v>
      </c>
    </row>
    <row r="25" spans="1:17" x14ac:dyDescent="0.3">
      <c r="B25" s="7" t="s">
        <v>53</v>
      </c>
      <c r="E25" s="7">
        <f>E23-E24</f>
        <v>1.8188902600144337E-2</v>
      </c>
      <c r="H25" s="7" t="s">
        <v>53</v>
      </c>
      <c r="K25" s="7">
        <f>K23-K24</f>
        <v>1.8188902600144337E-2</v>
      </c>
      <c r="N25" s="7" t="s">
        <v>53</v>
      </c>
      <c r="Q25" s="7">
        <f>Q23-Q24</f>
        <v>1.8188902600144337E-2</v>
      </c>
    </row>
    <row r="26" spans="1:17" ht="14.5" x14ac:dyDescent="0.3">
      <c r="C26" s="7" t="s">
        <v>92</v>
      </c>
      <c r="D26" s="7" t="s">
        <v>91</v>
      </c>
      <c r="E26" s="8" t="s">
        <v>89</v>
      </c>
      <c r="I26" s="7" t="s">
        <v>92</v>
      </c>
      <c r="J26" s="7" t="s">
        <v>91</v>
      </c>
      <c r="K26" s="8" t="s">
        <v>89</v>
      </c>
      <c r="O26" s="7" t="s">
        <v>92</v>
      </c>
      <c r="P26" s="7" t="s">
        <v>91</v>
      </c>
      <c r="Q26" s="8" t="s">
        <v>89</v>
      </c>
    </row>
    <row r="27" spans="1:17" ht="14.5" x14ac:dyDescent="0.3">
      <c r="B27" s="8" t="s">
        <v>90</v>
      </c>
      <c r="C27" s="7">
        <f>D5+D12+D19*D21</f>
        <v>805.5625591733766</v>
      </c>
      <c r="D27" s="7">
        <f>E5+E12+E21*D19</f>
        <v>514.7476885711078</v>
      </c>
      <c r="E27" s="7">
        <f>D27/E20</f>
        <v>0.33481982588218789</v>
      </c>
      <c r="H27" s="8" t="s">
        <v>90</v>
      </c>
      <c r="I27" s="7">
        <f>J5+J12+J19*J21</f>
        <v>1212.7863248691724</v>
      </c>
      <c r="J27" s="7">
        <f>K5+K12+K21*J19</f>
        <v>774.96024405311937</v>
      </c>
      <c r="K27" s="7">
        <f>J27/K20</f>
        <v>0.35221706290653071</v>
      </c>
      <c r="N27" s="8" t="s">
        <v>90</v>
      </c>
      <c r="O27" s="7">
        <f>P5+P12+P19*P21</f>
        <v>603.06738907494719</v>
      </c>
      <c r="P27" s="7">
        <f>Q5+Q12+Q21*P19</f>
        <v>385.3549808688793</v>
      </c>
      <c r="Q27" s="7">
        <f>P27/Q20</f>
        <v>0.3190603169226835</v>
      </c>
    </row>
    <row r="28" spans="1:17" ht="14.5" x14ac:dyDescent="0.3">
      <c r="B28" s="8" t="s">
        <v>100</v>
      </c>
      <c r="D28" s="7">
        <f>E20-D27</f>
        <v>1022.6394336366154</v>
      </c>
      <c r="H28" s="8" t="s">
        <v>100</v>
      </c>
      <c r="J28" s="7">
        <f>K20-J27</f>
        <v>1425.2745704049576</v>
      </c>
      <c r="N28" s="8" t="s">
        <v>100</v>
      </c>
      <c r="P28" s="7">
        <f>Q20-P27</f>
        <v>822.42599479617252</v>
      </c>
    </row>
    <row r="29" spans="1:17" ht="14.5" x14ac:dyDescent="0.3">
      <c r="B29" s="8" t="s">
        <v>124</v>
      </c>
      <c r="D29" s="7">
        <f>SUM(E6:E14)+D19*E24-E12</f>
        <v>577.22834504918194</v>
      </c>
      <c r="H29" s="8" t="s">
        <v>124</v>
      </c>
      <c r="J29" s="7">
        <f>SUM(K6:K14)+J19*K24-K12</f>
        <v>869.02579474506376</v>
      </c>
      <c r="N29" s="8" t="s">
        <v>124</v>
      </c>
      <c r="P29" s="7">
        <f>SUM(Q6:Q14)+P19*Q24-Q12</f>
        <v>432.12980417817704</v>
      </c>
    </row>
    <row r="30" spans="1:17" ht="14.5" x14ac:dyDescent="0.3">
      <c r="B30" s="8" t="s">
        <v>100</v>
      </c>
      <c r="D30" s="7">
        <f>E20-D29</f>
        <v>960.15877715854128</v>
      </c>
      <c r="H30" s="8" t="s">
        <v>100</v>
      </c>
      <c r="J30" s="7">
        <f>K20-J29</f>
        <v>1331.2090197130133</v>
      </c>
      <c r="N30" s="8" t="s">
        <v>100</v>
      </c>
      <c r="P30" s="7">
        <f>Q20-P29</f>
        <v>775.65117148687477</v>
      </c>
    </row>
    <row r="39" spans="1:17" ht="14.5" x14ac:dyDescent="0.3">
      <c r="A39" s="6" t="s">
        <v>83</v>
      </c>
      <c r="D39" s="7" t="s">
        <v>22</v>
      </c>
      <c r="E39" s="7" t="s">
        <v>23</v>
      </c>
      <c r="G39" s="6" t="s">
        <v>84</v>
      </c>
      <c r="J39" s="7" t="s">
        <v>22</v>
      </c>
      <c r="K39" s="7" t="s">
        <v>23</v>
      </c>
      <c r="M39" s="6" t="s">
        <v>85</v>
      </c>
      <c r="P39" s="7" t="s">
        <v>22</v>
      </c>
      <c r="Q39" s="7" t="s">
        <v>23</v>
      </c>
    </row>
    <row r="40" spans="1:17" ht="14.5" x14ac:dyDescent="0.3">
      <c r="A40" s="7" t="s">
        <v>59</v>
      </c>
      <c r="B40" s="7" t="s">
        <v>60</v>
      </c>
      <c r="C40" s="7" t="s">
        <v>26</v>
      </c>
      <c r="D40" s="7">
        <v>20</v>
      </c>
      <c r="E40" s="7">
        <v>132.856672183179</v>
      </c>
      <c r="G40" s="7" t="s">
        <v>59</v>
      </c>
      <c r="H40" s="7" t="s">
        <v>60</v>
      </c>
      <c r="I40" s="7" t="s">
        <v>26</v>
      </c>
      <c r="J40" s="7">
        <v>20</v>
      </c>
      <c r="K40" s="7">
        <v>132.856672183179</v>
      </c>
      <c r="M40" s="7" t="s">
        <v>59</v>
      </c>
      <c r="N40" s="7" t="s">
        <v>60</v>
      </c>
      <c r="O40" s="7" t="s">
        <v>26</v>
      </c>
      <c r="P40" s="7">
        <v>20</v>
      </c>
      <c r="Q40" s="7">
        <v>132.856672183179</v>
      </c>
    </row>
    <row r="41" spans="1:17" ht="14.5" x14ac:dyDescent="0.3">
      <c r="A41" s="7" t="s">
        <v>61</v>
      </c>
      <c r="B41" s="7" t="s">
        <v>62</v>
      </c>
      <c r="C41" s="7" t="s">
        <v>29</v>
      </c>
      <c r="D41" s="7">
        <v>6.9594008063139483E-4</v>
      </c>
      <c r="E41" s="7">
        <v>3.5311845498730996</v>
      </c>
      <c r="G41" s="7" t="s">
        <v>61</v>
      </c>
      <c r="H41" s="7" t="s">
        <v>62</v>
      </c>
      <c r="I41" s="7" t="s">
        <v>29</v>
      </c>
      <c r="J41" s="7">
        <v>8.4752073610129498E-4</v>
      </c>
      <c r="K41" s="7">
        <v>4.3003014373058903</v>
      </c>
      <c r="M41" s="7" t="s">
        <v>61</v>
      </c>
      <c r="N41" s="7" t="s">
        <v>62</v>
      </c>
      <c r="O41" s="7" t="s">
        <v>29</v>
      </c>
      <c r="P41" s="7">
        <v>5.9035414663125799E-4</v>
      </c>
      <c r="Q41" s="7">
        <v>2.9954438601186801</v>
      </c>
    </row>
    <row r="42" spans="1:17" ht="14.5" x14ac:dyDescent="0.3">
      <c r="A42" s="7" t="s">
        <v>63</v>
      </c>
      <c r="B42" s="7" t="s">
        <v>64</v>
      </c>
      <c r="C42" s="7" t="s">
        <v>32</v>
      </c>
      <c r="D42" s="7">
        <v>4.5951281931987813</v>
      </c>
      <c r="E42" s="7">
        <v>1.9770847635982756</v>
      </c>
      <c r="G42" s="7" t="s">
        <v>63</v>
      </c>
      <c r="H42" s="7" t="s">
        <v>64</v>
      </c>
      <c r="I42" s="7" t="s">
        <v>32</v>
      </c>
      <c r="J42" s="7">
        <v>5.5959795062333004</v>
      </c>
      <c r="K42" s="7">
        <v>2.4077077622246499</v>
      </c>
      <c r="M42" s="7" t="s">
        <v>63</v>
      </c>
      <c r="N42" s="7" t="s">
        <v>64</v>
      </c>
      <c r="O42" s="7" t="s">
        <v>32</v>
      </c>
      <c r="P42" s="7">
        <v>3.8979691767370901</v>
      </c>
      <c r="Q42" s="7">
        <v>1.67712741501078</v>
      </c>
    </row>
    <row r="43" spans="1:17" ht="14.5" x14ac:dyDescent="0.3">
      <c r="B43" s="7" t="s">
        <v>65</v>
      </c>
      <c r="C43" s="7" t="s">
        <v>34</v>
      </c>
      <c r="D43" s="7">
        <v>48.888344480961997</v>
      </c>
      <c r="E43" s="7">
        <v>31.239240246550601</v>
      </c>
      <c r="H43" s="7" t="s">
        <v>65</v>
      </c>
      <c r="I43" s="7" t="s">
        <v>34</v>
      </c>
      <c r="J43" s="7">
        <v>59.536570538784702</v>
      </c>
      <c r="K43" s="7">
        <v>38.0433669878323</v>
      </c>
      <c r="N43" s="7" t="s">
        <v>65</v>
      </c>
      <c r="O43" s="7" t="s">
        <v>34</v>
      </c>
      <c r="P43" s="7">
        <v>41.471152028043299</v>
      </c>
      <c r="Q43" s="7">
        <v>26.499716757841401</v>
      </c>
    </row>
    <row r="44" spans="1:17" ht="14.5" x14ac:dyDescent="0.3">
      <c r="A44" s="7" t="s">
        <v>66</v>
      </c>
      <c r="B44" s="7" t="s">
        <v>67</v>
      </c>
      <c r="C44" s="7" t="s">
        <v>32</v>
      </c>
      <c r="D44" s="7">
        <v>0.37214736283776439</v>
      </c>
      <c r="E44" s="7">
        <v>0.72825311788510716</v>
      </c>
      <c r="G44" s="7" t="s">
        <v>66</v>
      </c>
      <c r="H44" s="7" t="s">
        <v>67</v>
      </c>
      <c r="I44" s="7" t="s">
        <v>32</v>
      </c>
      <c r="J44" s="7">
        <v>0.45320368185184401</v>
      </c>
      <c r="K44" s="7">
        <v>0.88687178065399397</v>
      </c>
      <c r="M44" s="7" t="s">
        <v>66</v>
      </c>
      <c r="N44" s="7" t="s">
        <v>67</v>
      </c>
      <c r="O44" s="7" t="s">
        <v>32</v>
      </c>
      <c r="P44" s="7">
        <v>0.31568628524719899</v>
      </c>
      <c r="Q44" s="7">
        <v>0.61776474714685403</v>
      </c>
    </row>
    <row r="45" spans="1:17" ht="14.5" x14ac:dyDescent="0.3">
      <c r="B45" s="7" t="s">
        <v>68</v>
      </c>
      <c r="C45" s="7" t="s">
        <v>32</v>
      </c>
      <c r="D45" s="7">
        <v>52.090033303670587</v>
      </c>
      <c r="E45" s="7">
        <v>124.20543130084104</v>
      </c>
      <c r="H45" s="7" t="s">
        <v>68</v>
      </c>
      <c r="I45" s="7" t="s">
        <v>32</v>
      </c>
      <c r="J45" s="7">
        <v>63.435609756826899</v>
      </c>
      <c r="K45" s="7">
        <v>151.25824980271801</v>
      </c>
      <c r="N45" s="7" t="s">
        <v>68</v>
      </c>
      <c r="O45" s="7" t="s">
        <v>32</v>
      </c>
      <c r="P45" s="7">
        <v>44.187090260820703</v>
      </c>
      <c r="Q45" s="7">
        <v>105.361357167489</v>
      </c>
    </row>
    <row r="46" spans="1:17" ht="14.5" x14ac:dyDescent="0.3">
      <c r="B46" s="7" t="s">
        <v>69</v>
      </c>
      <c r="C46" s="7" t="s">
        <v>32</v>
      </c>
      <c r="D46" s="7">
        <v>2.5244980929179563</v>
      </c>
      <c r="E46" s="7">
        <v>6.0194534334081471</v>
      </c>
      <c r="H46" s="7" t="s">
        <v>69</v>
      </c>
      <c r="I46" s="7" t="s">
        <v>32</v>
      </c>
      <c r="J46" s="7">
        <v>3.0743515735650799</v>
      </c>
      <c r="K46" s="7">
        <v>7.3305328242929697</v>
      </c>
      <c r="N46" s="7" t="s">
        <v>69</v>
      </c>
      <c r="O46" s="7" t="s">
        <v>32</v>
      </c>
      <c r="P46" s="7">
        <v>2.14148884191968</v>
      </c>
      <c r="Q46" s="7">
        <v>5.1062000792399198</v>
      </c>
    </row>
    <row r="47" spans="1:17" ht="14.5" x14ac:dyDescent="0.3">
      <c r="B47" s="7" t="s">
        <v>70</v>
      </c>
      <c r="C47" s="7" t="s">
        <v>32</v>
      </c>
      <c r="D47" s="7">
        <v>5.6441031205104002</v>
      </c>
      <c r="E47" s="7">
        <v>13.456946334758699</v>
      </c>
      <c r="H47" s="7" t="s">
        <v>70</v>
      </c>
      <c r="I47" s="7" t="s">
        <v>32</v>
      </c>
      <c r="J47" s="7">
        <v>6.8734285672794204</v>
      </c>
      <c r="K47" s="7">
        <v>16.387964108868399</v>
      </c>
      <c r="N47" s="7" t="s">
        <v>70</v>
      </c>
      <c r="O47" s="7" t="s">
        <v>32</v>
      </c>
      <c r="P47" s="7">
        <v>4.7877967858737902</v>
      </c>
      <c r="Q47" s="7">
        <v>11.415298947161499</v>
      </c>
    </row>
    <row r="48" spans="1:17" ht="14.5" x14ac:dyDescent="0.3">
      <c r="B48" s="7" t="s">
        <v>71</v>
      </c>
      <c r="C48" s="7" t="s">
        <v>41</v>
      </c>
      <c r="D48" s="7">
        <v>2.7365861790695198E-4</v>
      </c>
      <c r="E48" s="7">
        <v>0</v>
      </c>
      <c r="H48" s="7" t="s">
        <v>71</v>
      </c>
      <c r="I48" s="7" t="s">
        <v>41</v>
      </c>
      <c r="J48" s="7">
        <v>3.3326339399584798E-4</v>
      </c>
      <c r="K48" s="7">
        <v>0</v>
      </c>
      <c r="N48" s="7" t="s">
        <v>71</v>
      </c>
      <c r="O48" s="7" t="s">
        <v>41</v>
      </c>
      <c r="P48" s="7">
        <v>2.3213995621027599E-4</v>
      </c>
      <c r="Q48" s="7">
        <v>0</v>
      </c>
    </row>
    <row r="49" spans="1:17" ht="14.5" x14ac:dyDescent="0.3">
      <c r="B49" s="7" t="s">
        <v>72</v>
      </c>
      <c r="C49" s="7" t="s">
        <v>34</v>
      </c>
      <c r="D49" s="7">
        <v>5.4319024475460297E-2</v>
      </c>
      <c r="E49" s="7">
        <v>3.4709399010391197E-2</v>
      </c>
      <c r="H49" s="7" t="s">
        <v>72</v>
      </c>
      <c r="I49" s="7" t="s">
        <v>34</v>
      </c>
      <c r="J49" s="7">
        <v>6.6150090918717305E-2</v>
      </c>
      <c r="K49" s="7">
        <v>4.2269350792717097E-2</v>
      </c>
      <c r="N49" s="7" t="s">
        <v>72</v>
      </c>
      <c r="O49" s="7" t="s">
        <v>34</v>
      </c>
      <c r="P49" s="7">
        <v>4.60779056021021E-2</v>
      </c>
      <c r="Q49" s="7">
        <v>2.9443393480474499E-2</v>
      </c>
    </row>
    <row r="50" spans="1:17" ht="14.5" x14ac:dyDescent="0.3">
      <c r="B50" s="7" t="s">
        <v>73</v>
      </c>
      <c r="C50" s="7" t="s">
        <v>32</v>
      </c>
      <c r="D50" s="7">
        <v>3.9137417313513598E-2</v>
      </c>
      <c r="E50" s="7">
        <v>0.40168387202668399</v>
      </c>
      <c r="H50" s="7" t="s">
        <v>73</v>
      </c>
      <c r="I50" s="7" t="s">
        <v>32</v>
      </c>
      <c r="J50" s="7">
        <v>4.7661822696803302E-2</v>
      </c>
      <c r="K50" s="7">
        <v>0.48917345095458697</v>
      </c>
      <c r="N50" s="7" t="s">
        <v>73</v>
      </c>
      <c r="O50" s="7" t="s">
        <v>32</v>
      </c>
      <c r="P50" s="7">
        <v>3.3199606176596001E-2</v>
      </c>
      <c r="Q50" s="7">
        <v>0.340741604177633</v>
      </c>
    </row>
    <row r="51" spans="1:17" ht="14.5" x14ac:dyDescent="0.3">
      <c r="B51" s="7" t="s">
        <v>74</v>
      </c>
      <c r="C51" s="7" t="s">
        <v>32</v>
      </c>
      <c r="D51" s="7">
        <v>1.4997672914814301E-3</v>
      </c>
      <c r="E51" s="7">
        <v>0.42509818409133998</v>
      </c>
      <c r="H51" s="7" t="s">
        <v>74</v>
      </c>
      <c r="I51" s="7" t="s">
        <v>32</v>
      </c>
      <c r="J51" s="7">
        <v>1.8264271799143801E-3</v>
      </c>
      <c r="K51" s="7">
        <v>0.51768756524203996</v>
      </c>
      <c r="N51" s="7" t="s">
        <v>74</v>
      </c>
      <c r="O51" s="7" t="s">
        <v>32</v>
      </c>
      <c r="P51" s="7">
        <v>1.2722271128639601E-3</v>
      </c>
      <c r="Q51" s="7">
        <v>0.36060356730145099</v>
      </c>
    </row>
    <row r="52" spans="1:17" ht="14.5" x14ac:dyDescent="0.3">
      <c r="B52" s="7" t="s">
        <v>86</v>
      </c>
      <c r="C52" s="7" t="s">
        <v>32</v>
      </c>
      <c r="D52" s="7">
        <v>2.7760722154349562</v>
      </c>
      <c r="E52" s="7">
        <v>6.6191839914751345</v>
      </c>
      <c r="H52" s="7" t="s">
        <v>86</v>
      </c>
      <c r="I52" s="7" t="s">
        <v>32</v>
      </c>
      <c r="J52" s="7">
        <v>3.3807203133942401</v>
      </c>
      <c r="K52" s="7">
        <v>8.0608889256030505</v>
      </c>
      <c r="N52" s="7" t="s">
        <v>86</v>
      </c>
      <c r="O52" s="7" t="s">
        <v>32</v>
      </c>
      <c r="P52" s="7">
        <v>2.3548948958981999</v>
      </c>
      <c r="Q52" s="7">
        <v>5.6149413224445199</v>
      </c>
    </row>
    <row r="53" spans="1:17" ht="14.5" x14ac:dyDescent="0.3">
      <c r="B53" s="7" t="s">
        <v>87</v>
      </c>
      <c r="C53" s="7" t="s">
        <v>32</v>
      </c>
      <c r="D53" s="7">
        <v>1.04542835315375</v>
      </c>
      <c r="E53" s="7">
        <v>2.4925984777165202</v>
      </c>
      <c r="H53" s="7" t="s">
        <v>87</v>
      </c>
      <c r="I53" s="7" t="s">
        <v>32</v>
      </c>
      <c r="J53" s="7">
        <v>1.2731300180357199</v>
      </c>
      <c r="K53" s="7">
        <v>3.0355039973019902</v>
      </c>
      <c r="N53" s="7" t="s">
        <v>87</v>
      </c>
      <c r="O53" s="7" t="s">
        <v>32</v>
      </c>
      <c r="P53" s="7">
        <v>0.88681911053358498</v>
      </c>
      <c r="Q53" s="7">
        <v>2.1144289403071501</v>
      </c>
    </row>
    <row r="54" spans="1:17" ht="14.5" x14ac:dyDescent="0.3">
      <c r="A54" s="7" t="s">
        <v>75</v>
      </c>
      <c r="B54" s="7" t="s">
        <v>76</v>
      </c>
      <c r="C54" s="7" t="s">
        <v>47</v>
      </c>
      <c r="D54" s="7">
        <v>4.765760112251348</v>
      </c>
      <c r="E54" s="7">
        <v>1.0392259314574643</v>
      </c>
      <c r="G54" s="7" t="s">
        <v>75</v>
      </c>
      <c r="H54" s="7" t="s">
        <v>76</v>
      </c>
      <c r="I54" s="7" t="s">
        <v>47</v>
      </c>
      <c r="J54" s="7">
        <v>5.8037762600954999</v>
      </c>
      <c r="K54" s="7">
        <v>1.26557666517109</v>
      </c>
      <c r="M54" s="7" t="s">
        <v>75</v>
      </c>
      <c r="N54" s="7" t="s">
        <v>76</v>
      </c>
      <c r="O54" s="7" t="s">
        <v>47</v>
      </c>
      <c r="P54" s="7">
        <v>4.04271333469526</v>
      </c>
      <c r="Q54" s="7">
        <v>0.88155770158550695</v>
      </c>
    </row>
    <row r="55" spans="1:17" ht="14.5" x14ac:dyDescent="0.3">
      <c r="B55" s="7" t="s">
        <v>77</v>
      </c>
      <c r="C55" s="7" t="s">
        <v>47</v>
      </c>
      <c r="D55" s="7">
        <v>293.2</v>
      </c>
      <c r="E55" s="7">
        <v>61.546908034789638</v>
      </c>
      <c r="H55" s="7" t="s">
        <v>77</v>
      </c>
      <c r="I55" s="7" t="s">
        <v>47</v>
      </c>
      <c r="J55" s="7">
        <v>293.2</v>
      </c>
      <c r="K55" s="7">
        <v>61.546908034789638</v>
      </c>
      <c r="N55" s="7" t="s">
        <v>77</v>
      </c>
      <c r="O55" s="7" t="s">
        <v>47</v>
      </c>
      <c r="P55" s="7">
        <v>293.2</v>
      </c>
      <c r="Q55" s="7">
        <v>61.546908034789638</v>
      </c>
    </row>
    <row r="56" spans="1:17" ht="14.5" x14ac:dyDescent="0.3">
      <c r="B56" s="7" t="s">
        <v>78</v>
      </c>
      <c r="C56" s="7" t="s">
        <v>47</v>
      </c>
      <c r="D56" s="7">
        <v>99.866845098258807</v>
      </c>
      <c r="E56" s="7">
        <v>21.797261427346498</v>
      </c>
      <c r="H56" s="7" t="s">
        <v>78</v>
      </c>
      <c r="I56" s="7" t="s">
        <v>47</v>
      </c>
      <c r="J56" s="7">
        <v>121.618547954589</v>
      </c>
      <c r="K56" s="7">
        <v>26.544858622220399</v>
      </c>
      <c r="N56" s="7" t="s">
        <v>78</v>
      </c>
      <c r="O56" s="7" t="s">
        <v>47</v>
      </c>
      <c r="P56" s="7">
        <v>84.7153479955482</v>
      </c>
      <c r="Q56" s="7">
        <v>18.4902465412898</v>
      </c>
    </row>
    <row r="57" spans="1:17" ht="14.5" x14ac:dyDescent="0.3">
      <c r="B57" s="7" t="s">
        <v>79</v>
      </c>
      <c r="C57" s="7" t="s">
        <v>47</v>
      </c>
      <c r="D57" s="7">
        <v>94.737721490272904</v>
      </c>
      <c r="E57" s="7">
        <v>0.89040908351612302</v>
      </c>
      <c r="H57" s="7" t="s">
        <v>79</v>
      </c>
      <c r="I57" s="7" t="s">
        <v>47</v>
      </c>
      <c r="J57" s="7">
        <v>94.737721490272904</v>
      </c>
      <c r="K57" s="7">
        <v>0.89040908351612302</v>
      </c>
      <c r="N57" s="7" t="s">
        <v>79</v>
      </c>
      <c r="O57" s="7" t="s">
        <v>47</v>
      </c>
      <c r="P57" s="7">
        <v>80.364399580834899</v>
      </c>
      <c r="Q57" s="7">
        <v>0.75531889782088202</v>
      </c>
    </row>
    <row r="58" spans="1:17" ht="14.5" x14ac:dyDescent="0.3">
      <c r="A58" s="7" t="s">
        <v>80</v>
      </c>
      <c r="B58" s="7" t="s">
        <v>80</v>
      </c>
      <c r="C58" s="7" t="s">
        <v>29</v>
      </c>
      <c r="D58" s="7">
        <v>17079.492261487219</v>
      </c>
      <c r="E58" s="7">
        <f>D58*E62</f>
        <v>394.38193450736264</v>
      </c>
      <c r="G58" s="7" t="s">
        <v>80</v>
      </c>
      <c r="H58" s="7" t="s">
        <v>80</v>
      </c>
      <c r="I58" s="7" t="s">
        <v>29</v>
      </c>
      <c r="J58" s="7">
        <v>20799.526074944901</v>
      </c>
      <c r="K58" s="7">
        <f>J58*K62</f>
        <v>480.28109996981948</v>
      </c>
      <c r="M58" s="7" t="s">
        <v>80</v>
      </c>
      <c r="N58" s="7" t="s">
        <v>80</v>
      </c>
      <c r="O58" s="7" t="s">
        <v>29</v>
      </c>
      <c r="P58" s="7">
        <v>14488.2431110702</v>
      </c>
      <c r="Q58" s="7">
        <f>P58*Q62</f>
        <v>334.54749463724926</v>
      </c>
    </row>
    <row r="59" spans="1:17" ht="14.5" x14ac:dyDescent="0.3">
      <c r="D59" s="7" t="s">
        <v>81</v>
      </c>
      <c r="E59" s="6">
        <f>SUM(E40:E58)</f>
        <v>803.64327883888643</v>
      </c>
      <c r="J59" s="7" t="s">
        <v>81</v>
      </c>
      <c r="K59" s="6">
        <f>SUM(K40:K58)</f>
        <v>936.14604255248628</v>
      </c>
      <c r="P59" s="7" t="s">
        <v>81</v>
      </c>
      <c r="Q59" s="6">
        <f>SUM(Q40:Q58)</f>
        <v>711.21126579763336</v>
      </c>
    </row>
    <row r="60" spans="1:17" ht="14.5" x14ac:dyDescent="0.3">
      <c r="A60" s="7" t="s">
        <v>81</v>
      </c>
      <c r="B60" s="7" t="s">
        <v>88</v>
      </c>
      <c r="C60" s="7" t="s">
        <v>34</v>
      </c>
      <c r="D60" s="7">
        <v>2.0435880425255029E-2</v>
      </c>
      <c r="E60" s="7">
        <v>1.3058355422588054E-2</v>
      </c>
      <c r="G60" s="7" t="s">
        <v>81</v>
      </c>
      <c r="H60" s="7" t="s">
        <v>88</v>
      </c>
      <c r="I60" s="7" t="s">
        <v>34</v>
      </c>
      <c r="J60" s="7">
        <v>2.0435880425255029E-2</v>
      </c>
      <c r="K60" s="7">
        <v>1.3058355422588054E-2</v>
      </c>
      <c r="M60" s="7" t="s">
        <v>81</v>
      </c>
      <c r="N60" s="7" t="s">
        <v>88</v>
      </c>
      <c r="O60" s="7" t="s">
        <v>34</v>
      </c>
      <c r="P60" s="7">
        <v>2.0435880425255029E-2</v>
      </c>
      <c r="Q60" s="7">
        <v>1.3058355422588054E-2</v>
      </c>
    </row>
    <row r="61" spans="1:17" ht="14.5" x14ac:dyDescent="0.3">
      <c r="B61" s="7" t="s">
        <v>82</v>
      </c>
      <c r="E61" s="7">
        <f>E62-E60</f>
        <v>1.0032608200297848E-2</v>
      </c>
      <c r="H61" s="7" t="s">
        <v>82</v>
      </c>
      <c r="K61" s="7">
        <f>K62-K60</f>
        <v>1.0032608200297848E-2</v>
      </c>
      <c r="N61" s="7" t="s">
        <v>82</v>
      </c>
      <c r="Q61" s="7">
        <f>Q62-Q60</f>
        <v>1.0032608200297848E-2</v>
      </c>
    </row>
    <row r="62" spans="1:17" x14ac:dyDescent="0.3">
      <c r="E62" s="7">
        <v>2.3090963622885902E-2</v>
      </c>
      <c r="K62" s="7">
        <v>2.3090963622885902E-2</v>
      </c>
      <c r="Q62" s="7">
        <v>2.3090963622885902E-2</v>
      </c>
    </row>
    <row r="64" spans="1:17" ht="14.5" x14ac:dyDescent="0.3">
      <c r="A64" s="7" t="s">
        <v>81</v>
      </c>
      <c r="B64" s="7" t="s">
        <v>66</v>
      </c>
      <c r="E64" s="7">
        <v>4.9020610227415596E-3</v>
      </c>
      <c r="G64" s="7" t="s">
        <v>81</v>
      </c>
      <c r="H64" s="7" t="s">
        <v>66</v>
      </c>
      <c r="K64" s="7">
        <v>4.9020610227415596E-3</v>
      </c>
      <c r="M64" s="7" t="s">
        <v>81</v>
      </c>
      <c r="N64" s="7" t="s">
        <v>66</v>
      </c>
      <c r="Q64" s="7">
        <v>4.9020610227415596E-3</v>
      </c>
    </row>
    <row r="65" spans="2:17" ht="14.5" x14ac:dyDescent="0.3">
      <c r="B65" s="7" t="s">
        <v>82</v>
      </c>
      <c r="E65" s="7">
        <v>1.81923818709974E-2</v>
      </c>
      <c r="H65" s="7" t="s">
        <v>82</v>
      </c>
      <c r="K65" s="7">
        <v>1.81923818709974E-2</v>
      </c>
      <c r="N65" s="7" t="s">
        <v>82</v>
      </c>
      <c r="Q65" s="7">
        <v>1.81923818709974E-2</v>
      </c>
    </row>
    <row r="66" spans="2:17" ht="14.5" x14ac:dyDescent="0.3">
      <c r="C66" s="7" t="s">
        <v>92</v>
      </c>
      <c r="D66" s="7" t="s">
        <v>91</v>
      </c>
      <c r="E66" s="8" t="s">
        <v>89</v>
      </c>
      <c r="I66" s="7" t="s">
        <v>92</v>
      </c>
      <c r="J66" s="7" t="s">
        <v>91</v>
      </c>
      <c r="K66" s="8" t="s">
        <v>89</v>
      </c>
      <c r="O66" s="7" t="s">
        <v>92</v>
      </c>
      <c r="P66" s="7" t="s">
        <v>91</v>
      </c>
      <c r="Q66" s="8" t="s">
        <v>89</v>
      </c>
    </row>
    <row r="67" spans="2:17" ht="14.5" x14ac:dyDescent="0.3">
      <c r="B67" s="8" t="s">
        <v>90</v>
      </c>
      <c r="C67" s="7">
        <f>D43+D49+D58*D60</f>
        <v>397.97712508525888</v>
      </c>
      <c r="D67" s="7">
        <f>E43+E49+D58*E60</f>
        <v>254.30403003340334</v>
      </c>
      <c r="E67" s="7">
        <f>D67/E59</f>
        <v>0.31643894340885287</v>
      </c>
      <c r="H67" s="8" t="s">
        <v>90</v>
      </c>
      <c r="I67" s="7">
        <f>J43+J49+J58*J60</f>
        <v>484.65934839925148</v>
      </c>
      <c r="J67" s="7">
        <f>K43+K49+J58*K60</f>
        <v>309.69324044664336</v>
      </c>
      <c r="K67" s="7">
        <f>J67/K59</f>
        <v>0.33081722975855021</v>
      </c>
      <c r="N67" s="8" t="s">
        <v>90</v>
      </c>
      <c r="O67" s="7">
        <f>P43+P49+P58*P60</f>
        <v>337.59723372350095</v>
      </c>
      <c r="P67" s="7">
        <f>Q43+Q49+P58*Q60</f>
        <v>215.72178814453946</v>
      </c>
      <c r="Q67" s="7">
        <f>P67/Q59</f>
        <v>0.30331604477975255</v>
      </c>
    </row>
    <row r="68" spans="2:17" ht="14.5" x14ac:dyDescent="0.3">
      <c r="B68" s="8" t="s">
        <v>100</v>
      </c>
      <c r="D68" s="7">
        <f>E59-D67</f>
        <v>549.33924880548307</v>
      </c>
      <c r="H68" s="8" t="s">
        <v>100</v>
      </c>
      <c r="J68" s="7">
        <f>K59-J67</f>
        <v>626.45280210584292</v>
      </c>
      <c r="N68" s="8" t="s">
        <v>100</v>
      </c>
      <c r="P68" s="7">
        <f>Q59-P67</f>
        <v>495.4894776530939</v>
      </c>
    </row>
    <row r="69" spans="2:17" ht="14.5" x14ac:dyDescent="0.3">
      <c r="B69" s="8" t="s">
        <v>124</v>
      </c>
      <c r="D69" s="7">
        <f>SUM(E44:E53)+D58*E64-E49</f>
        <v>238.07336201545527</v>
      </c>
      <c r="H69" s="8" t="s">
        <v>124</v>
      </c>
      <c r="J69" s="7">
        <f>SUM(K44:K53)+J58*K64-K49</f>
        <v>289.92741851911916</v>
      </c>
      <c r="N69" s="8" t="s">
        <v>124</v>
      </c>
      <c r="P69" s="7">
        <f>SUM(Q44:Q53)+P58*Q64-Q49</f>
        <v>201.95358821804919</v>
      </c>
    </row>
    <row r="70" spans="2:17" ht="14.5" x14ac:dyDescent="0.3">
      <c r="B70" s="8" t="s">
        <v>100</v>
      </c>
      <c r="D70" s="7">
        <f>E59-D69</f>
        <v>565.56991682343119</v>
      </c>
      <c r="H70" s="8" t="s">
        <v>100</v>
      </c>
      <c r="J70" s="7">
        <f>K59-J69</f>
        <v>646.21862403336718</v>
      </c>
      <c r="N70" s="8" t="s">
        <v>100</v>
      </c>
      <c r="P70" s="7">
        <f>Q59-P69</f>
        <v>509.2576775795842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D9EB-2CC6-46DF-B8F4-138FDE474F3F}">
  <dimension ref="A1:S45"/>
  <sheetViews>
    <sheetView workbookViewId="0">
      <selection activeCell="J24" sqref="J24"/>
    </sheetView>
  </sheetViews>
  <sheetFormatPr defaultColWidth="8.83203125" defaultRowHeight="14" x14ac:dyDescent="0.3"/>
  <cols>
    <col min="16" max="16" width="35.9140625" bestFit="1" customWidth="1"/>
    <col min="17" max="17" width="34" bestFit="1" customWidth="1"/>
  </cols>
  <sheetData>
    <row r="1" spans="1:19" x14ac:dyDescent="0.3">
      <c r="B1" t="s">
        <v>93</v>
      </c>
      <c r="C1" t="s">
        <v>94</v>
      </c>
      <c r="H1" t="s">
        <v>101</v>
      </c>
    </row>
    <row r="2" spans="1:19" x14ac:dyDescent="0.3">
      <c r="A2">
        <v>2020</v>
      </c>
      <c r="B2">
        <v>1</v>
      </c>
      <c r="C2">
        <v>1</v>
      </c>
      <c r="E2">
        <f>(B32-B2)/($A$32-$A$2)</f>
        <v>-3.3333333333333327E-3</v>
      </c>
      <c r="F2">
        <f>(C32-C2)/($A$32-$A$2)</f>
        <v>-2.3333333333333318E-3</v>
      </c>
      <c r="H2" t="s">
        <v>102</v>
      </c>
      <c r="I2" t="s">
        <v>17</v>
      </c>
      <c r="J2" t="s">
        <v>18</v>
      </c>
    </row>
    <row r="3" spans="1:19" x14ac:dyDescent="0.3">
      <c r="A3">
        <v>2021</v>
      </c>
      <c r="B3">
        <f>B2+E$2</f>
        <v>0.9966666666666667</v>
      </c>
      <c r="C3">
        <f>C2+F$2</f>
        <v>0.9976666666666667</v>
      </c>
      <c r="H3">
        <v>2020</v>
      </c>
      <c r="I3">
        <v>0.95</v>
      </c>
      <c r="J3">
        <v>0.05</v>
      </c>
    </row>
    <row r="4" spans="1:19" x14ac:dyDescent="0.3">
      <c r="A4">
        <v>2022</v>
      </c>
      <c r="B4">
        <f t="shared" ref="B4:C31" si="0">B3+E$2</f>
        <v>0.9933333333333334</v>
      </c>
      <c r="C4">
        <f t="shared" si="0"/>
        <v>0.9953333333333334</v>
      </c>
      <c r="H4">
        <v>2021</v>
      </c>
      <c r="I4">
        <v>0.95</v>
      </c>
      <c r="J4">
        <v>0.05</v>
      </c>
    </row>
    <row r="5" spans="1:19" x14ac:dyDescent="0.3">
      <c r="A5">
        <v>2023</v>
      </c>
      <c r="B5">
        <f t="shared" si="0"/>
        <v>0.9900000000000001</v>
      </c>
      <c r="C5">
        <f t="shared" si="0"/>
        <v>0.9930000000000001</v>
      </c>
      <c r="H5">
        <v>2022</v>
      </c>
      <c r="I5">
        <v>0.92500000000000004</v>
      </c>
      <c r="J5">
        <v>7.4999999999999997E-2</v>
      </c>
    </row>
    <row r="6" spans="1:19" x14ac:dyDescent="0.3">
      <c r="A6">
        <v>2024</v>
      </c>
      <c r="B6">
        <f t="shared" si="0"/>
        <v>0.9866666666666668</v>
      </c>
      <c r="C6">
        <f t="shared" si="0"/>
        <v>0.99066666666666681</v>
      </c>
      <c r="H6">
        <v>2023</v>
      </c>
      <c r="I6">
        <v>0.7</v>
      </c>
      <c r="J6">
        <v>0.3</v>
      </c>
    </row>
    <row r="7" spans="1:19" x14ac:dyDescent="0.3">
      <c r="A7">
        <v>2025</v>
      </c>
      <c r="B7">
        <f t="shared" si="0"/>
        <v>0.9833333333333335</v>
      </c>
      <c r="C7">
        <f t="shared" si="0"/>
        <v>0.98833333333333351</v>
      </c>
      <c r="H7">
        <v>2024</v>
      </c>
      <c r="I7">
        <v>0.35</v>
      </c>
      <c r="J7">
        <v>0.65</v>
      </c>
    </row>
    <row r="8" spans="1:19" x14ac:dyDescent="0.3">
      <c r="A8">
        <v>2026</v>
      </c>
      <c r="B8">
        <f t="shared" si="0"/>
        <v>0.9800000000000002</v>
      </c>
      <c r="C8">
        <f t="shared" si="0"/>
        <v>0.98600000000000021</v>
      </c>
    </row>
    <row r="9" spans="1:19" x14ac:dyDescent="0.3">
      <c r="A9">
        <v>2027</v>
      </c>
      <c r="B9">
        <f t="shared" si="0"/>
        <v>0.9766666666666669</v>
      </c>
      <c r="C9">
        <f t="shared" si="0"/>
        <v>0.98366666666666691</v>
      </c>
    </row>
    <row r="10" spans="1:19" x14ac:dyDescent="0.3">
      <c r="A10">
        <v>2028</v>
      </c>
      <c r="B10">
        <f t="shared" si="0"/>
        <v>0.97333333333333361</v>
      </c>
      <c r="C10">
        <f t="shared" si="0"/>
        <v>0.98133333333333361</v>
      </c>
    </row>
    <row r="11" spans="1:19" x14ac:dyDescent="0.3">
      <c r="A11">
        <v>2029</v>
      </c>
      <c r="B11">
        <f t="shared" si="0"/>
        <v>0.97000000000000031</v>
      </c>
      <c r="C11">
        <f t="shared" si="0"/>
        <v>0.97900000000000031</v>
      </c>
    </row>
    <row r="12" spans="1:19" x14ac:dyDescent="0.3">
      <c r="A12">
        <v>2030</v>
      </c>
      <c r="B12">
        <f t="shared" si="0"/>
        <v>0.96666666666666701</v>
      </c>
      <c r="C12">
        <f t="shared" si="0"/>
        <v>0.97666666666666702</v>
      </c>
    </row>
    <row r="13" spans="1:19" x14ac:dyDescent="0.3">
      <c r="A13">
        <v>2031</v>
      </c>
      <c r="B13">
        <f t="shared" si="0"/>
        <v>0.96333333333333371</v>
      </c>
      <c r="C13">
        <f t="shared" si="0"/>
        <v>0.97433333333333372</v>
      </c>
    </row>
    <row r="14" spans="1:19" x14ac:dyDescent="0.3">
      <c r="A14">
        <v>2032</v>
      </c>
      <c r="B14">
        <f t="shared" si="0"/>
        <v>0.96000000000000041</v>
      </c>
      <c r="C14">
        <f t="shared" si="0"/>
        <v>0.97200000000000042</v>
      </c>
      <c r="G14" s="4" t="s">
        <v>113</v>
      </c>
      <c r="N14" t="s">
        <v>191</v>
      </c>
      <c r="P14" t="s">
        <v>192</v>
      </c>
      <c r="Q14" t="s">
        <v>193</v>
      </c>
      <c r="S14" t="s">
        <v>210</v>
      </c>
    </row>
    <row r="15" spans="1:19" x14ac:dyDescent="0.3">
      <c r="A15">
        <v>2033</v>
      </c>
      <c r="B15">
        <f t="shared" si="0"/>
        <v>0.95666666666666711</v>
      </c>
      <c r="C15">
        <f t="shared" si="0"/>
        <v>0.96966666666666712</v>
      </c>
      <c r="F15">
        <v>2020</v>
      </c>
      <c r="G15">
        <f>B2*I3+C2*J3</f>
        <v>1</v>
      </c>
      <c r="K15" t="s">
        <v>194</v>
      </c>
      <c r="M15">
        <v>2020</v>
      </c>
      <c r="N15">
        <v>0</v>
      </c>
      <c r="O15">
        <f>(N45-N15)/(M45-M15)</f>
        <v>159.04761904761907</v>
      </c>
      <c r="P15">
        <f>N15*'[1]Elec str'!$G$3</f>
        <v>0</v>
      </c>
      <c r="Q15">
        <f>N15*'Elec str'!I3</f>
        <v>0</v>
      </c>
    </row>
    <row r="16" spans="1:19" x14ac:dyDescent="0.3">
      <c r="A16">
        <v>2034</v>
      </c>
      <c r="B16">
        <f t="shared" si="0"/>
        <v>0.95333333333333381</v>
      </c>
      <c r="C16">
        <f t="shared" si="0"/>
        <v>0.96733333333333382</v>
      </c>
      <c r="F16">
        <v>2021</v>
      </c>
      <c r="G16">
        <f t="shared" ref="G16:G18" si="1">B3*I4+C3*J4</f>
        <v>0.9967166666666667</v>
      </c>
      <c r="K16" t="s">
        <v>195</v>
      </c>
      <c r="L16" t="s">
        <v>196</v>
      </c>
      <c r="M16">
        <v>2021</v>
      </c>
      <c r="N16">
        <f>N15+$O$15</f>
        <v>159.04761904761907</v>
      </c>
      <c r="P16">
        <f>N16*'[1]Elec str'!$G$3</f>
        <v>157.00117581925528</v>
      </c>
      <c r="Q16">
        <f>N16*'Elec str'!I4</f>
        <v>101.63008861969676</v>
      </c>
    </row>
    <row r="17" spans="1:17" ht="15.5" x14ac:dyDescent="0.35">
      <c r="A17">
        <v>2035</v>
      </c>
      <c r="B17">
        <f t="shared" si="0"/>
        <v>0.95000000000000051</v>
      </c>
      <c r="C17">
        <f t="shared" si="0"/>
        <v>0.96500000000000052</v>
      </c>
      <c r="F17">
        <v>2022</v>
      </c>
      <c r="G17">
        <f t="shared" si="1"/>
        <v>0.99348333333333338</v>
      </c>
      <c r="J17" s="42"/>
      <c r="K17">
        <v>100</v>
      </c>
      <c r="L17">
        <v>2400</v>
      </c>
      <c r="M17">
        <v>2022</v>
      </c>
      <c r="N17">
        <f t="shared" ref="N17:N44" si="2">N16+$O$15</f>
        <v>318.09523809523813</v>
      </c>
      <c r="P17">
        <f>N17*'[1]Elec str'!$G$3</f>
        <v>314.00235163851056</v>
      </c>
      <c r="Q17">
        <f>N17*'Elec str'!I5</f>
        <v>203.26017723939353</v>
      </c>
    </row>
    <row r="18" spans="1:17" x14ac:dyDescent="0.3">
      <c r="A18">
        <v>2036</v>
      </c>
      <c r="B18">
        <f t="shared" si="0"/>
        <v>0.94666666666666721</v>
      </c>
      <c r="C18">
        <f t="shared" si="0"/>
        <v>0.96266666666666723</v>
      </c>
      <c r="F18">
        <v>2023</v>
      </c>
      <c r="G18">
        <f t="shared" si="1"/>
        <v>0.99090000000000011</v>
      </c>
      <c r="M18">
        <v>2023</v>
      </c>
      <c r="N18">
        <f t="shared" si="2"/>
        <v>477.14285714285722</v>
      </c>
      <c r="P18">
        <f>N18*'[1]Elec str'!$G$3</f>
        <v>471.00352745776593</v>
      </c>
      <c r="Q18">
        <f>N18*'Elec str'!I6</f>
        <v>296.06714285714293</v>
      </c>
    </row>
    <row r="19" spans="1:17" x14ac:dyDescent="0.3">
      <c r="A19">
        <v>2037</v>
      </c>
      <c r="B19">
        <f t="shared" si="0"/>
        <v>0.94333333333333391</v>
      </c>
      <c r="C19">
        <f t="shared" si="0"/>
        <v>0.96033333333333393</v>
      </c>
      <c r="F19">
        <v>2024</v>
      </c>
      <c r="G19">
        <f>B6*I$7+C6*J$7</f>
        <v>0.98926666666666685</v>
      </c>
      <c r="J19" t="s">
        <v>197</v>
      </c>
      <c r="M19">
        <v>2024</v>
      </c>
      <c r="N19">
        <f t="shared" si="2"/>
        <v>636.19047619047626</v>
      </c>
      <c r="P19">
        <f>N19*'[1]Elec str'!$G$3</f>
        <v>628.00470327702112</v>
      </c>
      <c r="Q19">
        <f>N19*'Elec str'!I7</f>
        <v>376.85587555310934</v>
      </c>
    </row>
    <row r="20" spans="1:17" x14ac:dyDescent="0.3">
      <c r="A20">
        <v>2038</v>
      </c>
      <c r="B20">
        <f t="shared" si="0"/>
        <v>0.94000000000000061</v>
      </c>
      <c r="C20">
        <f t="shared" si="0"/>
        <v>0.95800000000000063</v>
      </c>
      <c r="F20">
        <v>2025</v>
      </c>
      <c r="G20">
        <f t="shared" ref="G20:G45" si="3">B7*I$7+C7*J$7</f>
        <v>0.98658333333333348</v>
      </c>
      <c r="J20" t="s">
        <v>209</v>
      </c>
      <c r="K20" t="s">
        <v>198</v>
      </c>
      <c r="L20" t="s">
        <v>199</v>
      </c>
      <c r="M20">
        <v>2025</v>
      </c>
      <c r="N20">
        <f t="shared" si="2"/>
        <v>795.2380952380953</v>
      </c>
      <c r="P20">
        <f>N20*'[1]Elec str'!$G$3</f>
        <v>785.00587909627643</v>
      </c>
      <c r="Q20">
        <f>N20*'Elec str'!I8</f>
        <v>449.25468741857918</v>
      </c>
    </row>
    <row r="21" spans="1:17" x14ac:dyDescent="0.3">
      <c r="A21">
        <v>2039</v>
      </c>
      <c r="B21">
        <f t="shared" si="0"/>
        <v>0.93666666666666731</v>
      </c>
      <c r="C21">
        <f t="shared" si="0"/>
        <v>0.95566666666666733</v>
      </c>
      <c r="F21">
        <v>2026</v>
      </c>
      <c r="G21">
        <f t="shared" si="3"/>
        <v>0.98390000000000022</v>
      </c>
      <c r="J21" t="s">
        <v>200</v>
      </c>
      <c r="K21">
        <v>2.25</v>
      </c>
      <c r="L21">
        <v>3.75</v>
      </c>
      <c r="M21">
        <v>2026</v>
      </c>
      <c r="N21">
        <f t="shared" si="2"/>
        <v>954.28571428571433</v>
      </c>
      <c r="P21">
        <f>N21*'[1]Elec str'!$G$3</f>
        <v>942.00705491553174</v>
      </c>
      <c r="Q21">
        <f>N21*'Elec str'!I9</f>
        <v>513.58559326974807</v>
      </c>
    </row>
    <row r="22" spans="1:17" x14ac:dyDescent="0.3">
      <c r="A22">
        <v>2040</v>
      </c>
      <c r="B22">
        <f t="shared" si="0"/>
        <v>0.93333333333333401</v>
      </c>
      <c r="C22">
        <f t="shared" si="0"/>
        <v>0.95333333333333403</v>
      </c>
      <c r="F22">
        <v>2027</v>
      </c>
      <c r="G22">
        <f t="shared" si="3"/>
        <v>0.98121666666666685</v>
      </c>
      <c r="J22" t="s">
        <v>201</v>
      </c>
      <c r="K22">
        <v>4.4999999999999998E-2</v>
      </c>
      <c r="L22">
        <v>0.7</v>
      </c>
      <c r="M22">
        <v>2027</v>
      </c>
      <c r="N22">
        <f t="shared" si="2"/>
        <v>1113.3333333333335</v>
      </c>
      <c r="P22">
        <f>N22*'[1]Elec str'!$G$3</f>
        <v>1099.008230734787</v>
      </c>
      <c r="Q22">
        <f>N22*'Elec str'!I10</f>
        <v>570.16150779067016</v>
      </c>
    </row>
    <row r="23" spans="1:17" x14ac:dyDescent="0.3">
      <c r="A23">
        <v>2041</v>
      </c>
      <c r="B23">
        <f t="shared" si="0"/>
        <v>0.93000000000000071</v>
      </c>
      <c r="C23">
        <f t="shared" si="0"/>
        <v>0.95100000000000073</v>
      </c>
      <c r="F23">
        <v>2028</v>
      </c>
      <c r="G23">
        <f t="shared" si="3"/>
        <v>0.9785333333333337</v>
      </c>
      <c r="J23" t="s">
        <v>252</v>
      </c>
      <c r="K23">
        <f>K22/K21</f>
        <v>0.02</v>
      </c>
      <c r="L23">
        <f>L22/L21</f>
        <v>0.18666666666666665</v>
      </c>
      <c r="M23">
        <v>2028</v>
      </c>
      <c r="N23">
        <f t="shared" si="2"/>
        <v>1272.3809523809525</v>
      </c>
      <c r="P23">
        <f>N23*'[1]Elec str'!$G$3</f>
        <v>1256.0094065540422</v>
      </c>
      <c r="Q23">
        <f>N23*'Elec str'!I11</f>
        <v>619.2864659951872</v>
      </c>
    </row>
    <row r="24" spans="1:17" x14ac:dyDescent="0.3">
      <c r="A24">
        <v>2042</v>
      </c>
      <c r="B24">
        <f t="shared" si="0"/>
        <v>0.92666666666666742</v>
      </c>
      <c r="C24">
        <f t="shared" si="0"/>
        <v>0.94866666666666744</v>
      </c>
      <c r="F24">
        <v>2029</v>
      </c>
      <c r="G24">
        <f t="shared" si="3"/>
        <v>0.97585000000000033</v>
      </c>
      <c r="J24" t="s">
        <v>202</v>
      </c>
      <c r="K24" t="s">
        <v>203</v>
      </c>
      <c r="L24">
        <v>3</v>
      </c>
      <c r="M24">
        <v>2029</v>
      </c>
      <c r="N24">
        <f t="shared" si="2"/>
        <v>1431.4285714285716</v>
      </c>
      <c r="P24">
        <f>N24*'[1]Elec str'!$G$3</f>
        <v>1413.0105823732977</v>
      </c>
      <c r="Q24">
        <f>N24*'Elec str'!I12</f>
        <v>661.25583882385831</v>
      </c>
    </row>
    <row r="25" spans="1:17" x14ac:dyDescent="0.3">
      <c r="A25">
        <v>2043</v>
      </c>
      <c r="B25">
        <f t="shared" si="0"/>
        <v>0.92333333333333412</v>
      </c>
      <c r="C25">
        <f t="shared" si="0"/>
        <v>0.94633333333333414</v>
      </c>
      <c r="F25">
        <v>2030</v>
      </c>
      <c r="G25">
        <f t="shared" si="3"/>
        <v>0.97316666666666696</v>
      </c>
      <c r="K25" t="s">
        <v>204</v>
      </c>
      <c r="L25">
        <v>1</v>
      </c>
      <c r="M25">
        <v>2030</v>
      </c>
      <c r="N25">
        <f t="shared" si="2"/>
        <v>1590.4761904761906</v>
      </c>
      <c r="P25">
        <f>N25*'[1]Elec str'!$G$3</f>
        <v>1570.0117581925529</v>
      </c>
      <c r="Q25">
        <f>N25*'Elec str'!I13</f>
        <v>696.35654397671965</v>
      </c>
    </row>
    <row r="26" spans="1:17" x14ac:dyDescent="0.3">
      <c r="A26">
        <v>2044</v>
      </c>
      <c r="B26">
        <f t="shared" si="0"/>
        <v>0.92000000000000082</v>
      </c>
      <c r="C26">
        <f t="shared" si="0"/>
        <v>0.94400000000000084</v>
      </c>
      <c r="F26">
        <v>2031</v>
      </c>
      <c r="G26">
        <f t="shared" si="3"/>
        <v>0.97048333333333381</v>
      </c>
      <c r="M26">
        <v>2031</v>
      </c>
      <c r="N26">
        <f t="shared" si="2"/>
        <v>1749.5238095238096</v>
      </c>
      <c r="P26">
        <f>N26*'[1]Elec str'!$G$3</f>
        <v>1727.0129340118081</v>
      </c>
      <c r="Q26">
        <f>N26*'Elec str'!I14</f>
        <v>724.86725208070095</v>
      </c>
    </row>
    <row r="27" spans="1:17" x14ac:dyDescent="0.3">
      <c r="A27">
        <v>2045</v>
      </c>
      <c r="B27">
        <f t="shared" si="0"/>
        <v>0.91666666666666752</v>
      </c>
      <c r="C27">
        <f t="shared" si="0"/>
        <v>0.94166666666666754</v>
      </c>
      <c r="F27">
        <v>2032</v>
      </c>
      <c r="G27">
        <f t="shared" si="3"/>
        <v>0.96780000000000044</v>
      </c>
      <c r="J27" t="s">
        <v>205</v>
      </c>
      <c r="K27">
        <f>3*K22+L25*L22</f>
        <v>0.83499999999999996</v>
      </c>
      <c r="M27">
        <v>2032</v>
      </c>
      <c r="N27">
        <f t="shared" si="2"/>
        <v>1908.5714285714287</v>
      </c>
      <c r="P27">
        <f>N27*'[1]Elec str'!$G$3</f>
        <v>1884.0141098310635</v>
      </c>
      <c r="Q27">
        <f>N27*'Elec str'!I15</f>
        <v>747.05858828856731</v>
      </c>
    </row>
    <row r="28" spans="1:17" x14ac:dyDescent="0.3">
      <c r="A28">
        <v>2046</v>
      </c>
      <c r="B28">
        <f t="shared" si="0"/>
        <v>0.91333333333333422</v>
      </c>
      <c r="C28">
        <f t="shared" si="0"/>
        <v>0.93933333333333424</v>
      </c>
      <c r="F28">
        <v>2033</v>
      </c>
      <c r="G28">
        <f t="shared" si="3"/>
        <v>0.96511666666666707</v>
      </c>
      <c r="M28">
        <v>2033</v>
      </c>
      <c r="N28">
        <f t="shared" si="2"/>
        <v>2067.6190476190477</v>
      </c>
      <c r="P28">
        <f>N28*'[1]Elec str'!$G$3</f>
        <v>2041.0152856503187</v>
      </c>
      <c r="Q28">
        <f>N28*'Elec str'!I16</f>
        <v>763.19332940433776</v>
      </c>
    </row>
    <row r="29" spans="1:17" x14ac:dyDescent="0.3">
      <c r="A29">
        <v>2047</v>
      </c>
      <c r="B29">
        <f t="shared" si="0"/>
        <v>0.91000000000000092</v>
      </c>
      <c r="C29">
        <f t="shared" si="0"/>
        <v>0.93700000000000094</v>
      </c>
      <c r="F29">
        <v>2034</v>
      </c>
      <c r="G29">
        <f t="shared" si="3"/>
        <v>0.96243333333333392</v>
      </c>
      <c r="M29">
        <v>2034</v>
      </c>
      <c r="N29">
        <f t="shared" si="2"/>
        <v>2226.666666666667</v>
      </c>
      <c r="P29">
        <f>N29*'[1]Elec str'!$G$3</f>
        <v>2198.0164614695741</v>
      </c>
      <c r="Q29">
        <f>N29*'Elec str'!I17</f>
        <v>773.52659662824078</v>
      </c>
    </row>
    <row r="30" spans="1:17" x14ac:dyDescent="0.3">
      <c r="A30">
        <v>2048</v>
      </c>
      <c r="B30">
        <f t="shared" si="0"/>
        <v>0.90666666666666762</v>
      </c>
      <c r="C30">
        <f t="shared" si="0"/>
        <v>0.93466666666666764</v>
      </c>
      <c r="F30">
        <v>2035</v>
      </c>
      <c r="G30">
        <f t="shared" si="3"/>
        <v>0.95975000000000055</v>
      </c>
      <c r="J30" t="s">
        <v>206</v>
      </c>
      <c r="K30">
        <f>K27*L17</f>
        <v>2004</v>
      </c>
      <c r="M30">
        <v>2035</v>
      </c>
      <c r="N30">
        <f t="shared" si="2"/>
        <v>2385.7142857142862</v>
      </c>
      <c r="P30">
        <f>N30*'[1]Elec str'!$G$3</f>
        <v>2355.0176372888295</v>
      </c>
      <c r="Q30">
        <f>N30*'Elec str'!I18</f>
        <v>778.30604401242169</v>
      </c>
    </row>
    <row r="31" spans="1:17" x14ac:dyDescent="0.3">
      <c r="A31">
        <v>2049</v>
      </c>
      <c r="B31">
        <f t="shared" si="0"/>
        <v>0.90333333333333432</v>
      </c>
      <c r="C31">
        <f t="shared" si="0"/>
        <v>0.93233333333333435</v>
      </c>
      <c r="F31">
        <v>2036</v>
      </c>
      <c r="G31">
        <f t="shared" si="3"/>
        <v>0.95706666666666718</v>
      </c>
      <c r="J31" t="s">
        <v>207</v>
      </c>
      <c r="K31">
        <v>0.42</v>
      </c>
      <c r="M31">
        <v>2036</v>
      </c>
      <c r="N31">
        <f t="shared" si="2"/>
        <v>2544.7619047619055</v>
      </c>
      <c r="P31">
        <f>N31*'[1]Elec str'!$G$3</f>
        <v>2512.0188131080849</v>
      </c>
      <c r="Q31">
        <f>N31*'Elec str'!I19</f>
        <v>777.77204271680489</v>
      </c>
    </row>
    <row r="32" spans="1:17" x14ac:dyDescent="0.3">
      <c r="A32">
        <v>2050</v>
      </c>
      <c r="B32">
        <v>0.9</v>
      </c>
      <c r="C32">
        <v>0.93</v>
      </c>
      <c r="F32">
        <v>2037</v>
      </c>
      <c r="G32">
        <f t="shared" si="3"/>
        <v>0.95438333333333392</v>
      </c>
      <c r="J32" t="s">
        <v>208</v>
      </c>
      <c r="K32" s="4">
        <f>K30/K31</f>
        <v>4771.4285714285716</v>
      </c>
      <c r="M32">
        <v>2037</v>
      </c>
      <c r="N32">
        <f t="shared" si="2"/>
        <v>2703.8095238095248</v>
      </c>
      <c r="P32">
        <f>N32*'[1]Elec str'!$G$3</f>
        <v>2669.0199889273408</v>
      </c>
      <c r="Q32">
        <f>N32*'Elec str'!I20</f>
        <v>772.15786115273352</v>
      </c>
    </row>
    <row r="33" spans="6:17" x14ac:dyDescent="0.3">
      <c r="F33">
        <v>2038</v>
      </c>
      <c r="G33">
        <f t="shared" si="3"/>
        <v>0.95170000000000066</v>
      </c>
      <c r="M33">
        <v>2038</v>
      </c>
      <c r="N33">
        <f t="shared" si="2"/>
        <v>2862.857142857144</v>
      </c>
      <c r="P33">
        <f>N33*'[1]Elec str'!$G$3</f>
        <v>2826.0211647465962</v>
      </c>
      <c r="Q33">
        <f>N33*'Elec str'!I21</f>
        <v>761.68984110026395</v>
      </c>
    </row>
    <row r="34" spans="6:17" x14ac:dyDescent="0.3">
      <c r="F34">
        <v>2039</v>
      </c>
      <c r="G34">
        <f t="shared" si="3"/>
        <v>0.94901666666666729</v>
      </c>
      <c r="M34">
        <v>2039</v>
      </c>
      <c r="N34">
        <f t="shared" si="2"/>
        <v>3021.9047619047633</v>
      </c>
      <c r="P34">
        <f>N34*'[1]Elec str'!$G$3</f>
        <v>2983.0223405658517</v>
      </c>
      <c r="Q34">
        <f>N34*'Elec str'!I22</f>
        <v>746.58756988328594</v>
      </c>
    </row>
    <row r="35" spans="6:17" x14ac:dyDescent="0.3">
      <c r="F35">
        <v>2040</v>
      </c>
      <c r="G35">
        <f t="shared" si="3"/>
        <v>0.94633333333333403</v>
      </c>
      <c r="M35">
        <v>2040</v>
      </c>
      <c r="N35">
        <f t="shared" si="2"/>
        <v>3180.9523809523826</v>
      </c>
      <c r="P35">
        <f>N35*'[1]Elec str'!$G$3</f>
        <v>3140.0235163851071</v>
      </c>
      <c r="Q35">
        <f>N35*'Elec str'!I23</f>
        <v>727.06404868495611</v>
      </c>
    </row>
    <row r="36" spans="6:17" x14ac:dyDescent="0.3">
      <c r="F36">
        <v>2041</v>
      </c>
      <c r="G36">
        <f t="shared" si="3"/>
        <v>0.94365000000000077</v>
      </c>
      <c r="M36">
        <v>2041</v>
      </c>
      <c r="N36">
        <f t="shared" si="2"/>
        <v>3340.0000000000018</v>
      </c>
      <c r="P36">
        <f>N36*'[1]Elec str'!$G$3</f>
        <v>3297.0246922043625</v>
      </c>
      <c r="Q36">
        <f>N36*'Elec str'!I24</f>
        <v>703.32585708429315</v>
      </c>
    </row>
    <row r="37" spans="6:17" x14ac:dyDescent="0.3">
      <c r="F37">
        <v>2042</v>
      </c>
      <c r="G37">
        <f t="shared" si="3"/>
        <v>0.9409666666666674</v>
      </c>
      <c r="M37">
        <v>2042</v>
      </c>
      <c r="N37">
        <f t="shared" si="2"/>
        <v>3499.0476190476211</v>
      </c>
      <c r="P37">
        <f>N37*'[1]Elec str'!$G$3</f>
        <v>3454.0258680236179</v>
      </c>
      <c r="Q37">
        <f>N37*'Elec str'!I25</f>
        <v>675.57331389316232</v>
      </c>
    </row>
    <row r="38" spans="6:17" x14ac:dyDescent="0.3">
      <c r="F38">
        <v>2043</v>
      </c>
      <c r="G38">
        <f t="shared" si="3"/>
        <v>0.93828333333333414</v>
      </c>
      <c r="M38">
        <v>2043</v>
      </c>
      <c r="N38">
        <f t="shared" si="2"/>
        <v>3658.0952380952403</v>
      </c>
      <c r="P38">
        <f>N38*'[1]Elec str'!$G$3</f>
        <v>3611.0270438428734</v>
      </c>
      <c r="Q38">
        <f>N38*'Elec str'!I26</f>
        <v>644.0006343713012</v>
      </c>
    </row>
    <row r="39" spans="6:17" x14ac:dyDescent="0.3">
      <c r="F39">
        <v>2044</v>
      </c>
      <c r="G39">
        <f t="shared" si="3"/>
        <v>0.93560000000000088</v>
      </c>
      <c r="M39">
        <v>2044</v>
      </c>
      <c r="N39">
        <f t="shared" si="2"/>
        <v>3817.1428571428596</v>
      </c>
      <c r="P39">
        <f>N39*'[1]Elec str'!$G$3</f>
        <v>3768.0282196621292</v>
      </c>
      <c r="Q39">
        <f>N39*'Elec str'!I27</f>
        <v>608.796083895479</v>
      </c>
    </row>
    <row r="40" spans="6:17" x14ac:dyDescent="0.3">
      <c r="F40">
        <v>2045</v>
      </c>
      <c r="G40">
        <f t="shared" si="3"/>
        <v>0.9329166666666675</v>
      </c>
      <c r="M40">
        <v>2045</v>
      </c>
      <c r="N40">
        <f t="shared" si="2"/>
        <v>3976.1904761904789</v>
      </c>
      <c r="P40">
        <f>N40*'[1]Elec str'!$G$3</f>
        <v>3925.0293954813847</v>
      </c>
      <c r="Q40">
        <f>N40*'Elec str'!I28</f>
        <v>570.14212815736641</v>
      </c>
    </row>
    <row r="41" spans="6:17" x14ac:dyDescent="0.3">
      <c r="F41">
        <v>2046</v>
      </c>
      <c r="G41">
        <f t="shared" si="3"/>
        <v>0.93023333333333413</v>
      </c>
      <c r="M41">
        <v>2046</v>
      </c>
      <c r="N41">
        <f t="shared" si="2"/>
        <v>4135.2380952380981</v>
      </c>
      <c r="P41">
        <f>N41*'[1]Elec str'!$G$3</f>
        <v>4082.0305713006401</v>
      </c>
      <c r="Q41">
        <f>N41*'Elec str'!I29</f>
        <v>528.21557996319711</v>
      </c>
    </row>
    <row r="42" spans="6:17" x14ac:dyDescent="0.3">
      <c r="F42">
        <v>2047</v>
      </c>
      <c r="G42">
        <f t="shared" si="3"/>
        <v>0.92755000000000098</v>
      </c>
      <c r="M42">
        <v>2047</v>
      </c>
      <c r="N42">
        <f t="shared" si="2"/>
        <v>4294.2857142857174</v>
      </c>
      <c r="P42">
        <f>N42*'[1]Elec str'!$G$3</f>
        <v>4239.031747119895</v>
      </c>
      <c r="Q42">
        <f>N42*'Elec str'!I30</f>
        <v>483.18774270683355</v>
      </c>
    </row>
    <row r="43" spans="6:17" x14ac:dyDescent="0.3">
      <c r="F43">
        <v>2048</v>
      </c>
      <c r="G43">
        <f t="shared" si="3"/>
        <v>0.92486666666666761</v>
      </c>
      <c r="M43">
        <v>2048</v>
      </c>
      <c r="N43">
        <f t="shared" si="2"/>
        <v>4453.3333333333367</v>
      </c>
      <c r="P43">
        <f>N43*'[1]Elec str'!$G$3</f>
        <v>4396.0329229391509</v>
      </c>
      <c r="Q43">
        <f>N43*'Elec str'!I31</f>
        <v>435.22455058642282</v>
      </c>
    </row>
    <row r="44" spans="6:17" x14ac:dyDescent="0.3">
      <c r="F44">
        <v>2049</v>
      </c>
      <c r="G44">
        <f t="shared" si="3"/>
        <v>0.92218333333333424</v>
      </c>
      <c r="M44">
        <v>2049</v>
      </c>
      <c r="N44">
        <f t="shared" si="2"/>
        <v>4612.3809523809559</v>
      </c>
      <c r="P44">
        <f>N44*'[1]Elec str'!$G$3</f>
        <v>4553.0340987584068</v>
      </c>
      <c r="Q44">
        <f>N44*'Elec str'!I32</f>
        <v>384.48670563341307</v>
      </c>
    </row>
    <row r="45" spans="6:17" x14ac:dyDescent="0.3">
      <c r="F45">
        <v>2050</v>
      </c>
      <c r="G45">
        <f t="shared" si="3"/>
        <v>0.91949999999999998</v>
      </c>
      <c r="M45">
        <v>2050</v>
      </c>
      <c r="N45">
        <f>K32</f>
        <v>4771.4285714285716</v>
      </c>
      <c r="P45">
        <f>N45*'[1]Elec str'!$G$3</f>
        <v>4710.0352745776581</v>
      </c>
      <c r="Q45">
        <f>N45*'Elec str'!I33</f>
        <v>331.12981162132098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1953-53F8-41A6-A4E7-4F0587F8FDFD}">
  <dimension ref="A1:XET63"/>
  <sheetViews>
    <sheetView zoomScale="85" zoomScaleNormal="85" workbookViewId="0">
      <selection activeCell="P4" sqref="P4"/>
    </sheetView>
  </sheetViews>
  <sheetFormatPr defaultColWidth="10" defaultRowHeight="15.5" x14ac:dyDescent="0.35"/>
  <cols>
    <col min="1" max="1" width="10" style="9"/>
    <col min="2" max="2" width="10" style="10"/>
    <col min="3" max="3" width="10" style="9"/>
    <col min="4" max="4" width="10" style="10"/>
    <col min="5" max="6" width="10" style="12"/>
    <col min="7" max="7" width="10" style="9"/>
    <col min="8" max="9" width="10" style="12"/>
    <col min="10" max="16374" width="10" style="9"/>
    <col min="16375" max="16384" width="10" style="19"/>
  </cols>
  <sheetData>
    <row r="1" spans="1:22 16368:16374" ht="17.5" x14ac:dyDescent="0.45">
      <c r="D1" s="54" t="s">
        <v>104</v>
      </c>
      <c r="E1" s="54"/>
      <c r="F1" s="54"/>
      <c r="G1" s="55" t="s">
        <v>105</v>
      </c>
      <c r="H1" s="55"/>
      <c r="I1" s="55"/>
      <c r="J1" s="11"/>
      <c r="N1" s="56" t="s">
        <v>95</v>
      </c>
      <c r="O1" s="56"/>
      <c r="P1" s="56"/>
      <c r="Q1" s="56" t="s">
        <v>96</v>
      </c>
      <c r="R1" s="56"/>
      <c r="S1" s="56"/>
      <c r="T1" s="56" t="s">
        <v>97</v>
      </c>
      <c r="U1" s="56"/>
      <c r="V1" s="56"/>
    </row>
    <row r="2" spans="1:22 16368:16374" x14ac:dyDescent="0.35">
      <c r="B2" s="10" t="s">
        <v>106</v>
      </c>
      <c r="C2" s="9" t="s">
        <v>107</v>
      </c>
      <c r="D2" s="10" t="s">
        <v>95</v>
      </c>
      <c r="E2" s="12" t="s">
        <v>96</v>
      </c>
      <c r="F2" s="12" t="s">
        <v>97</v>
      </c>
      <c r="G2" s="13" t="s">
        <v>95</v>
      </c>
      <c r="H2" s="14" t="s">
        <v>96</v>
      </c>
      <c r="I2" s="14" t="s">
        <v>97</v>
      </c>
      <c r="K2" s="53" t="s">
        <v>101</v>
      </c>
      <c r="L2" s="53"/>
      <c r="M2" s="53"/>
      <c r="N2" s="53" t="s">
        <v>108</v>
      </c>
      <c r="O2" s="53"/>
      <c r="P2" s="15" t="s">
        <v>109</v>
      </c>
      <c r="Q2" s="53" t="s">
        <v>108</v>
      </c>
      <c r="R2" s="53"/>
      <c r="S2" s="15" t="s">
        <v>109</v>
      </c>
      <c r="T2" s="53" t="s">
        <v>108</v>
      </c>
      <c r="U2" s="53"/>
      <c r="V2" s="15" t="s">
        <v>109</v>
      </c>
    </row>
    <row r="3" spans="1:22 16368:16374" x14ac:dyDescent="0.35">
      <c r="A3" s="9">
        <v>2020</v>
      </c>
      <c r="B3" s="10">
        <v>203485</v>
      </c>
      <c r="C3" s="16">
        <v>0.128797838761393</v>
      </c>
      <c r="D3" s="22">
        <f>P4</f>
        <v>1500.6999300392813</v>
      </c>
      <c r="E3" s="23">
        <f>S4</f>
        <v>2137.030375862797</v>
      </c>
      <c r="F3" s="23">
        <f>V4</f>
        <v>1182.9524901716807</v>
      </c>
      <c r="G3" s="14">
        <f t="shared" ref="G3:G33" si="0">D3*B3</f>
        <v>305369925.26404315</v>
      </c>
      <c r="H3" s="14">
        <f t="shared" ref="H3:H33" si="1">E3*B3</f>
        <v>434853626.03244126</v>
      </c>
      <c r="I3" s="14">
        <f t="shared" ref="I3:I33" si="2">B3*F3</f>
        <v>240713087.46258444</v>
      </c>
      <c r="K3" s="15" t="s">
        <v>102</v>
      </c>
      <c r="L3" s="15" t="s">
        <v>17</v>
      </c>
      <c r="M3" s="15" t="s">
        <v>18</v>
      </c>
      <c r="N3" s="15" t="s">
        <v>17</v>
      </c>
      <c r="O3" s="15" t="s">
        <v>18</v>
      </c>
      <c r="P3" s="15"/>
      <c r="Q3" s="15" t="s">
        <v>17</v>
      </c>
      <c r="R3" s="15" t="s">
        <v>18</v>
      </c>
      <c r="S3" s="15"/>
      <c r="T3" s="15" t="s">
        <v>17</v>
      </c>
      <c r="U3" s="15" t="s">
        <v>18</v>
      </c>
      <c r="V3" s="15"/>
    </row>
    <row r="4" spans="1:22 16368:16374" x14ac:dyDescent="0.35">
      <c r="A4" s="9">
        <v>2021</v>
      </c>
      <c r="B4" s="10">
        <v>217831</v>
      </c>
      <c r="C4" s="16">
        <f>(B4-B3)/B3</f>
        <v>7.050151116789935E-2</v>
      </c>
      <c r="D4" s="22">
        <f t="shared" ref="D4:D7" si="3">P5</f>
        <v>1500.6999300392813</v>
      </c>
      <c r="E4" s="23">
        <f t="shared" ref="E4:E7" si="4">S5</f>
        <v>2137.030375862797</v>
      </c>
      <c r="F4" s="23">
        <f t="shared" ref="F4:F7" si="5">V5</f>
        <v>1182.9524901716807</v>
      </c>
      <c r="G4" s="14">
        <f t="shared" si="0"/>
        <v>326898966.46038669</v>
      </c>
      <c r="H4" s="14">
        <f t="shared" si="1"/>
        <v>465511463.80456895</v>
      </c>
      <c r="I4" s="14">
        <f t="shared" si="2"/>
        <v>257683723.88658738</v>
      </c>
      <c r="K4" s="15">
        <v>2020</v>
      </c>
      <c r="L4" s="17">
        <v>0.95</v>
      </c>
      <c r="M4" s="17">
        <v>0.05</v>
      </c>
      <c r="N4">
        <v>1537.3871222077232</v>
      </c>
      <c r="O4">
        <v>803.64327883888643</v>
      </c>
      <c r="P4" s="18">
        <f t="shared" ref="P4:P8" si="6">N4*L4+O4*M4</f>
        <v>1500.6999300392813</v>
      </c>
      <c r="Q4">
        <v>2200.2348144580769</v>
      </c>
      <c r="R4">
        <v>936.14604255248628</v>
      </c>
      <c r="S4" s="18">
        <f>Q4*L4+R4*M4</f>
        <v>2137.030375862797</v>
      </c>
      <c r="T4">
        <v>1207.7809756650518</v>
      </c>
      <c r="U4">
        <v>711.21126579763336</v>
      </c>
      <c r="V4" s="18">
        <f>T4*L4+M4*U4</f>
        <v>1182.9524901716807</v>
      </c>
    </row>
    <row r="5" spans="1:22 16368:16374" x14ac:dyDescent="0.35">
      <c r="A5" s="9">
        <v>2022</v>
      </c>
      <c r="B5" s="10">
        <v>228190</v>
      </c>
      <c r="C5" s="16">
        <f>(B5-B4)/B4</f>
        <v>4.7555214822500011E-2</v>
      </c>
      <c r="D5" s="22">
        <f t="shared" si="3"/>
        <v>1482.3563339550606</v>
      </c>
      <c r="E5" s="23">
        <f t="shared" si="4"/>
        <v>2105.4281565651577</v>
      </c>
      <c r="F5" s="23">
        <f t="shared" si="5"/>
        <v>1170.5382474249955</v>
      </c>
      <c r="G5" s="14">
        <f t="shared" si="0"/>
        <v>338258891.84520525</v>
      </c>
      <c r="H5" s="14">
        <f t="shared" si="1"/>
        <v>480437651.04660332</v>
      </c>
      <c r="I5" s="14">
        <f t="shared" si="2"/>
        <v>267105122.67990971</v>
      </c>
      <c r="K5" s="15">
        <v>2021</v>
      </c>
      <c r="L5" s="17">
        <v>0.95</v>
      </c>
      <c r="M5" s="17">
        <v>0.05</v>
      </c>
      <c r="N5">
        <v>1537.3871222077232</v>
      </c>
      <c r="O5">
        <v>803.64327883888643</v>
      </c>
      <c r="P5" s="18">
        <f t="shared" si="6"/>
        <v>1500.6999300392813</v>
      </c>
      <c r="Q5">
        <v>2200.2348144580769</v>
      </c>
      <c r="R5">
        <v>936.14604255248628</v>
      </c>
      <c r="S5" s="18">
        <f>Q5*L5+R5*M5</f>
        <v>2137.030375862797</v>
      </c>
      <c r="T5">
        <v>1207.7809756650518</v>
      </c>
      <c r="U5">
        <v>711.21126579763336</v>
      </c>
      <c r="V5" s="18">
        <f>T5*L5+M5*U5</f>
        <v>1182.9524901716807</v>
      </c>
    </row>
    <row r="6" spans="1:22 16368:16374" x14ac:dyDescent="0.35">
      <c r="A6" s="9">
        <v>2023</v>
      </c>
      <c r="B6" s="10">
        <v>244991</v>
      </c>
      <c r="C6" s="16">
        <f>(B6-B5)/B5</f>
        <v>7.3627240457513482E-2</v>
      </c>
      <c r="D6" s="22">
        <f t="shared" si="3"/>
        <v>1317.2639691970721</v>
      </c>
      <c r="E6" s="23">
        <f t="shared" si="4"/>
        <v>1821.0081828863997</v>
      </c>
      <c r="F6" s="23">
        <f t="shared" si="5"/>
        <v>1058.8100627048261</v>
      </c>
      <c r="G6" s="14">
        <f t="shared" si="0"/>
        <v>322717817.07755989</v>
      </c>
      <c r="H6" s="14">
        <f t="shared" si="1"/>
        <v>446130615.73352194</v>
      </c>
      <c r="I6" s="14">
        <f t="shared" si="2"/>
        <v>259398936.07211804</v>
      </c>
      <c r="K6" s="15">
        <v>2022</v>
      </c>
      <c r="L6" s="17">
        <v>0.92500000000000004</v>
      </c>
      <c r="M6" s="17">
        <v>7.4999999999999997E-2</v>
      </c>
      <c r="N6">
        <v>1537.3871222077232</v>
      </c>
      <c r="O6">
        <v>803.64327883888643</v>
      </c>
      <c r="P6" s="18">
        <f t="shared" si="6"/>
        <v>1482.3563339550606</v>
      </c>
      <c r="Q6">
        <v>2200.2348144580769</v>
      </c>
      <c r="R6">
        <v>936.14604255248628</v>
      </c>
      <c r="S6" s="18">
        <f>Q6*L6+R6*M6</f>
        <v>2105.4281565651577</v>
      </c>
      <c r="T6">
        <v>1207.7809756650518</v>
      </c>
      <c r="U6">
        <v>711.21126579763336</v>
      </c>
      <c r="V6" s="18">
        <f>T6*L6+M6*U6</f>
        <v>1170.5382474249955</v>
      </c>
    </row>
    <row r="7" spans="1:22 16368:16374" x14ac:dyDescent="0.35">
      <c r="A7" s="9">
        <v>2024</v>
      </c>
      <c r="B7" s="10">
        <v>255239.19</v>
      </c>
      <c r="C7" s="16">
        <v>5.21E-2</v>
      </c>
      <c r="D7" s="22">
        <f t="shared" si="3"/>
        <v>1060.4536240179793</v>
      </c>
      <c r="E7" s="23">
        <f t="shared" si="4"/>
        <v>1378.577112719443</v>
      </c>
      <c r="F7" s="23">
        <f t="shared" si="5"/>
        <v>885.01066425122985</v>
      </c>
      <c r="G7" s="14">
        <f t="shared" si="0"/>
        <v>270669324.02691358</v>
      </c>
      <c r="H7" s="14">
        <f t="shared" si="1"/>
        <v>351866905.60304934</v>
      </c>
      <c r="I7" s="14">
        <f t="shared" si="2"/>
        <v>225889405.08484587</v>
      </c>
      <c r="K7" s="15">
        <v>2023</v>
      </c>
      <c r="L7" s="17">
        <v>0.7</v>
      </c>
      <c r="M7" s="17">
        <v>0.3</v>
      </c>
      <c r="N7">
        <v>1537.3871222077232</v>
      </c>
      <c r="O7">
        <v>803.64327883888643</v>
      </c>
      <c r="P7" s="18">
        <f t="shared" si="6"/>
        <v>1317.2639691970721</v>
      </c>
      <c r="Q7">
        <v>2200.2348144580769</v>
      </c>
      <c r="R7">
        <v>936.14604255248628</v>
      </c>
      <c r="S7" s="18">
        <f>Q7*L7+R7*M7</f>
        <v>1821.0081828863997</v>
      </c>
      <c r="T7">
        <v>1207.7809756650518</v>
      </c>
      <c r="U7">
        <v>711.21126579763336</v>
      </c>
      <c r="V7" s="18">
        <f>T7*L7+M7*U7</f>
        <v>1058.8100627048261</v>
      </c>
    </row>
    <row r="8" spans="1:22 16368:16374" x14ac:dyDescent="0.35">
      <c r="A8" s="9">
        <v>2025</v>
      </c>
      <c r="B8" s="10">
        <v>267061.53000000003</v>
      </c>
      <c r="C8" s="16">
        <v>4.6300000000000001E-2</v>
      </c>
      <c r="D8" s="22">
        <f>$D$7</f>
        <v>1060.4536240179793</v>
      </c>
      <c r="E8" s="23">
        <f>$E$7</f>
        <v>1378.577112719443</v>
      </c>
      <c r="F8" s="23">
        <f>$F$7</f>
        <v>885.01066425122985</v>
      </c>
      <c r="G8" s="14">
        <f t="shared" si="0"/>
        <v>283206367.32428634</v>
      </c>
      <c r="H8" s="14">
        <f t="shared" si="1"/>
        <v>368164912.94583696</v>
      </c>
      <c r="I8" s="14">
        <f t="shared" si="2"/>
        <v>236352302.06124976</v>
      </c>
      <c r="K8" s="15">
        <v>2024</v>
      </c>
      <c r="L8" s="17">
        <v>0.35</v>
      </c>
      <c r="M8" s="17">
        <v>0.65</v>
      </c>
      <c r="N8">
        <v>1537.3871222077232</v>
      </c>
      <c r="O8">
        <v>803.64327883888643</v>
      </c>
      <c r="P8" s="18">
        <f t="shared" si="6"/>
        <v>1060.4536240179793</v>
      </c>
      <c r="Q8">
        <v>2200.2348144580769</v>
      </c>
      <c r="R8">
        <v>936.14604255248628</v>
      </c>
      <c r="S8" s="18">
        <f>Q8*L8+R8*M8</f>
        <v>1378.577112719443</v>
      </c>
      <c r="T8">
        <v>1207.7809756650518</v>
      </c>
      <c r="U8">
        <v>711.21126579763336</v>
      </c>
      <c r="V8" s="18">
        <f>T8*L8+M8*U8</f>
        <v>885.01066425122985</v>
      </c>
    </row>
    <row r="9" spans="1:22 16368:16374" x14ac:dyDescent="0.35">
      <c r="A9" s="9">
        <v>2026</v>
      </c>
      <c r="B9" s="10">
        <v>278014.11</v>
      </c>
      <c r="C9" s="16">
        <v>4.1000000000000002E-2</v>
      </c>
      <c r="D9" s="22">
        <f t="shared" ref="D9:D33" si="7">$D$7</f>
        <v>1060.4536240179793</v>
      </c>
      <c r="E9" s="23">
        <f t="shared" ref="E9:E33" si="8">$E$7</f>
        <v>1378.577112719443</v>
      </c>
      <c r="F9" s="23">
        <f t="shared" ref="F9:F33" si="9">$F$7</f>
        <v>885.01066425122985</v>
      </c>
      <c r="G9" s="14">
        <f t="shared" si="0"/>
        <v>294821070.47763312</v>
      </c>
      <c r="H9" s="14">
        <f t="shared" si="1"/>
        <v>383263889.05906558</v>
      </c>
      <c r="I9" s="14">
        <f t="shared" si="2"/>
        <v>246045452.16231447</v>
      </c>
    </row>
    <row r="10" spans="1:22 16368:16374" x14ac:dyDescent="0.35">
      <c r="A10" s="9">
        <v>2027</v>
      </c>
      <c r="B10" s="10">
        <v>288076.87</v>
      </c>
      <c r="C10" s="16">
        <v>3.6200000000000003E-2</v>
      </c>
      <c r="D10" s="22">
        <f t="shared" si="7"/>
        <v>1060.4536240179793</v>
      </c>
      <c r="E10" s="23">
        <f t="shared" si="8"/>
        <v>1378.577112719443</v>
      </c>
      <c r="F10" s="23">
        <f t="shared" si="9"/>
        <v>885.01066425122985</v>
      </c>
      <c r="G10" s="14">
        <f t="shared" si="0"/>
        <v>305492160.7872563</v>
      </c>
      <c r="H10" s="14">
        <f t="shared" si="1"/>
        <v>397136179.68585432</v>
      </c>
      <c r="I10" s="14">
        <f t="shared" si="2"/>
        <v>254951102.07411519</v>
      </c>
    </row>
    <row r="11" spans="1:22 16368:16374" x14ac:dyDescent="0.35">
      <c r="A11" s="9">
        <v>2028</v>
      </c>
      <c r="B11" s="10">
        <v>297251.76</v>
      </c>
      <c r="C11" s="16">
        <v>3.1800000000000002E-2</v>
      </c>
      <c r="D11" s="22">
        <f t="shared" si="7"/>
        <v>1060.4536240179793</v>
      </c>
      <c r="E11" s="23">
        <f t="shared" si="8"/>
        <v>1378.577112719443</v>
      </c>
      <c r="F11" s="23">
        <f t="shared" si="9"/>
        <v>885.01066425122985</v>
      </c>
      <c r="G11" s="14">
        <f t="shared" si="0"/>
        <v>315221706.13772261</v>
      </c>
      <c r="H11" s="14">
        <f t="shared" si="1"/>
        <v>409784473.0515728</v>
      </c>
      <c r="I11" s="14">
        <f t="shared" si="2"/>
        <v>263070977.56744716</v>
      </c>
      <c r="J11" s="19"/>
      <c r="K11" s="19"/>
      <c r="M11" s="9" t="s">
        <v>145</v>
      </c>
      <c r="N11" s="9" t="s">
        <v>146</v>
      </c>
      <c r="O11" s="9" t="s">
        <v>147</v>
      </c>
      <c r="XEN11" s="19"/>
      <c r="XEO11" s="19"/>
      <c r="XEP11" s="19"/>
      <c r="XEQ11" s="19"/>
      <c r="XER11" s="19"/>
      <c r="XES11" s="19"/>
      <c r="XET11" s="19"/>
    </row>
    <row r="12" spans="1:22 16368:16374" x14ac:dyDescent="0.35">
      <c r="A12" s="9">
        <v>2029</v>
      </c>
      <c r="B12" s="10">
        <v>305559.15000000002</v>
      </c>
      <c r="C12" s="16">
        <v>2.7900000000000001E-2</v>
      </c>
      <c r="D12" s="22">
        <f t="shared" si="7"/>
        <v>1060.4536240179793</v>
      </c>
      <c r="E12" s="23">
        <f t="shared" si="8"/>
        <v>1378.577112719443</v>
      </c>
      <c r="F12" s="23">
        <f t="shared" si="9"/>
        <v>885.01066425122985</v>
      </c>
      <c r="G12" s="14">
        <f t="shared" si="0"/>
        <v>324031307.96935338</v>
      </c>
      <c r="H12" s="14">
        <f t="shared" si="1"/>
        <v>421236850.77200723</v>
      </c>
      <c r="I12" s="14">
        <f t="shared" si="2"/>
        <v>270423106.30954123</v>
      </c>
      <c r="J12" s="19"/>
      <c r="K12" s="19"/>
      <c r="L12" t="s">
        <v>143</v>
      </c>
      <c r="M12">
        <v>1537.3871222077232</v>
      </c>
      <c r="N12">
        <v>2200.2348144580769</v>
      </c>
      <c r="O12">
        <v>1207.7809756650518</v>
      </c>
      <c r="XEN12" s="19"/>
      <c r="XEO12" s="19"/>
      <c r="XEP12" s="19"/>
      <c r="XEQ12" s="19"/>
      <c r="XER12" s="19"/>
      <c r="XES12" s="19"/>
      <c r="XET12" s="19"/>
    </row>
    <row r="13" spans="1:22 16368:16374" x14ac:dyDescent="0.35">
      <c r="A13" s="9">
        <v>2030</v>
      </c>
      <c r="B13" s="10">
        <v>313033.93</v>
      </c>
      <c r="C13" s="16">
        <v>2.4500000000000001E-2</v>
      </c>
      <c r="D13" s="22">
        <f t="shared" si="7"/>
        <v>1060.4536240179793</v>
      </c>
      <c r="E13" s="23">
        <f t="shared" si="8"/>
        <v>1378.577112719443</v>
      </c>
      <c r="F13" s="23">
        <f t="shared" si="9"/>
        <v>885.01066425122985</v>
      </c>
      <c r="G13" s="14">
        <f t="shared" si="0"/>
        <v>331957965.50909048</v>
      </c>
      <c r="H13" s="14">
        <f t="shared" si="1"/>
        <v>431541411.4026202</v>
      </c>
      <c r="I13" s="14">
        <f t="shared" si="2"/>
        <v>277038366.32247299</v>
      </c>
      <c r="L13" t="s">
        <v>144</v>
      </c>
      <c r="M13">
        <v>803.64327883888643</v>
      </c>
      <c r="N13">
        <v>936.14604255248628</v>
      </c>
      <c r="O13">
        <v>711.21126579763336</v>
      </c>
      <c r="XEN13" s="19"/>
      <c r="XEO13" s="19"/>
      <c r="XEP13" s="19"/>
      <c r="XEQ13" s="19"/>
      <c r="XER13" s="19"/>
      <c r="XES13" s="19"/>
      <c r="XET13" s="19"/>
    </row>
    <row r="14" spans="1:22 16368:16374" x14ac:dyDescent="0.35">
      <c r="A14" s="9">
        <v>2031</v>
      </c>
      <c r="B14" s="10">
        <v>319721.65999999997</v>
      </c>
      <c r="C14" s="16">
        <v>2.1399999999999999E-2</v>
      </c>
      <c r="D14" s="22">
        <f t="shared" si="7"/>
        <v>1060.4536240179793</v>
      </c>
      <c r="E14" s="23">
        <f t="shared" si="8"/>
        <v>1378.577112719443</v>
      </c>
      <c r="F14" s="23">
        <f t="shared" si="9"/>
        <v>885.01066425122985</v>
      </c>
      <c r="G14" s="14">
        <f t="shared" si="0"/>
        <v>339049993.02404422</v>
      </c>
      <c r="H14" s="14">
        <f t="shared" si="1"/>
        <v>440760962.9166674</v>
      </c>
      <c r="I14" s="14">
        <f t="shared" si="2"/>
        <v>282957078.69210583</v>
      </c>
      <c r="XEN14" s="19"/>
      <c r="XEO14" s="19"/>
      <c r="XEP14" s="19"/>
      <c r="XEQ14" s="19"/>
      <c r="XER14" s="19"/>
      <c r="XES14" s="19"/>
      <c r="XET14" s="19"/>
    </row>
    <row r="15" spans="1:22 16368:16374" x14ac:dyDescent="0.35">
      <c r="A15" s="9">
        <v>2032</v>
      </c>
      <c r="B15" s="10">
        <v>325675.11</v>
      </c>
      <c r="C15" s="16">
        <v>1.8599999999999998E-2</v>
      </c>
      <c r="D15" s="22">
        <f t="shared" si="7"/>
        <v>1060.4536240179793</v>
      </c>
      <c r="E15" s="23">
        <f t="shared" si="8"/>
        <v>1378.577112719443</v>
      </c>
      <c r="F15" s="23">
        <f t="shared" si="9"/>
        <v>885.01066425122985</v>
      </c>
      <c r="G15" s="14">
        <f t="shared" si="0"/>
        <v>345363350.65195405</v>
      </c>
      <c r="H15" s="14">
        <f t="shared" si="1"/>
        <v>448968252.82838696</v>
      </c>
      <c r="I15" s="14">
        <f t="shared" si="2"/>
        <v>288225945.43119234</v>
      </c>
      <c r="XEN15" s="19"/>
      <c r="XEO15" s="19"/>
      <c r="XEP15" s="19"/>
      <c r="XEQ15" s="19"/>
      <c r="XER15" s="19"/>
      <c r="XES15" s="19"/>
      <c r="XET15" s="19"/>
    </row>
    <row r="16" spans="1:22 16368:16374" x14ac:dyDescent="0.35">
      <c r="A16" s="9">
        <v>2033</v>
      </c>
      <c r="B16" s="10">
        <v>330951.2</v>
      </c>
      <c r="C16" s="16">
        <v>1.6199999999999999E-2</v>
      </c>
      <c r="D16" s="22">
        <f t="shared" si="7"/>
        <v>1060.4536240179793</v>
      </c>
      <c r="E16" s="23">
        <f t="shared" si="8"/>
        <v>1378.577112719443</v>
      </c>
      <c r="F16" s="23">
        <f t="shared" si="9"/>
        <v>885.01066425122985</v>
      </c>
      <c r="G16" s="14">
        <f t="shared" si="0"/>
        <v>350958399.41309911</v>
      </c>
      <c r="H16" s="14">
        <f t="shared" si="1"/>
        <v>456241749.74703497</v>
      </c>
      <c r="I16" s="14">
        <f t="shared" si="2"/>
        <v>292895341.34674162</v>
      </c>
      <c r="XEN16" s="19"/>
      <c r="XEO16" s="19"/>
      <c r="XEP16" s="19"/>
      <c r="XEQ16" s="19"/>
      <c r="XER16" s="19"/>
      <c r="XES16" s="19"/>
      <c r="XET16" s="19"/>
    </row>
    <row r="17" spans="1:25 16368:16374" x14ac:dyDescent="0.35">
      <c r="A17" s="9">
        <v>2034</v>
      </c>
      <c r="B17" s="10">
        <v>335608.52</v>
      </c>
      <c r="C17" s="16">
        <v>1.41E-2</v>
      </c>
      <c r="D17" s="22">
        <f t="shared" si="7"/>
        <v>1060.4536240179793</v>
      </c>
      <c r="E17" s="23">
        <f t="shared" si="8"/>
        <v>1378.577112719443</v>
      </c>
      <c r="F17" s="23">
        <f t="shared" si="9"/>
        <v>885.01066425122985</v>
      </c>
      <c r="G17" s="14">
        <f t="shared" si="0"/>
        <v>355897271.28531051</v>
      </c>
      <c r="H17" s="14">
        <f t="shared" si="1"/>
        <v>462662224.50564545</v>
      </c>
      <c r="I17" s="14">
        <f t="shared" si="2"/>
        <v>297017119.2135722</v>
      </c>
      <c r="XEN17" s="19"/>
      <c r="XEO17" s="19"/>
      <c r="XEP17" s="19"/>
      <c r="XEQ17" s="19"/>
      <c r="XER17" s="19"/>
      <c r="XES17" s="19"/>
      <c r="XET17" s="19"/>
    </row>
    <row r="18" spans="1:25 16368:16374" x14ac:dyDescent="0.35">
      <c r="A18" s="9">
        <v>2035</v>
      </c>
      <c r="B18" s="10">
        <v>339705.32</v>
      </c>
      <c r="C18" s="16">
        <v>1.2200000000000001E-2</v>
      </c>
      <c r="D18" s="22">
        <f t="shared" si="7"/>
        <v>1060.4536240179793</v>
      </c>
      <c r="E18" s="23">
        <f t="shared" si="8"/>
        <v>1378.577112719443</v>
      </c>
      <c r="F18" s="23">
        <f t="shared" si="9"/>
        <v>885.01066425122985</v>
      </c>
      <c r="G18" s="14">
        <f t="shared" si="0"/>
        <v>360241737.69218737</v>
      </c>
      <c r="H18" s="14">
        <f t="shared" si="1"/>
        <v>468309979.22103447</v>
      </c>
      <c r="I18" s="14">
        <f t="shared" si="2"/>
        <v>300642830.90287662</v>
      </c>
      <c r="XEN18" s="19"/>
      <c r="XEO18" s="19"/>
      <c r="XEP18" s="19"/>
      <c r="XEQ18" s="19"/>
      <c r="XER18" s="19"/>
      <c r="XES18" s="19"/>
      <c r="XET18" s="19"/>
    </row>
    <row r="19" spans="1:25 16368:16374" x14ac:dyDescent="0.35">
      <c r="A19" s="9">
        <v>2036</v>
      </c>
      <c r="B19" s="10">
        <v>343298.05</v>
      </c>
      <c r="C19" s="16">
        <v>1.06E-2</v>
      </c>
      <c r="D19" s="22">
        <f t="shared" si="7"/>
        <v>1060.4536240179793</v>
      </c>
      <c r="E19" s="23">
        <f t="shared" si="8"/>
        <v>1378.577112719443</v>
      </c>
      <c r="F19" s="23">
        <f t="shared" si="9"/>
        <v>885.01066425122985</v>
      </c>
      <c r="G19" s="14">
        <f t="shared" si="0"/>
        <v>364051661.24080545</v>
      </c>
      <c r="H19" s="14">
        <f t="shared" si="1"/>
        <v>473262834.57121497</v>
      </c>
      <c r="I19" s="14">
        <f t="shared" si="2"/>
        <v>303822435.26665193</v>
      </c>
      <c r="XEN19" s="19"/>
      <c r="XEO19" s="19"/>
      <c r="XEP19" s="19"/>
      <c r="XEQ19" s="19"/>
      <c r="XER19" s="19"/>
      <c r="XES19" s="19"/>
      <c r="XET19" s="19"/>
    </row>
    <row r="20" spans="1:25 16368:16374" x14ac:dyDescent="0.35">
      <c r="A20" s="9">
        <v>2037</v>
      </c>
      <c r="B20" s="10">
        <v>346440.35</v>
      </c>
      <c r="C20" s="16">
        <v>9.1999999999999998E-3</v>
      </c>
      <c r="D20" s="22">
        <f t="shared" si="7"/>
        <v>1060.4536240179793</v>
      </c>
      <c r="E20" s="23">
        <f t="shared" si="8"/>
        <v>1378.577112719443</v>
      </c>
      <c r="F20" s="23">
        <f t="shared" si="9"/>
        <v>885.01066425122985</v>
      </c>
      <c r="G20" s="14">
        <f t="shared" si="0"/>
        <v>367383924.66355717</v>
      </c>
      <c r="H20" s="14">
        <f t="shared" si="1"/>
        <v>477594737.43251324</v>
      </c>
      <c r="I20" s="14">
        <f t="shared" si="2"/>
        <v>306603404.27692854</v>
      </c>
      <c r="T20" s="9" t="s">
        <v>190</v>
      </c>
      <c r="XEN20" s="19"/>
      <c r="XEO20" s="19"/>
      <c r="XEP20" s="19"/>
      <c r="XEQ20" s="19"/>
      <c r="XER20" s="19"/>
      <c r="XES20" s="19"/>
      <c r="XET20" s="19"/>
    </row>
    <row r="21" spans="1:25 16368:16374" x14ac:dyDescent="0.35">
      <c r="A21" s="9">
        <v>2038</v>
      </c>
      <c r="B21" s="10">
        <v>349182.28</v>
      </c>
      <c r="C21" s="16">
        <v>7.9000000000000008E-3</v>
      </c>
      <c r="D21" s="22">
        <f t="shared" si="7"/>
        <v>1060.4536240179793</v>
      </c>
      <c r="E21" s="23">
        <f t="shared" si="8"/>
        <v>1378.577112719443</v>
      </c>
      <c r="F21" s="23">
        <f t="shared" si="9"/>
        <v>885.01066425122985</v>
      </c>
      <c r="G21" s="14">
        <f t="shared" si="0"/>
        <v>370291614.26886082</v>
      </c>
      <c r="H21" s="14">
        <f t="shared" si="1"/>
        <v>481374699.37519217</v>
      </c>
      <c r="I21" s="14">
        <f t="shared" si="2"/>
        <v>309030041.56755894</v>
      </c>
      <c r="T21" s="3"/>
      <c r="U21" s="3" t="s">
        <v>185</v>
      </c>
      <c r="V21" s="50" t="s">
        <v>186</v>
      </c>
      <c r="W21" s="51"/>
      <c r="X21" s="52" t="s">
        <v>187</v>
      </c>
      <c r="Y21" s="52"/>
      <c r="XEN21" s="19"/>
      <c r="XEO21" s="19"/>
      <c r="XEP21" s="19"/>
      <c r="XEQ21" s="19"/>
      <c r="XER21" s="19"/>
      <c r="XES21" s="19"/>
      <c r="XET21" s="19"/>
    </row>
    <row r="22" spans="1:25 16368:16374" x14ac:dyDescent="0.35">
      <c r="A22" s="9">
        <v>2039</v>
      </c>
      <c r="B22" s="10">
        <v>351570.04</v>
      </c>
      <c r="C22" s="16">
        <v>6.7999999999999996E-3</v>
      </c>
      <c r="D22" s="22">
        <f t="shared" si="7"/>
        <v>1060.4536240179793</v>
      </c>
      <c r="E22" s="23">
        <f t="shared" si="8"/>
        <v>1378.577112719443</v>
      </c>
      <c r="F22" s="23">
        <f t="shared" si="9"/>
        <v>885.01066425122985</v>
      </c>
      <c r="G22" s="14">
        <f t="shared" si="0"/>
        <v>372823723.01414591</v>
      </c>
      <c r="H22" s="14">
        <f t="shared" si="1"/>
        <v>484666410.66185904</v>
      </c>
      <c r="I22" s="14">
        <f t="shared" si="2"/>
        <v>311143234.63123143</v>
      </c>
      <c r="T22" s="3"/>
      <c r="U22" s="3"/>
      <c r="V22" s="3" t="s">
        <v>49</v>
      </c>
      <c r="W22" s="3" t="s">
        <v>50</v>
      </c>
      <c r="X22" s="3" t="s">
        <v>188</v>
      </c>
      <c r="Y22" s="3" t="s">
        <v>189</v>
      </c>
      <c r="XEN22" s="19"/>
      <c r="XEO22" s="19"/>
      <c r="XEP22" s="19"/>
      <c r="XEQ22" s="19"/>
      <c r="XER22" s="19"/>
      <c r="XES22" s="19"/>
      <c r="XET22" s="19"/>
    </row>
    <row r="23" spans="1:25 16368:16374" x14ac:dyDescent="0.35">
      <c r="A23" s="9">
        <v>2040</v>
      </c>
      <c r="B23" s="10">
        <v>353645.74</v>
      </c>
      <c r="C23" s="16">
        <v>5.8999999999999999E-3</v>
      </c>
      <c r="D23" s="22">
        <f t="shared" si="7"/>
        <v>1060.4536240179793</v>
      </c>
      <c r="E23" s="23">
        <f t="shared" si="8"/>
        <v>1378.577112719443</v>
      </c>
      <c r="F23" s="23">
        <f t="shared" si="9"/>
        <v>885.01066425122985</v>
      </c>
      <c r="G23" s="14">
        <f t="shared" si="0"/>
        <v>375024906.60152006</v>
      </c>
      <c r="H23" s="14">
        <f t="shared" si="1"/>
        <v>487527923.17473084</v>
      </c>
      <c r="I23" s="14">
        <f t="shared" si="2"/>
        <v>312980251.26701772</v>
      </c>
      <c r="T23" s="3">
        <v>2020</v>
      </c>
      <c r="U23" s="1">
        <v>0.01</v>
      </c>
      <c r="V23" s="1">
        <v>0.16500000000000001</v>
      </c>
      <c r="W23" s="1">
        <v>0.16500000000000001</v>
      </c>
      <c r="X23" s="1">
        <v>0.54600547666295496</v>
      </c>
      <c r="Y23" s="1">
        <v>0.113994523337045</v>
      </c>
      <c r="XEN23" s="19"/>
      <c r="XEO23" s="19"/>
      <c r="XEP23" s="19"/>
      <c r="XEQ23" s="19"/>
      <c r="XER23" s="19"/>
      <c r="XES23" s="19"/>
      <c r="XET23" s="19"/>
    </row>
    <row r="24" spans="1:25 16368:16374" x14ac:dyDescent="0.35">
      <c r="A24" s="9">
        <v>2041</v>
      </c>
      <c r="B24" s="10">
        <v>355447.44</v>
      </c>
      <c r="C24" s="16">
        <v>5.1000000000000004E-3</v>
      </c>
      <c r="D24" s="22">
        <f t="shared" si="7"/>
        <v>1060.4536240179793</v>
      </c>
      <c r="E24" s="23">
        <f t="shared" si="8"/>
        <v>1378.577112719443</v>
      </c>
      <c r="F24" s="23">
        <f t="shared" si="9"/>
        <v>885.01066425122985</v>
      </c>
      <c r="G24" s="14">
        <f t="shared" si="0"/>
        <v>376935525.89591324</v>
      </c>
      <c r="H24" s="14">
        <f t="shared" si="1"/>
        <v>490011705.55871743</v>
      </c>
      <c r="I24" s="14">
        <f t="shared" si="2"/>
        <v>314574774.9807992</v>
      </c>
      <c r="T24" s="3">
        <v>2021</v>
      </c>
      <c r="U24" s="1">
        <v>0.01</v>
      </c>
      <c r="V24" s="1">
        <v>0.16500000000000001</v>
      </c>
      <c r="W24" s="1">
        <v>0.16500000000000001</v>
      </c>
      <c r="X24" s="1">
        <v>0.54600547666295496</v>
      </c>
      <c r="Y24" s="1">
        <v>0.113994523337045</v>
      </c>
      <c r="XEN24" s="19"/>
      <c r="XEO24" s="19"/>
      <c r="XEP24" s="19"/>
      <c r="XEQ24" s="19"/>
      <c r="XER24" s="19"/>
      <c r="XES24" s="19"/>
      <c r="XET24" s="19"/>
    </row>
    <row r="25" spans="1:25 16368:16374" x14ac:dyDescent="0.35">
      <c r="A25" s="9">
        <v>2042</v>
      </c>
      <c r="B25" s="10">
        <v>357009.28</v>
      </c>
      <c r="C25" s="16">
        <v>4.4000000000000003E-3</v>
      </c>
      <c r="D25" s="22">
        <f t="shared" si="7"/>
        <v>1060.4536240179793</v>
      </c>
      <c r="E25" s="23">
        <f t="shared" si="8"/>
        <v>1378.577112719443</v>
      </c>
      <c r="F25" s="23">
        <f t="shared" si="9"/>
        <v>885.01066425122985</v>
      </c>
      <c r="G25" s="14">
        <f t="shared" si="0"/>
        <v>378591784.78404951</v>
      </c>
      <c r="H25" s="14">
        <f t="shared" si="1"/>
        <v>492164822.4364472</v>
      </c>
      <c r="I25" s="14">
        <f t="shared" si="2"/>
        <v>315957020.03665334</v>
      </c>
      <c r="T25" s="3">
        <v>2022</v>
      </c>
      <c r="U25" s="1">
        <v>0.01</v>
      </c>
      <c r="V25" s="1">
        <v>0.16500000000000001</v>
      </c>
      <c r="W25" s="1">
        <v>0.16500000000000001</v>
      </c>
      <c r="X25" s="1">
        <v>0.54600547666295496</v>
      </c>
      <c r="Y25" s="1">
        <v>0.113994523337045</v>
      </c>
      <c r="XEN25" s="19"/>
      <c r="XEO25" s="19"/>
      <c r="XEP25" s="19"/>
      <c r="XEQ25" s="19"/>
      <c r="XER25" s="19"/>
      <c r="XES25" s="19"/>
      <c r="XET25" s="19"/>
    </row>
    <row r="26" spans="1:25 16368:16374" x14ac:dyDescent="0.35">
      <c r="A26" s="9">
        <v>2043</v>
      </c>
      <c r="B26" s="10">
        <v>358361.69</v>
      </c>
      <c r="C26" s="16">
        <v>3.8E-3</v>
      </c>
      <c r="D26" s="22">
        <f t="shared" si="7"/>
        <v>1060.4536240179793</v>
      </c>
      <c r="E26" s="23">
        <f t="shared" si="8"/>
        <v>1378.577112719443</v>
      </c>
      <c r="F26" s="23">
        <f t="shared" si="9"/>
        <v>885.01066425122985</v>
      </c>
      <c r="G26" s="14">
        <f t="shared" si="0"/>
        <v>380025952.86970764</v>
      </c>
      <c r="H26" s="14">
        <f t="shared" si="1"/>
        <v>494029223.90946007</v>
      </c>
      <c r="I26" s="14">
        <f t="shared" si="2"/>
        <v>317153917.3090933</v>
      </c>
      <c r="T26" s="3">
        <v>2023</v>
      </c>
      <c r="U26" s="1">
        <v>0.01</v>
      </c>
      <c r="V26" s="1">
        <v>0.16500000000000001</v>
      </c>
      <c r="W26" s="1">
        <v>0.16500000000000001</v>
      </c>
      <c r="X26" s="1">
        <v>0.54600547666295496</v>
      </c>
      <c r="Y26" s="1">
        <v>0.113994523337045</v>
      </c>
    </row>
    <row r="27" spans="1:25 16368:16374" x14ac:dyDescent="0.35">
      <c r="A27" s="9">
        <v>2044</v>
      </c>
      <c r="B27" s="10">
        <v>359531.61</v>
      </c>
      <c r="C27" s="16">
        <v>3.3E-3</v>
      </c>
      <c r="D27" s="22">
        <f t="shared" si="7"/>
        <v>1060.4536240179793</v>
      </c>
      <c r="E27" s="23">
        <f t="shared" si="8"/>
        <v>1378.577112719443</v>
      </c>
      <c r="F27" s="23">
        <f t="shared" si="9"/>
        <v>885.01066425122985</v>
      </c>
      <c r="G27" s="14">
        <f t="shared" si="0"/>
        <v>381266598.77351874</v>
      </c>
      <c r="H27" s="14">
        <f t="shared" si="1"/>
        <v>495642048.84517282</v>
      </c>
      <c r="I27" s="14">
        <f t="shared" si="2"/>
        <v>318189308.98541409</v>
      </c>
      <c r="T27" s="3">
        <v>2024</v>
      </c>
      <c r="U27" s="1">
        <v>0.01</v>
      </c>
      <c r="V27" s="1">
        <v>0.16500000000000001</v>
      </c>
      <c r="W27" s="1">
        <v>0.16500000000000001</v>
      </c>
      <c r="X27" s="1">
        <v>0.54600547666295496</v>
      </c>
      <c r="Y27" s="1">
        <v>0.113994523337045</v>
      </c>
    </row>
    <row r="28" spans="1:25 16368:16374" x14ac:dyDescent="0.35">
      <c r="A28" s="9">
        <v>2045</v>
      </c>
      <c r="B28" s="10">
        <v>360542.86</v>
      </c>
      <c r="C28" s="16">
        <v>2.8E-3</v>
      </c>
      <c r="D28" s="22">
        <f t="shared" si="7"/>
        <v>1060.4536240179793</v>
      </c>
      <c r="E28" s="23">
        <f t="shared" si="8"/>
        <v>1378.577112719443</v>
      </c>
      <c r="F28" s="23">
        <f t="shared" si="9"/>
        <v>885.01066425122985</v>
      </c>
      <c r="G28" s="14">
        <f t="shared" si="0"/>
        <v>382338982.50080693</v>
      </c>
      <c r="H28" s="14">
        <f t="shared" si="1"/>
        <v>497036134.95041031</v>
      </c>
      <c r="I28" s="14">
        <f t="shared" si="2"/>
        <v>319084276.01963818</v>
      </c>
      <c r="N28" s="9" t="s">
        <v>110</v>
      </c>
    </row>
    <row r="29" spans="1:25 16368:16374" x14ac:dyDescent="0.35">
      <c r="A29" s="9">
        <v>2046</v>
      </c>
      <c r="B29" s="10">
        <v>361416.34</v>
      </c>
      <c r="C29" s="16">
        <v>2.3999999999999998E-3</v>
      </c>
      <c r="D29" s="22">
        <f t="shared" si="7"/>
        <v>1060.4536240179793</v>
      </c>
      <c r="E29" s="23">
        <f t="shared" si="8"/>
        <v>1378.577112719443</v>
      </c>
      <c r="F29" s="23">
        <f t="shared" si="9"/>
        <v>885.01066425122985</v>
      </c>
      <c r="G29" s="14">
        <f t="shared" si="0"/>
        <v>383265267.53231424</v>
      </c>
      <c r="H29" s="14">
        <f t="shared" si="1"/>
        <v>498240294.48682857</v>
      </c>
      <c r="I29" s="14">
        <f t="shared" si="2"/>
        <v>319857315.13464838</v>
      </c>
    </row>
    <row r="30" spans="1:25 16368:16374" x14ac:dyDescent="0.35">
      <c r="A30" s="9">
        <v>2047</v>
      </c>
      <c r="B30" s="10">
        <v>362170.38</v>
      </c>
      <c r="C30" s="16">
        <v>2.0999999999999999E-3</v>
      </c>
      <c r="D30" s="22">
        <f t="shared" si="7"/>
        <v>1060.4536240179793</v>
      </c>
      <c r="E30" s="23">
        <f t="shared" si="8"/>
        <v>1378.577112719443</v>
      </c>
      <c r="F30" s="23">
        <f t="shared" si="9"/>
        <v>885.01066425122985</v>
      </c>
      <c r="G30" s="14">
        <f t="shared" si="0"/>
        <v>384064891.98296869</v>
      </c>
      <c r="H30" s="14">
        <f t="shared" si="1"/>
        <v>499279796.7729035</v>
      </c>
      <c r="I30" s="14">
        <f t="shared" si="2"/>
        <v>320524648.57592034</v>
      </c>
    </row>
    <row r="31" spans="1:25 16368:16374" x14ac:dyDescent="0.35">
      <c r="A31" s="9">
        <v>2048</v>
      </c>
      <c r="B31" s="10">
        <v>362820.98</v>
      </c>
      <c r="C31" s="16">
        <v>1.8E-3</v>
      </c>
      <c r="D31" s="22">
        <f t="shared" si="7"/>
        <v>1060.4536240179793</v>
      </c>
      <c r="E31" s="23">
        <f t="shared" si="8"/>
        <v>1378.577112719443</v>
      </c>
      <c r="F31" s="23">
        <f t="shared" si="9"/>
        <v>885.01066425122985</v>
      </c>
      <c r="G31" s="14">
        <f t="shared" si="0"/>
        <v>384754823.11075479</v>
      </c>
      <c r="H31" s="14">
        <f t="shared" si="1"/>
        <v>500176699.04243875</v>
      </c>
      <c r="I31" s="14">
        <f t="shared" si="2"/>
        <v>321100436.51408219</v>
      </c>
      <c r="K31" s="21" t="s">
        <v>111</v>
      </c>
    </row>
    <row r="32" spans="1:25 16368:16374" x14ac:dyDescent="0.35">
      <c r="A32" s="9">
        <v>2049</v>
      </c>
      <c r="B32" s="10">
        <v>363382.1</v>
      </c>
      <c r="C32" s="16">
        <v>1.5E-3</v>
      </c>
      <c r="D32" s="22">
        <f t="shared" si="7"/>
        <v>1060.4536240179793</v>
      </c>
      <c r="E32" s="23">
        <f t="shared" si="8"/>
        <v>1378.577112719443</v>
      </c>
      <c r="F32" s="23">
        <f t="shared" si="9"/>
        <v>885.01066425122985</v>
      </c>
      <c r="G32" s="14">
        <f t="shared" si="0"/>
        <v>385349864.84826374</v>
      </c>
      <c r="H32" s="14">
        <f t="shared" si="1"/>
        <v>500950246.23192787</v>
      </c>
      <c r="I32" s="14">
        <f t="shared" si="2"/>
        <v>321597033.69800681</v>
      </c>
      <c r="K32" s="10" t="s">
        <v>95</v>
      </c>
      <c r="L32" s="12" t="s">
        <v>96</v>
      </c>
      <c r="M32" s="12" t="s">
        <v>97</v>
      </c>
    </row>
    <row r="33" spans="1:20" x14ac:dyDescent="0.35">
      <c r="A33" s="9">
        <v>2050</v>
      </c>
      <c r="B33" s="10">
        <v>363865.87</v>
      </c>
      <c r="C33" s="16">
        <v>1.2999999999999999E-3</v>
      </c>
      <c r="D33" s="22">
        <f t="shared" si="7"/>
        <v>1060.4536240179793</v>
      </c>
      <c r="E33" s="23">
        <f t="shared" si="8"/>
        <v>1378.577112719443</v>
      </c>
      <c r="F33" s="23">
        <f t="shared" si="9"/>
        <v>885.01066425122985</v>
      </c>
      <c r="G33" s="14">
        <f t="shared" si="0"/>
        <v>385862880.49795496</v>
      </c>
      <c r="H33" s="14">
        <f t="shared" si="1"/>
        <v>501617160.48174816</v>
      </c>
      <c r="I33" s="14">
        <f t="shared" si="2"/>
        <v>322025175.30705166</v>
      </c>
      <c r="J33" s="9">
        <v>2020</v>
      </c>
      <c r="K33" s="9">
        <f>D3/Temperature!$G15</f>
        <v>1500.6999300392813</v>
      </c>
      <c r="L33" s="9">
        <f>E3/Temperature!$G15</f>
        <v>2137.030375862797</v>
      </c>
      <c r="M33" s="9">
        <f>F3/Temperature!$G15</f>
        <v>1182.9524901716807</v>
      </c>
    </row>
    <row r="34" spans="1:20" x14ac:dyDescent="0.35">
      <c r="J34" s="9">
        <v>2021</v>
      </c>
      <c r="K34" s="9">
        <f>D4/Temperature!$G16</f>
        <v>1505.6434593976369</v>
      </c>
      <c r="L34" s="9">
        <f>E4/Temperature!$G16</f>
        <v>2144.070072601171</v>
      </c>
      <c r="M34" s="9">
        <f>F4/Temperature!$G16</f>
        <v>1186.8493120796757</v>
      </c>
    </row>
    <row r="35" spans="1:20" x14ac:dyDescent="0.35">
      <c r="J35" s="9">
        <v>2022</v>
      </c>
      <c r="K35" s="9">
        <f>D5/Temperature!$G17</f>
        <v>1492.0797201312491</v>
      </c>
      <c r="L35" s="9">
        <f>E5/Temperature!$G17</f>
        <v>2119.238527636925</v>
      </c>
      <c r="M35" s="9">
        <f>F5/Temperature!$G17</f>
        <v>1178.2162902497898</v>
      </c>
    </row>
    <row r="36" spans="1:20" x14ac:dyDescent="0.35">
      <c r="J36" s="9">
        <v>2023</v>
      </c>
      <c r="K36" s="9">
        <f>D6/Temperature!$G18</f>
        <v>1329.36115571407</v>
      </c>
      <c r="L36" s="9">
        <f>E6/Temperature!$G18</f>
        <v>1837.7315398994849</v>
      </c>
      <c r="M36" s="9">
        <f>F6/Temperature!$G18</f>
        <v>1068.5337195527561</v>
      </c>
    </row>
    <row r="37" spans="1:20" x14ac:dyDescent="0.35">
      <c r="J37" s="9">
        <v>2024</v>
      </c>
      <c r="K37" s="9">
        <f>D7/Temperature!$G19</f>
        <v>1071.9593207271168</v>
      </c>
      <c r="L37" s="9">
        <f>E7/Temperature!$G19</f>
        <v>1393.5343817502285</v>
      </c>
      <c r="M37" s="9">
        <f>F7/Temperature!$G19</f>
        <v>894.61284208965867</v>
      </c>
      <c r="T37" s="9" t="s">
        <v>110</v>
      </c>
    </row>
    <row r="38" spans="1:20" x14ac:dyDescent="0.35">
      <c r="J38" s="9">
        <v>2025</v>
      </c>
      <c r="K38" s="9">
        <f>D8/Temperature!$G20</f>
        <v>1074.8748617464103</v>
      </c>
      <c r="L38" s="9">
        <f>E8/Temperature!$G20</f>
        <v>1397.3245504378169</v>
      </c>
      <c r="M38" s="9">
        <f>F8/Temperature!$G20</f>
        <v>897.04603184515213</v>
      </c>
    </row>
    <row r="39" spans="1:20" x14ac:dyDescent="0.35">
      <c r="J39" s="9">
        <v>2026</v>
      </c>
      <c r="K39" s="9">
        <f>D9/Temperature!$G21</f>
        <v>1077.8063055371269</v>
      </c>
      <c r="L39" s="9">
        <f>E9/Temperature!$G21</f>
        <v>1401.1353925393257</v>
      </c>
      <c r="M39" s="9">
        <f>F9/Temperature!$G21</f>
        <v>899.49249339488733</v>
      </c>
    </row>
    <row r="40" spans="1:20" x14ac:dyDescent="0.35">
      <c r="J40" s="9">
        <v>2027</v>
      </c>
      <c r="K40" s="9">
        <f>D10/Temperature!$G22</f>
        <v>1080.7537825671998</v>
      </c>
      <c r="L40" s="9">
        <f>E10/Temperature!$G22</f>
        <v>1404.9670776615183</v>
      </c>
      <c r="M40" s="9">
        <f>F10/Temperature!$G22</f>
        <v>901.95233562199621</v>
      </c>
    </row>
    <row r="41" spans="1:20" x14ac:dyDescent="0.35">
      <c r="J41" s="9">
        <v>2028</v>
      </c>
      <c r="K41" s="9">
        <f>D11/Temperature!$G23</f>
        <v>1083.7174247356372</v>
      </c>
      <c r="L41" s="9">
        <f>E11/Temperature!$G23</f>
        <v>1408.8197772715382</v>
      </c>
      <c r="M41" s="9">
        <f>F11/Temperature!$G23</f>
        <v>904.42566860392719</v>
      </c>
    </row>
    <row r="42" spans="1:20" x14ac:dyDescent="0.35">
      <c r="J42" s="9">
        <v>2029</v>
      </c>
      <c r="K42" s="9">
        <f>D12/Temperature!$G24</f>
        <v>1086.6973653922007</v>
      </c>
      <c r="L42" s="9">
        <f>E12/Temperature!$G24</f>
        <v>1412.6936647224907</v>
      </c>
      <c r="M42" s="9">
        <f>F12/Temperature!$G24</f>
        <v>906.91260362886669</v>
      </c>
    </row>
    <row r="43" spans="1:20" x14ac:dyDescent="0.35">
      <c r="J43" s="9">
        <v>2030</v>
      </c>
      <c r="K43" s="9">
        <f>D13/Temperature!$G25</f>
        <v>1089.6937393574026</v>
      </c>
      <c r="L43" s="9">
        <f>E13/Temperature!$G25</f>
        <v>1416.5889152794409</v>
      </c>
      <c r="M43" s="9">
        <f>F13/Temperature!$G25</f>
        <v>909.41325321242982</v>
      </c>
    </row>
    <row r="44" spans="1:20" x14ac:dyDescent="0.35">
      <c r="J44" s="9">
        <v>2031</v>
      </c>
      <c r="K44" s="9">
        <f>D14/Temperature!$G26</f>
        <v>1092.7066829428418</v>
      </c>
      <c r="L44" s="9">
        <f>E14/Temperature!$G26</f>
        <v>1420.5057061458472</v>
      </c>
      <c r="M44" s="9">
        <f>F14/Temperature!$G26</f>
        <v>911.92773111462952</v>
      </c>
    </row>
    <row r="45" spans="1:20" x14ac:dyDescent="0.35">
      <c r="J45" s="9">
        <v>2032</v>
      </c>
      <c r="K45" s="9">
        <f>D15/Temperature!$G27</f>
        <v>1095.7363339718731</v>
      </c>
      <c r="L45" s="9">
        <f>E15/Temperature!$G27</f>
        <v>1424.4442164904344</v>
      </c>
      <c r="M45" s="9">
        <f>F15/Temperature!$G27</f>
        <v>914.45615235712899</v>
      </c>
    </row>
    <row r="46" spans="1:20" x14ac:dyDescent="0.35">
      <c r="J46" s="9">
        <v>2033</v>
      </c>
      <c r="K46" s="9">
        <f>D16/Temperature!$G28</f>
        <v>1098.7828318006241</v>
      </c>
      <c r="L46" s="9">
        <f>E16/Temperature!$G28</f>
        <v>1428.4046274745117</v>
      </c>
      <c r="M46" s="9">
        <f>F16/Temperature!$G28</f>
        <v>916.99863324077864</v>
      </c>
    </row>
    <row r="47" spans="1:20" x14ac:dyDescent="0.35">
      <c r="J47" s="9">
        <v>2034</v>
      </c>
      <c r="K47" s="9">
        <f>D17/Temperature!$G29</f>
        <v>1101.8463173393607</v>
      </c>
      <c r="L47" s="9">
        <f>E17/Temperature!$G29</f>
        <v>1432.3871222797516</v>
      </c>
      <c r="M47" s="9">
        <f>F17/Temperature!$G29</f>
        <v>919.55529136344956</v>
      </c>
    </row>
    <row r="48" spans="1:20" x14ac:dyDescent="0.35">
      <c r="J48" s="9">
        <v>2035</v>
      </c>
      <c r="K48" s="9">
        <f>D18/Temperature!$G30</f>
        <v>1104.9269330742159</v>
      </c>
      <c r="L48" s="9">
        <f>E18/Temperature!$G30</f>
        <v>1436.3918861364336</v>
      </c>
      <c r="M48" s="9">
        <f>F18/Temperature!$G30</f>
        <v>922.12624563816553</v>
      </c>
    </row>
    <row r="49" spans="10:13" x14ac:dyDescent="0.35">
      <c r="J49" s="9">
        <v>2036</v>
      </c>
      <c r="K49" s="9">
        <f>D19/Temperature!$G31</f>
        <v>1108.0248230892785</v>
      </c>
      <c r="L49" s="9">
        <f>E19/Temperature!$G31</f>
        <v>1440.4191063521616</v>
      </c>
      <c r="M49" s="9">
        <f>F19/Temperature!$G31</f>
        <v>924.71161631153814</v>
      </c>
    </row>
    <row r="50" spans="10:13" x14ac:dyDescent="0.35">
      <c r="J50" s="9">
        <v>2037</v>
      </c>
      <c r="K50" s="9">
        <f>D20/Temperature!$G32</f>
        <v>1111.1401330890578</v>
      </c>
      <c r="L50" s="9">
        <f>E20/Temperature!$G32</f>
        <v>1444.4689723410672</v>
      </c>
      <c r="M50" s="9">
        <f>F20/Temperature!$G32</f>
        <v>927.31152498251504</v>
      </c>
    </row>
    <row r="51" spans="10:13" x14ac:dyDescent="0.35">
      <c r="J51" s="9">
        <v>2038</v>
      </c>
      <c r="K51" s="9">
        <f>D21/Temperature!$G33</f>
        <v>1114.2730104213288</v>
      </c>
      <c r="L51" s="9">
        <f>E21/Temperature!$G33</f>
        <v>1448.5416756535064</v>
      </c>
      <c r="M51" s="9">
        <f>F21/Temperature!$G33</f>
        <v>929.92609462144503</v>
      </c>
    </row>
    <row r="52" spans="10:13" x14ac:dyDescent="0.35">
      <c r="J52" s="9">
        <v>2039</v>
      </c>
      <c r="K52" s="9">
        <f>D22/Temperature!$G34</f>
        <v>1117.4236041003621</v>
      </c>
      <c r="L52" s="9">
        <f>E22/Temperature!$G34</f>
        <v>1452.6374100062612</v>
      </c>
      <c r="M52" s="9">
        <f>F22/Temperature!$G34</f>
        <v>932.55544958946552</v>
      </c>
    </row>
    <row r="53" spans="10:13" x14ac:dyDescent="0.35">
      <c r="J53" s="9">
        <v>2040</v>
      </c>
      <c r="K53" s="9">
        <f>D23/Temperature!$G35</f>
        <v>1120.5920648305514</v>
      </c>
      <c r="L53" s="9">
        <f>E23/Temperature!$G35</f>
        <v>1456.7563713132533</v>
      </c>
      <c r="M53" s="9">
        <f>F23/Temperature!$G35</f>
        <v>935.19971565822038</v>
      </c>
    </row>
    <row r="54" spans="10:13" x14ac:dyDescent="0.35">
      <c r="J54" s="9">
        <v>2041</v>
      </c>
      <c r="K54" s="9">
        <f>D24/Temperature!$G36</f>
        <v>1123.7785450304441</v>
      </c>
      <c r="L54" s="9">
        <f>E24/Temperature!$G36</f>
        <v>1460.8987577167825</v>
      </c>
      <c r="M54" s="9">
        <f>F24/Temperature!$G36</f>
        <v>937.85902002991486</v>
      </c>
    </row>
    <row r="55" spans="10:13" x14ac:dyDescent="0.35">
      <c r="J55" s="9">
        <v>2042</v>
      </c>
      <c r="K55" s="9">
        <f>D25/Temperature!$G37</f>
        <v>1126.9831988571807</v>
      </c>
      <c r="L55" s="9">
        <f>E25/Temperature!$G37</f>
        <v>1465.0647696193014</v>
      </c>
      <c r="M55" s="9">
        <f>F25/Temperature!$G37</f>
        <v>940.53349135771282</v>
      </c>
    </row>
    <row r="56" spans="10:13" x14ac:dyDescent="0.35">
      <c r="J56" s="9">
        <v>2043</v>
      </c>
      <c r="K56" s="9">
        <f>D26/Temperature!$G38</f>
        <v>1130.2061822313569</v>
      </c>
      <c r="L56" s="9">
        <f>E26/Temperature!$G38</f>
        <v>1469.254609715731</v>
      </c>
      <c r="M56" s="9">
        <f>F26/Temperature!$G38</f>
        <v>943.22325976648392</v>
      </c>
    </row>
    <row r="57" spans="10:13" x14ac:dyDescent="0.35">
      <c r="J57" s="9">
        <v>2044</v>
      </c>
      <c r="K57" s="9">
        <f>D27/Temperature!$G39</f>
        <v>1133.4476528623111</v>
      </c>
      <c r="L57" s="9">
        <f>E27/Temperature!$G39</f>
        <v>1473.4684830263379</v>
      </c>
      <c r="M57" s="9">
        <f>F27/Temperature!$G39</f>
        <v>945.92845687390877</v>
      </c>
    </row>
    <row r="58" spans="10:13" x14ac:dyDescent="0.35">
      <c r="J58" s="9">
        <v>2045</v>
      </c>
      <c r="K58" s="9">
        <f>D28/Temperature!$G40</f>
        <v>1136.7077702738491</v>
      </c>
      <c r="L58" s="9">
        <f>E28/Temperature!$G40</f>
        <v>1477.7065969301743</v>
      </c>
      <c r="M58" s="9">
        <f>F28/Temperature!$G40</f>
        <v>948.64921581194722</v>
      </c>
    </row>
    <row r="59" spans="10:13" x14ac:dyDescent="0.35">
      <c r="J59" s="9">
        <v>2046</v>
      </c>
      <c r="K59" s="9">
        <f>D29/Temperature!$G41</f>
        <v>1139.9866958304135</v>
      </c>
      <c r="L59" s="9">
        <f>E29/Temperature!$G41</f>
        <v>1481.9691611990988</v>
      </c>
      <c r="M59" s="9">
        <f>F29/Temperature!$G41</f>
        <v>951.38567124867859</v>
      </c>
    </row>
    <row r="60" spans="10:13" x14ac:dyDescent="0.35">
      <c r="J60" s="9">
        <v>2047</v>
      </c>
      <c r="K60" s="9">
        <f>D30/Temperature!$G42</f>
        <v>1143.2845927637088</v>
      </c>
      <c r="L60" s="9">
        <f>E30/Temperature!$G42</f>
        <v>1486.256388032388</v>
      </c>
      <c r="M60" s="9">
        <f>F30/Temperature!$G42</f>
        <v>954.13795941052115</v>
      </c>
    </row>
    <row r="61" spans="10:13" x14ac:dyDescent="0.35">
      <c r="J61" s="9">
        <v>2048</v>
      </c>
      <c r="K61" s="9">
        <f>D31/Temperature!$G43</f>
        <v>1146.6016261997891</v>
      </c>
      <c r="L61" s="9">
        <f>E31/Temperature!$G43</f>
        <v>1490.56849209195</v>
      </c>
      <c r="M61" s="9">
        <f>F31/Temperature!$G43</f>
        <v>956.90621810483924</v>
      </c>
    </row>
    <row r="62" spans="10:13" x14ac:dyDescent="0.35">
      <c r="J62" s="9">
        <v>2049</v>
      </c>
      <c r="K62" s="9">
        <f>D32/Temperature!$G44</f>
        <v>1149.9379631866168</v>
      </c>
      <c r="L62" s="9">
        <f>E32/Temperature!$G44</f>
        <v>1494.9056905381522</v>
      </c>
      <c r="M62" s="9">
        <f>F32/Temperature!$G44</f>
        <v>959.69058674294229</v>
      </c>
    </row>
    <row r="63" spans="10:13" x14ac:dyDescent="0.35">
      <c r="J63" s="9">
        <v>2050</v>
      </c>
      <c r="K63" s="9">
        <f>D33/Temperature!$G45</f>
        <v>1153.2937727221092</v>
      </c>
      <c r="L63" s="9">
        <f>E33/Temperature!$G45</f>
        <v>1499.2682030662784</v>
      </c>
      <c r="M63" s="9">
        <f>F33/Temperature!$G45</f>
        <v>962.49120636349085</v>
      </c>
    </row>
  </sheetData>
  <mergeCells count="11">
    <mergeCell ref="D1:F1"/>
    <mergeCell ref="G1:I1"/>
    <mergeCell ref="N1:P1"/>
    <mergeCell ref="Q1:S1"/>
    <mergeCell ref="T1:V1"/>
    <mergeCell ref="V21:W21"/>
    <mergeCell ref="X21:Y21"/>
    <mergeCell ref="K2:M2"/>
    <mergeCell ref="N2:O2"/>
    <mergeCell ref="Q2:R2"/>
    <mergeCell ref="T2:U2"/>
  </mergeCells>
  <phoneticPr fontId="1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22B7-B7DC-43EC-A82D-D7AECE202911}">
  <dimension ref="A1:Q78"/>
  <sheetViews>
    <sheetView workbookViewId="0">
      <selection activeCell="P32" sqref="P32"/>
    </sheetView>
  </sheetViews>
  <sheetFormatPr defaultColWidth="8.83203125" defaultRowHeight="14" x14ac:dyDescent="0.3"/>
  <cols>
    <col min="1" max="1" width="13.1640625" bestFit="1" customWidth="1"/>
    <col min="7" max="8" width="18.6640625" bestFit="1" customWidth="1"/>
  </cols>
  <sheetData>
    <row r="1" spans="1:15" x14ac:dyDescent="0.3">
      <c r="A1" t="s">
        <v>217</v>
      </c>
      <c r="B1">
        <v>6.4999999999999997E-3</v>
      </c>
      <c r="C1">
        <v>5.45E-2</v>
      </c>
      <c r="D1">
        <v>3.3599999999999998E-2</v>
      </c>
      <c r="E1">
        <v>1.43E-2</v>
      </c>
      <c r="F1">
        <v>0.94399999999999995</v>
      </c>
    </row>
    <row r="2" spans="1:15" x14ac:dyDescent="0.3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223</v>
      </c>
      <c r="H2" t="s">
        <v>224</v>
      </c>
      <c r="I2" t="s">
        <v>219</v>
      </c>
    </row>
    <row r="3" spans="1:15" x14ac:dyDescent="0.3">
      <c r="A3">
        <v>2020</v>
      </c>
      <c r="B3" s="48">
        <v>0.28860000000000002</v>
      </c>
      <c r="C3" s="48">
        <v>1.1999999999999999E-3</v>
      </c>
      <c r="D3" s="48">
        <v>7.3899999999999993E-2</v>
      </c>
      <c r="E3" s="48">
        <v>8.4199999999999997E-2</v>
      </c>
      <c r="F3" s="48">
        <v>0.55210000000000004</v>
      </c>
      <c r="G3" s="48" t="s">
        <v>251</v>
      </c>
      <c r="H3" s="48" t="s">
        <v>251</v>
      </c>
      <c r="I3" s="49">
        <v>0.63899157515378202</v>
      </c>
      <c r="K3" t="s">
        <v>11</v>
      </c>
      <c r="L3" t="s">
        <v>13</v>
      </c>
      <c r="M3" t="s">
        <v>14</v>
      </c>
      <c r="N3" t="s">
        <v>15</v>
      </c>
      <c r="O3" t="s">
        <v>12</v>
      </c>
    </row>
    <row r="4" spans="1:15" x14ac:dyDescent="0.3">
      <c r="A4">
        <v>2021</v>
      </c>
      <c r="B4" s="48" t="s">
        <v>251</v>
      </c>
      <c r="C4" s="48" t="s">
        <v>251</v>
      </c>
      <c r="D4" s="48" t="s">
        <v>251</v>
      </c>
      <c r="E4" s="48" t="s">
        <v>251</v>
      </c>
      <c r="F4" s="48" t="s">
        <v>251</v>
      </c>
      <c r="G4" s="48" t="s">
        <v>251</v>
      </c>
      <c r="H4" s="48" t="s">
        <v>251</v>
      </c>
      <c r="I4" s="49">
        <v>0.63899157515378202</v>
      </c>
      <c r="K4">
        <f>(B33-B6)/($A$33-$A$6)</f>
        <v>3.5307510850587512E-5</v>
      </c>
      <c r="L4">
        <f>(C33-C6)/($A$33-$A$6)</f>
        <v>9.4613784761560724E-3</v>
      </c>
      <c r="M4">
        <f>(D33-D6)/($A$33-$A$6)</f>
        <v>1.112224904082448E-2</v>
      </c>
      <c r="N4">
        <f>(E33-E6)/($A$33-$A$6)</f>
        <v>8.3677870274589646E-4</v>
      </c>
      <c r="O4">
        <f>(F33-F6)/($A$33-$A$6)</f>
        <v>-2.1455713730577038E-2</v>
      </c>
    </row>
    <row r="5" spans="1:15" x14ac:dyDescent="0.3">
      <c r="A5">
        <v>2022</v>
      </c>
      <c r="B5" s="48" t="s">
        <v>251</v>
      </c>
      <c r="C5" s="48" t="s">
        <v>251</v>
      </c>
      <c r="D5" s="48" t="s">
        <v>251</v>
      </c>
      <c r="E5" s="48" t="s">
        <v>251</v>
      </c>
      <c r="F5" s="48" t="s">
        <v>251</v>
      </c>
      <c r="G5" s="48" t="s">
        <v>251</v>
      </c>
      <c r="H5" s="48" t="s">
        <v>251</v>
      </c>
      <c r="I5" s="49">
        <v>0.63899157515378202</v>
      </c>
    </row>
    <row r="6" spans="1:15" x14ac:dyDescent="0.3">
      <c r="A6">
        <v>2023</v>
      </c>
      <c r="B6" s="45">
        <v>4.7E-2</v>
      </c>
      <c r="C6" s="45">
        <v>6.3E-2</v>
      </c>
      <c r="D6" s="45">
        <v>9.5000000000000001E-2</v>
      </c>
      <c r="E6" s="45">
        <v>0.13900000000000001</v>
      </c>
      <c r="F6" s="45">
        <v>0.65600000000000003</v>
      </c>
      <c r="G6" s="45">
        <f t="shared" ref="G6:G33" si="0">B6*$B$1+C6*$C$1+D6*$D$1+E6*$E$1+F6*$F$1</f>
        <v>0.62818269999999998</v>
      </c>
      <c r="H6" s="45">
        <v>1</v>
      </c>
      <c r="I6" s="46">
        <f t="shared" ref="I6:I33" si="1">G6*$L$9*H6</f>
        <v>0.62050000000000005</v>
      </c>
    </row>
    <row r="7" spans="1:15" x14ac:dyDescent="0.3">
      <c r="A7">
        <v>2024</v>
      </c>
      <c r="B7" s="45">
        <f t="shared" ref="B7:B32" si="2">B6+K$4</f>
        <v>4.7035307510850589E-2</v>
      </c>
      <c r="C7" s="45">
        <f t="shared" ref="C7:C32" si="3">C6+L$4</f>
        <v>7.246137847615608E-2</v>
      </c>
      <c r="D7" s="45">
        <f t="shared" ref="D7:D32" si="4">D6+M$4</f>
        <v>0.10612224904082448</v>
      </c>
      <c r="E7" s="45">
        <f t="shared" ref="E7:E32" si="5">E6+N$4</f>
        <v>0.13983677870274591</v>
      </c>
      <c r="F7" s="45">
        <f t="shared" ref="F7:F32" si="6">F6+O$4</f>
        <v>0.63454428626942294</v>
      </c>
      <c r="G7" s="45">
        <f t="shared" si="0"/>
        <v>0.60883005436732718</v>
      </c>
      <c r="H7">
        <f>H6*(1-$L$14)</f>
        <v>0.98499999999999999</v>
      </c>
      <c r="I7" s="46">
        <f t="shared" si="1"/>
        <v>0.5923632774412646</v>
      </c>
    </row>
    <row r="8" spans="1:15" x14ac:dyDescent="0.3">
      <c r="A8">
        <v>2025</v>
      </c>
      <c r="B8" s="45">
        <f t="shared" si="2"/>
        <v>4.7070615021701179E-2</v>
      </c>
      <c r="C8" s="45">
        <f t="shared" si="3"/>
        <v>8.1922756952312159E-2</v>
      </c>
      <c r="D8" s="45">
        <f t="shared" si="4"/>
        <v>0.11724449808164897</v>
      </c>
      <c r="E8" s="45">
        <f t="shared" si="5"/>
        <v>0.14067355740549181</v>
      </c>
      <c r="F8" s="45">
        <f t="shared" si="6"/>
        <v>0.61308857253884586</v>
      </c>
      <c r="G8" s="45">
        <f t="shared" si="0"/>
        <v>0.58947740873465448</v>
      </c>
      <c r="H8">
        <f>H7*(1-$L$14)</f>
        <v>0.970225</v>
      </c>
      <c r="I8" s="46">
        <f t="shared" si="1"/>
        <v>0.56493104405929118</v>
      </c>
      <c r="K8" t="s">
        <v>220</v>
      </c>
      <c r="L8">
        <v>0.62050000000000005</v>
      </c>
    </row>
    <row r="9" spans="1:15" x14ac:dyDescent="0.3">
      <c r="A9">
        <v>2026</v>
      </c>
      <c r="B9" s="45">
        <f t="shared" si="2"/>
        <v>4.7105922532551768E-2</v>
      </c>
      <c r="C9" s="45">
        <f t="shared" si="3"/>
        <v>9.1384135428468238E-2</v>
      </c>
      <c r="D9" s="45">
        <f t="shared" si="4"/>
        <v>0.12836674712247345</v>
      </c>
      <c r="E9" s="45">
        <f t="shared" si="5"/>
        <v>0.14151033610823771</v>
      </c>
      <c r="F9" s="45">
        <f t="shared" si="6"/>
        <v>0.59163285880826877</v>
      </c>
      <c r="G9" s="45">
        <f t="shared" si="0"/>
        <v>0.57012476310198168</v>
      </c>
      <c r="H9">
        <f t="shared" ref="H9:H33" si="7">H8*(1-$L$14)</f>
        <v>0.95567162500000002</v>
      </c>
      <c r="I9" s="46">
        <f t="shared" si="1"/>
        <v>0.53818849594135276</v>
      </c>
      <c r="K9" t="s">
        <v>218</v>
      </c>
      <c r="L9">
        <f>L8/G6</f>
        <v>0.98776995928095457</v>
      </c>
      <c r="M9" t="s">
        <v>227</v>
      </c>
    </row>
    <row r="10" spans="1:15" x14ac:dyDescent="0.3">
      <c r="A10">
        <v>2027</v>
      </c>
      <c r="B10" s="45">
        <f t="shared" si="2"/>
        <v>4.7141230043402357E-2</v>
      </c>
      <c r="C10" s="45">
        <f t="shared" si="3"/>
        <v>0.10084551390462432</v>
      </c>
      <c r="D10" s="45">
        <f t="shared" si="4"/>
        <v>0.13948899616329793</v>
      </c>
      <c r="E10" s="45">
        <f t="shared" si="5"/>
        <v>0.14234711481098361</v>
      </c>
      <c r="F10" s="45">
        <f t="shared" si="6"/>
        <v>0.57017714507769168</v>
      </c>
      <c r="G10" s="45">
        <f t="shared" si="0"/>
        <v>0.55077211746930888</v>
      </c>
      <c r="H10">
        <f t="shared" si="7"/>
        <v>0.94133655062499999</v>
      </c>
      <c r="I10" s="46">
        <f t="shared" si="1"/>
        <v>0.51212111478203903</v>
      </c>
    </row>
    <row r="11" spans="1:15" x14ac:dyDescent="0.3">
      <c r="A11">
        <v>2028</v>
      </c>
      <c r="B11" s="45">
        <f t="shared" si="2"/>
        <v>4.7176537554252947E-2</v>
      </c>
      <c r="C11" s="45">
        <f t="shared" si="3"/>
        <v>0.1103068923807804</v>
      </c>
      <c r="D11" s="45">
        <f t="shared" si="4"/>
        <v>0.15061124520412242</v>
      </c>
      <c r="E11" s="45">
        <f t="shared" si="5"/>
        <v>0.14318389351372951</v>
      </c>
      <c r="F11" s="45">
        <f t="shared" si="6"/>
        <v>0.5487214313471146</v>
      </c>
      <c r="G11" s="45">
        <f t="shared" si="0"/>
        <v>0.53141947183663618</v>
      </c>
      <c r="H11">
        <f t="shared" si="7"/>
        <v>0.92721650236562503</v>
      </c>
      <c r="I11" s="46">
        <f t="shared" si="1"/>
        <v>0.48671466264591806</v>
      </c>
    </row>
    <row r="12" spans="1:15" x14ac:dyDescent="0.3">
      <c r="A12">
        <v>2029</v>
      </c>
      <c r="B12" s="45">
        <f t="shared" si="2"/>
        <v>4.7211845065103536E-2</v>
      </c>
      <c r="C12" s="45">
        <f t="shared" si="3"/>
        <v>0.11976827085693648</v>
      </c>
      <c r="D12" s="45">
        <f t="shared" si="4"/>
        <v>0.1617334942449469</v>
      </c>
      <c r="E12" s="45">
        <f t="shared" si="5"/>
        <v>0.14402067221647541</v>
      </c>
      <c r="F12" s="45">
        <f t="shared" si="6"/>
        <v>0.52726571761653751</v>
      </c>
      <c r="G12" s="45">
        <f t="shared" si="0"/>
        <v>0.51206682620396338</v>
      </c>
      <c r="H12">
        <f t="shared" si="7"/>
        <v>0.91330825483014066</v>
      </c>
      <c r="I12" s="46">
        <f t="shared" si="1"/>
        <v>0.46195517682305465</v>
      </c>
      <c r="K12" t="s">
        <v>225</v>
      </c>
      <c r="L12">
        <v>0.55679999999999996</v>
      </c>
      <c r="M12" t="s">
        <v>221</v>
      </c>
    </row>
    <row r="13" spans="1:15" x14ac:dyDescent="0.3">
      <c r="A13">
        <v>2030</v>
      </c>
      <c r="B13" s="45">
        <f t="shared" si="2"/>
        <v>4.7247152575954125E-2</v>
      </c>
      <c r="C13" s="45">
        <f t="shared" si="3"/>
        <v>0.12922964933309256</v>
      </c>
      <c r="D13" s="45">
        <f t="shared" si="4"/>
        <v>0.17285574328577138</v>
      </c>
      <c r="E13" s="45">
        <f t="shared" si="5"/>
        <v>0.14485745091922131</v>
      </c>
      <c r="F13" s="45">
        <f t="shared" si="6"/>
        <v>0.50581000388596042</v>
      </c>
      <c r="G13" s="45">
        <f t="shared" si="0"/>
        <v>0.49271418057129068</v>
      </c>
      <c r="H13">
        <f t="shared" si="7"/>
        <v>0.89960863100768851</v>
      </c>
      <c r="I13" s="46">
        <f t="shared" si="1"/>
        <v>0.43782896477578181</v>
      </c>
      <c r="K13" t="s">
        <v>226</v>
      </c>
      <c r="L13">
        <v>0.53659999999999997</v>
      </c>
      <c r="M13" t="s">
        <v>221</v>
      </c>
    </row>
    <row r="14" spans="1:15" x14ac:dyDescent="0.3">
      <c r="A14">
        <v>2031</v>
      </c>
      <c r="B14" s="45">
        <f t="shared" si="2"/>
        <v>4.7282460086804715E-2</v>
      </c>
      <c r="C14" s="45">
        <f t="shared" si="3"/>
        <v>0.13869102780924863</v>
      </c>
      <c r="D14" s="45">
        <f t="shared" si="4"/>
        <v>0.18397799232659587</v>
      </c>
      <c r="E14" s="45">
        <f t="shared" si="5"/>
        <v>0.14569422962196721</v>
      </c>
      <c r="F14" s="45">
        <f t="shared" si="6"/>
        <v>0.48435429015538339</v>
      </c>
      <c r="G14" s="45">
        <f t="shared" si="0"/>
        <v>0.47336153493861793</v>
      </c>
      <c r="H14">
        <f t="shared" si="7"/>
        <v>0.88611450154257321</v>
      </c>
      <c r="I14" s="46">
        <f t="shared" si="1"/>
        <v>0.41432259917514208</v>
      </c>
      <c r="K14" t="s">
        <v>222</v>
      </c>
      <c r="L14">
        <v>1.4999999999999999E-2</v>
      </c>
      <c r="M14" t="s">
        <v>228</v>
      </c>
    </row>
    <row r="15" spans="1:15" x14ac:dyDescent="0.3">
      <c r="A15">
        <v>2032</v>
      </c>
      <c r="B15" s="45">
        <f t="shared" si="2"/>
        <v>4.7317767597655304E-2</v>
      </c>
      <c r="C15" s="45">
        <f t="shared" si="3"/>
        <v>0.14815240628540471</v>
      </c>
      <c r="D15" s="45">
        <f t="shared" si="4"/>
        <v>0.19510024136742035</v>
      </c>
      <c r="E15" s="45">
        <f t="shared" si="5"/>
        <v>0.14653100832471311</v>
      </c>
      <c r="F15" s="45">
        <f t="shared" si="6"/>
        <v>0.46289857642480636</v>
      </c>
      <c r="G15" s="45">
        <f t="shared" si="0"/>
        <v>0.45400888930594518</v>
      </c>
      <c r="H15">
        <f t="shared" si="7"/>
        <v>0.87282278401943458</v>
      </c>
      <c r="I15" s="46">
        <f t="shared" si="1"/>
        <v>0.39142291302544691</v>
      </c>
    </row>
    <row r="16" spans="1:15" x14ac:dyDescent="0.3">
      <c r="A16">
        <v>2033</v>
      </c>
      <c r="B16" s="45">
        <f t="shared" si="2"/>
        <v>4.7353075108505893E-2</v>
      </c>
      <c r="C16" s="45">
        <f t="shared" si="3"/>
        <v>0.15761378476156079</v>
      </c>
      <c r="D16" s="45">
        <f t="shared" si="4"/>
        <v>0.20622249040824484</v>
      </c>
      <c r="E16" s="45">
        <f t="shared" si="5"/>
        <v>0.14736778702745901</v>
      </c>
      <c r="F16" s="45">
        <f t="shared" si="6"/>
        <v>0.44144286269422933</v>
      </c>
      <c r="G16" s="45">
        <f t="shared" si="0"/>
        <v>0.43465624367327249</v>
      </c>
      <c r="H16">
        <f t="shared" si="7"/>
        <v>0.85973044225914308</v>
      </c>
      <c r="I16" s="46">
        <f t="shared" si="1"/>
        <v>0.36911699487542821</v>
      </c>
    </row>
    <row r="17" spans="1:9" x14ac:dyDescent="0.3">
      <c r="A17">
        <v>2034</v>
      </c>
      <c r="B17" s="45">
        <f t="shared" si="2"/>
        <v>4.7388382619356482E-2</v>
      </c>
      <c r="C17" s="45">
        <f t="shared" si="3"/>
        <v>0.16707516323771687</v>
      </c>
      <c r="D17" s="45">
        <f t="shared" si="4"/>
        <v>0.21734473944906932</v>
      </c>
      <c r="E17" s="45">
        <f t="shared" si="5"/>
        <v>0.14820456573020491</v>
      </c>
      <c r="F17" s="45">
        <f t="shared" si="6"/>
        <v>0.4199871489636523</v>
      </c>
      <c r="G17" s="45">
        <f t="shared" si="0"/>
        <v>0.4153035980405998</v>
      </c>
      <c r="H17">
        <f t="shared" si="7"/>
        <v>0.84683448562525587</v>
      </c>
      <c r="I17" s="46">
        <f t="shared" si="1"/>
        <v>0.34739218411447936</v>
      </c>
    </row>
    <row r="18" spans="1:9" x14ac:dyDescent="0.3">
      <c r="A18">
        <v>2035</v>
      </c>
      <c r="B18" s="45">
        <f t="shared" si="2"/>
        <v>4.7423690130207072E-2</v>
      </c>
      <c r="C18" s="45">
        <f t="shared" si="3"/>
        <v>0.17653654171387295</v>
      </c>
      <c r="D18" s="45">
        <f t="shared" si="4"/>
        <v>0.2284669884898938</v>
      </c>
      <c r="E18" s="45">
        <f t="shared" si="5"/>
        <v>0.14904134443295081</v>
      </c>
      <c r="F18" s="45">
        <f t="shared" si="6"/>
        <v>0.39853143523307527</v>
      </c>
      <c r="G18" s="45">
        <f t="shared" si="0"/>
        <v>0.3959509524079271</v>
      </c>
      <c r="H18">
        <f t="shared" si="7"/>
        <v>0.83413196834087699</v>
      </c>
      <c r="I18" s="46">
        <f t="shared" si="1"/>
        <v>0.32623606635251201</v>
      </c>
    </row>
    <row r="19" spans="1:9" x14ac:dyDescent="0.3">
      <c r="A19">
        <v>2036</v>
      </c>
      <c r="B19" s="45">
        <f t="shared" si="2"/>
        <v>4.7458997641057661E-2</v>
      </c>
      <c r="C19" s="45">
        <f t="shared" si="3"/>
        <v>0.18599792019002903</v>
      </c>
      <c r="D19" s="45">
        <f t="shared" si="4"/>
        <v>0.23958923753071829</v>
      </c>
      <c r="E19" s="45">
        <f t="shared" si="5"/>
        <v>0.14987812313569671</v>
      </c>
      <c r="F19" s="45">
        <f t="shared" si="6"/>
        <v>0.37707572150249824</v>
      </c>
      <c r="G19" s="45">
        <f t="shared" si="0"/>
        <v>0.37659830677525441</v>
      </c>
      <c r="H19">
        <f t="shared" si="7"/>
        <v>0.82161998881576381</v>
      </c>
      <c r="I19" s="46">
        <f t="shared" si="1"/>
        <v>0.30563646888197787</v>
      </c>
    </row>
    <row r="20" spans="1:9" x14ac:dyDescent="0.3">
      <c r="A20">
        <v>2037</v>
      </c>
      <c r="B20" s="45">
        <f t="shared" si="2"/>
        <v>4.749430515190825E-2</v>
      </c>
      <c r="C20" s="45">
        <f t="shared" si="3"/>
        <v>0.19545929866618511</v>
      </c>
      <c r="D20" s="45">
        <f t="shared" si="4"/>
        <v>0.25071148657154274</v>
      </c>
      <c r="E20" s="45">
        <f t="shared" si="5"/>
        <v>0.15071490183844261</v>
      </c>
      <c r="F20" s="45">
        <f t="shared" si="6"/>
        <v>0.35562000777192121</v>
      </c>
      <c r="G20" s="45">
        <f t="shared" si="0"/>
        <v>0.35724566114258166</v>
      </c>
      <c r="H20">
        <f t="shared" si="7"/>
        <v>0.80929568898352733</v>
      </c>
      <c r="I20" s="46">
        <f t="shared" si="1"/>
        <v>0.28558145622063047</v>
      </c>
    </row>
    <row r="21" spans="1:9" x14ac:dyDescent="0.3">
      <c r="A21">
        <v>2038</v>
      </c>
      <c r="B21" s="45">
        <f t="shared" si="2"/>
        <v>4.752961266275884E-2</v>
      </c>
      <c r="C21" s="45">
        <f t="shared" si="3"/>
        <v>0.20492067714234119</v>
      </c>
      <c r="D21" s="45">
        <f t="shared" si="4"/>
        <v>0.26183373561236722</v>
      </c>
      <c r="E21" s="45">
        <f t="shared" si="5"/>
        <v>0.1515516805411885</v>
      </c>
      <c r="F21" s="45">
        <f t="shared" si="6"/>
        <v>0.33416429404134418</v>
      </c>
      <c r="G21" s="45">
        <f t="shared" si="0"/>
        <v>0.33789301550990891</v>
      </c>
      <c r="H21">
        <f t="shared" si="7"/>
        <v>0.7971562536487744</v>
      </c>
      <c r="I21" s="46">
        <f t="shared" si="1"/>
        <v>0.26605932573362501</v>
      </c>
    </row>
    <row r="22" spans="1:9" x14ac:dyDescent="0.3">
      <c r="A22">
        <v>2039</v>
      </c>
      <c r="B22" s="45">
        <f t="shared" si="2"/>
        <v>4.7564920173609429E-2</v>
      </c>
      <c r="C22" s="45">
        <f t="shared" si="3"/>
        <v>0.21438205561849727</v>
      </c>
      <c r="D22" s="45">
        <f t="shared" si="4"/>
        <v>0.27295598465319171</v>
      </c>
      <c r="E22" s="45">
        <f t="shared" si="5"/>
        <v>0.1523884592439344</v>
      </c>
      <c r="F22" s="45">
        <f t="shared" si="6"/>
        <v>0.31270858031076715</v>
      </c>
      <c r="G22" s="45">
        <f t="shared" si="0"/>
        <v>0.31854036987723622</v>
      </c>
      <c r="H22">
        <f t="shared" si="7"/>
        <v>0.78519890984404273</v>
      </c>
      <c r="I22" s="46">
        <f t="shared" si="1"/>
        <v>0.24705860333358018</v>
      </c>
    </row>
    <row r="23" spans="1:9" x14ac:dyDescent="0.3">
      <c r="A23">
        <v>2040</v>
      </c>
      <c r="B23" s="45">
        <f t="shared" si="2"/>
        <v>4.7600227684460018E-2</v>
      </c>
      <c r="C23" s="45">
        <f t="shared" si="3"/>
        <v>0.22384343409465335</v>
      </c>
      <c r="D23" s="45">
        <f t="shared" si="4"/>
        <v>0.28407823369401619</v>
      </c>
      <c r="E23" s="45">
        <f t="shared" si="5"/>
        <v>0.1532252379466803</v>
      </c>
      <c r="F23" s="45">
        <f t="shared" si="6"/>
        <v>0.29125286658019012</v>
      </c>
      <c r="G23" s="45">
        <f t="shared" si="0"/>
        <v>0.29918772424456352</v>
      </c>
      <c r="H23">
        <f t="shared" si="7"/>
        <v>0.77342092619638203</v>
      </c>
      <c r="I23" s="46">
        <f t="shared" si="1"/>
        <v>0.22856803925724656</v>
      </c>
    </row>
    <row r="24" spans="1:9" x14ac:dyDescent="0.3">
      <c r="A24">
        <v>2041</v>
      </c>
      <c r="B24" s="45">
        <f t="shared" si="2"/>
        <v>4.7635535195310608E-2</v>
      </c>
      <c r="C24" s="45">
        <f t="shared" si="3"/>
        <v>0.23330481257080943</v>
      </c>
      <c r="D24" s="45">
        <f t="shared" si="4"/>
        <v>0.29520048273484067</v>
      </c>
      <c r="E24" s="45">
        <f t="shared" si="5"/>
        <v>0.1540620166494262</v>
      </c>
      <c r="F24" s="45">
        <f t="shared" si="6"/>
        <v>0.26979715284961309</v>
      </c>
      <c r="G24" s="45">
        <f t="shared" si="0"/>
        <v>0.27983507861189083</v>
      </c>
      <c r="H24">
        <f t="shared" si="7"/>
        <v>0.76181961230343631</v>
      </c>
      <c r="I24" s="46">
        <f t="shared" si="1"/>
        <v>0.21057660391745292</v>
      </c>
    </row>
    <row r="25" spans="1:9" x14ac:dyDescent="0.3">
      <c r="A25">
        <v>2042</v>
      </c>
      <c r="B25" s="45">
        <f t="shared" si="2"/>
        <v>4.7670842706161197E-2</v>
      </c>
      <c r="C25" s="45">
        <f t="shared" si="3"/>
        <v>0.24276619104696551</v>
      </c>
      <c r="D25" s="45">
        <f t="shared" si="4"/>
        <v>0.30632273177566516</v>
      </c>
      <c r="E25" s="45">
        <f t="shared" si="5"/>
        <v>0.1548987953521721</v>
      </c>
      <c r="F25" s="45">
        <f t="shared" si="6"/>
        <v>0.24834143911903606</v>
      </c>
      <c r="G25" s="45">
        <f t="shared" si="0"/>
        <v>0.26048243297921808</v>
      </c>
      <c r="H25">
        <f t="shared" si="7"/>
        <v>0.75039231811888474</v>
      </c>
      <c r="I25" s="46">
        <f t="shared" si="1"/>
        <v>0.19307348382902015</v>
      </c>
    </row>
    <row r="26" spans="1:9" x14ac:dyDescent="0.3">
      <c r="A26">
        <v>2043</v>
      </c>
      <c r="B26" s="45">
        <f t="shared" si="2"/>
        <v>4.7706150217011786E-2</v>
      </c>
      <c r="C26" s="45">
        <f t="shared" si="3"/>
        <v>0.25222756952312159</v>
      </c>
      <c r="D26" s="45">
        <f t="shared" si="4"/>
        <v>0.31744498081648964</v>
      </c>
      <c r="E26" s="45">
        <f t="shared" si="5"/>
        <v>0.155735574054918</v>
      </c>
      <c r="F26" s="45">
        <f t="shared" si="6"/>
        <v>0.22688572538845903</v>
      </c>
      <c r="G26" s="45">
        <f t="shared" si="0"/>
        <v>0.24112978734654539</v>
      </c>
      <c r="H26">
        <f t="shared" si="7"/>
        <v>0.73913643334710144</v>
      </c>
      <c r="I26" s="46">
        <f t="shared" si="1"/>
        <v>0.17604807760735899</v>
      </c>
    </row>
    <row r="27" spans="1:9" x14ac:dyDescent="0.3">
      <c r="A27">
        <v>2044</v>
      </c>
      <c r="B27" s="45">
        <f t="shared" si="2"/>
        <v>4.7741457727862376E-2</v>
      </c>
      <c r="C27" s="45">
        <f t="shared" si="3"/>
        <v>0.26168894799927767</v>
      </c>
      <c r="D27" s="45">
        <f t="shared" si="4"/>
        <v>0.32856722985731412</v>
      </c>
      <c r="E27" s="45">
        <f t="shared" si="5"/>
        <v>0.1565723527576639</v>
      </c>
      <c r="F27" s="45">
        <f t="shared" si="6"/>
        <v>0.20543001165788199</v>
      </c>
      <c r="G27" s="45">
        <f t="shared" si="0"/>
        <v>0.22177714171387269</v>
      </c>
      <c r="H27">
        <f t="shared" si="7"/>
        <v>0.72804938684689491</v>
      </c>
      <c r="I27" s="46">
        <f t="shared" si="1"/>
        <v>0.15948999203848616</v>
      </c>
    </row>
    <row r="28" spans="1:9" x14ac:dyDescent="0.3">
      <c r="A28">
        <v>2045</v>
      </c>
      <c r="B28" s="45">
        <f t="shared" si="2"/>
        <v>4.7776765238712965E-2</v>
      </c>
      <c r="C28" s="45">
        <f t="shared" si="3"/>
        <v>0.27115032647543374</v>
      </c>
      <c r="D28" s="45">
        <f t="shared" si="4"/>
        <v>0.33968947889813861</v>
      </c>
      <c r="E28" s="45">
        <f t="shared" si="5"/>
        <v>0.1574091314604098</v>
      </c>
      <c r="F28" s="45">
        <f t="shared" si="6"/>
        <v>0.18397429792730496</v>
      </c>
      <c r="G28" s="45">
        <f t="shared" si="0"/>
        <v>0.20242449608119994</v>
      </c>
      <c r="H28">
        <f t="shared" si="7"/>
        <v>0.71712864604419146</v>
      </c>
      <c r="I28" s="46">
        <f t="shared" si="1"/>
        <v>0.14338903821921781</v>
      </c>
    </row>
    <row r="29" spans="1:9" x14ac:dyDescent="0.3">
      <c r="A29">
        <v>2046</v>
      </c>
      <c r="B29" s="45">
        <f t="shared" si="2"/>
        <v>4.7812072749563554E-2</v>
      </c>
      <c r="C29" s="45">
        <f t="shared" si="3"/>
        <v>0.28061170495158982</v>
      </c>
      <c r="D29" s="45">
        <f t="shared" si="4"/>
        <v>0.35081172793896309</v>
      </c>
      <c r="E29" s="45">
        <f t="shared" si="5"/>
        <v>0.1582459101631557</v>
      </c>
      <c r="F29" s="45">
        <f t="shared" si="6"/>
        <v>0.16251858419672793</v>
      </c>
      <c r="G29" s="45">
        <f t="shared" si="0"/>
        <v>0.18307185044852725</v>
      </c>
      <c r="H29">
        <f t="shared" si="7"/>
        <v>0.70637171635352858</v>
      </c>
      <c r="I29" s="46">
        <f t="shared" si="1"/>
        <v>0.12773522776631888</v>
      </c>
    </row>
    <row r="30" spans="1:9" x14ac:dyDescent="0.3">
      <c r="A30">
        <v>2047</v>
      </c>
      <c r="B30" s="45">
        <f t="shared" si="2"/>
        <v>4.7847380260414143E-2</v>
      </c>
      <c r="C30" s="45">
        <f t="shared" si="3"/>
        <v>0.2900730834277459</v>
      </c>
      <c r="D30" s="45">
        <f t="shared" si="4"/>
        <v>0.36193397697978757</v>
      </c>
      <c r="E30" s="45">
        <f t="shared" si="5"/>
        <v>0.1590826888659016</v>
      </c>
      <c r="F30" s="45">
        <f t="shared" si="6"/>
        <v>0.1410628704661509</v>
      </c>
      <c r="G30" s="45">
        <f t="shared" si="0"/>
        <v>0.16371920481585456</v>
      </c>
      <c r="H30">
        <f t="shared" si="7"/>
        <v>0.69577614060822568</v>
      </c>
      <c r="I30" s="46">
        <f t="shared" si="1"/>
        <v>0.11251876909340759</v>
      </c>
    </row>
    <row r="31" spans="1:9" x14ac:dyDescent="0.3">
      <c r="A31">
        <v>2048</v>
      </c>
      <c r="B31" s="45">
        <f t="shared" si="2"/>
        <v>4.7882687771264733E-2</v>
      </c>
      <c r="C31" s="45">
        <f t="shared" si="3"/>
        <v>0.29953446190390198</v>
      </c>
      <c r="D31" s="45">
        <f t="shared" si="4"/>
        <v>0.37305622602061206</v>
      </c>
      <c r="E31" s="45">
        <f t="shared" si="5"/>
        <v>0.1599194675686475</v>
      </c>
      <c r="F31" s="45">
        <f t="shared" si="6"/>
        <v>0.11960715673557387</v>
      </c>
      <c r="G31" s="45">
        <f t="shared" si="0"/>
        <v>0.14436655918318184</v>
      </c>
      <c r="H31">
        <f t="shared" si="7"/>
        <v>0.68533949849910225</v>
      </c>
      <c r="I31" s="46">
        <f t="shared" si="1"/>
        <v>9.7730063754436186E-2</v>
      </c>
    </row>
    <row r="32" spans="1:9" x14ac:dyDescent="0.3">
      <c r="A32">
        <v>2049</v>
      </c>
      <c r="B32" s="45">
        <f t="shared" si="2"/>
        <v>4.7917995282115322E-2</v>
      </c>
      <c r="C32" s="45">
        <f t="shared" si="3"/>
        <v>0.30899584038005806</v>
      </c>
      <c r="D32" s="45">
        <f t="shared" si="4"/>
        <v>0.38417847506143654</v>
      </c>
      <c r="E32" s="45">
        <f t="shared" si="5"/>
        <v>0.1607562462713934</v>
      </c>
      <c r="F32" s="45">
        <f t="shared" si="6"/>
        <v>9.8151443004996841E-2</v>
      </c>
      <c r="G32" s="45">
        <f t="shared" si="0"/>
        <v>0.12501391355050911</v>
      </c>
      <c r="H32">
        <f t="shared" si="7"/>
        <v>0.67505940602161574</v>
      </c>
      <c r="I32" s="46">
        <f t="shared" si="1"/>
        <v>8.3359702852587939E-2</v>
      </c>
    </row>
    <row r="33" spans="1:17" x14ac:dyDescent="0.3">
      <c r="A33">
        <v>2050</v>
      </c>
      <c r="B33" s="45">
        <v>4.7953302792965863E-2</v>
      </c>
      <c r="C33" s="45">
        <v>0.31845721885621397</v>
      </c>
      <c r="D33" s="45">
        <v>0.39530072410226097</v>
      </c>
      <c r="E33" s="45">
        <v>0.16159302497413922</v>
      </c>
      <c r="F33" s="45">
        <v>7.6695729274419977E-2</v>
      </c>
      <c r="G33" s="45">
        <f t="shared" si="0"/>
        <v>0.10566126791783656</v>
      </c>
      <c r="H33">
        <f t="shared" si="7"/>
        <v>0.66493351493129149</v>
      </c>
      <c r="I33" s="46">
        <f t="shared" si="1"/>
        <v>6.9398463513450498E-2</v>
      </c>
    </row>
    <row r="37" spans="1:17" x14ac:dyDescent="0.3">
      <c r="B37" s="57" t="s">
        <v>93</v>
      </c>
      <c r="C37" s="57"/>
      <c r="D37" s="57"/>
      <c r="E37" s="57" t="s">
        <v>94</v>
      </c>
      <c r="F37" s="57"/>
      <c r="G37" s="57"/>
    </row>
    <row r="38" spans="1:17" x14ac:dyDescent="0.3">
      <c r="B38" t="s">
        <v>1</v>
      </c>
      <c r="C38" t="s">
        <v>2</v>
      </c>
      <c r="D38" t="s">
        <v>3</v>
      </c>
      <c r="E38" t="s">
        <v>1</v>
      </c>
      <c r="F38" t="s">
        <v>2</v>
      </c>
      <c r="G38" t="s">
        <v>3</v>
      </c>
      <c r="J38" s="52" t="s">
        <v>101</v>
      </c>
      <c r="K38" s="52"/>
      <c r="L38" s="52"/>
      <c r="M38" s="7"/>
      <c r="N38" s="7"/>
      <c r="O38" s="7"/>
    </row>
    <row r="39" spans="1:17" x14ac:dyDescent="0.3">
      <c r="A39" t="s">
        <v>98</v>
      </c>
      <c r="B39" s="7">
        <f>'Case (Ave)'!C27</f>
        <v>805.5625591733766</v>
      </c>
      <c r="C39" s="7">
        <f>'Case (Ave)'!I27</f>
        <v>1212.7863248691724</v>
      </c>
      <c r="D39" s="7">
        <f>'Case (Ave)'!O27</f>
        <v>603.06738907494719</v>
      </c>
      <c r="E39" s="7">
        <f>'Case (Ave)'!C67</f>
        <v>397.97712508525888</v>
      </c>
      <c r="F39" s="7">
        <f>'Case (Ave)'!I67</f>
        <v>484.65934839925148</v>
      </c>
      <c r="G39" s="7">
        <f>'Case (Ave)'!O67</f>
        <v>337.59723372350095</v>
      </c>
      <c r="J39" s="3" t="s">
        <v>102</v>
      </c>
      <c r="K39" s="3" t="s">
        <v>17</v>
      </c>
      <c r="L39" s="3" t="s">
        <v>18</v>
      </c>
    </row>
    <row r="40" spans="1:17" x14ac:dyDescent="0.3">
      <c r="A40" t="s">
        <v>99</v>
      </c>
      <c r="B40" s="7">
        <f>'Case (Ave)'!D28</f>
        <v>1022.6394336366154</v>
      </c>
      <c r="C40" s="7">
        <f>'Case (Ave)'!J28</f>
        <v>1425.2745704049576</v>
      </c>
      <c r="D40" s="7">
        <f>'Case (Ave)'!P28</f>
        <v>822.42599479617252</v>
      </c>
      <c r="E40" s="7">
        <f>'Case (Ave)'!D68</f>
        <v>549.33924880548307</v>
      </c>
      <c r="F40" s="7">
        <f>'Case (Ave)'!J68</f>
        <v>626.45280210584292</v>
      </c>
      <c r="G40" s="7">
        <f>'Case (Ave)'!P68</f>
        <v>495.4894776530939</v>
      </c>
      <c r="J40" s="3">
        <v>2020</v>
      </c>
      <c r="K40" s="1">
        <v>0.95</v>
      </c>
      <c r="L40" s="1">
        <v>0.05</v>
      </c>
    </row>
    <row r="41" spans="1:17" x14ac:dyDescent="0.3">
      <c r="B41" s="7"/>
      <c r="C41" s="7"/>
      <c r="J41" s="3">
        <v>2021</v>
      </c>
      <c r="K41" s="1">
        <v>0.95</v>
      </c>
      <c r="L41" s="1">
        <v>0.05</v>
      </c>
    </row>
    <row r="42" spans="1:17" x14ac:dyDescent="0.3">
      <c r="B42" s="7"/>
      <c r="C42" s="7"/>
      <c r="G42" s="7"/>
      <c r="H42" s="7"/>
      <c r="I42" s="7"/>
      <c r="J42" s="3">
        <v>2022</v>
      </c>
      <c r="K42" s="1">
        <v>0.92500000000000004</v>
      </c>
      <c r="L42" s="1">
        <v>7.4999999999999997E-2</v>
      </c>
    </row>
    <row r="43" spans="1:17" x14ac:dyDescent="0.3">
      <c r="B43" s="7"/>
      <c r="C43" s="7"/>
      <c r="I43" s="7"/>
      <c r="J43" s="3">
        <v>2023</v>
      </c>
      <c r="K43" s="1">
        <v>0.7</v>
      </c>
      <c r="L43" s="1">
        <v>0.3</v>
      </c>
    </row>
    <row r="44" spans="1:17" x14ac:dyDescent="0.3">
      <c r="B44" s="7"/>
      <c r="C44" s="7"/>
      <c r="J44" s="3">
        <v>2024</v>
      </c>
      <c r="K44" s="1">
        <v>0.35</v>
      </c>
      <c r="L44" s="1">
        <v>0.65</v>
      </c>
    </row>
    <row r="45" spans="1:17" x14ac:dyDescent="0.3">
      <c r="B45" s="7"/>
      <c r="C45" s="7"/>
    </row>
    <row r="46" spans="1:17" ht="15.5" x14ac:dyDescent="0.35">
      <c r="B46" s="57" t="s">
        <v>93</v>
      </c>
      <c r="C46" s="57"/>
      <c r="D46" s="57"/>
      <c r="E46" s="57" t="s">
        <v>94</v>
      </c>
      <c r="F46" s="57"/>
      <c r="G46" s="57"/>
      <c r="J46" s="57" t="s">
        <v>103</v>
      </c>
      <c r="K46" s="57"/>
      <c r="L46" s="57"/>
      <c r="O46" s="21" t="s">
        <v>111</v>
      </c>
    </row>
    <row r="47" spans="1:17" x14ac:dyDescent="0.3">
      <c r="B47" t="s">
        <v>1</v>
      </c>
      <c r="C47" t="s">
        <v>2</v>
      </c>
      <c r="D47" t="s">
        <v>3</v>
      </c>
      <c r="E47" t="s">
        <v>1</v>
      </c>
      <c r="F47" t="s">
        <v>2</v>
      </c>
      <c r="G47" t="s">
        <v>3</v>
      </c>
      <c r="J47" t="s">
        <v>1</v>
      </c>
      <c r="K47" t="s">
        <v>2</v>
      </c>
      <c r="L47" t="s">
        <v>3</v>
      </c>
      <c r="O47" t="s">
        <v>95</v>
      </c>
      <c r="P47" t="s">
        <v>96</v>
      </c>
      <c r="Q47" t="s">
        <v>97</v>
      </c>
    </row>
    <row r="48" spans="1:17" x14ac:dyDescent="0.3">
      <c r="A48">
        <v>2020</v>
      </c>
      <c r="B48">
        <f t="shared" ref="B48:G57" si="8">B$39*$I3+B$40</f>
        <v>1537.3871222077232</v>
      </c>
      <c r="C48">
        <f t="shared" si="8"/>
        <v>2200.2348144580765</v>
      </c>
      <c r="D48">
        <f t="shared" si="8"/>
        <v>1207.7809756650518</v>
      </c>
      <c r="E48">
        <f t="shared" si="8"/>
        <v>803.64327883888632</v>
      </c>
      <c r="F48">
        <f t="shared" si="8"/>
        <v>936.14604255248628</v>
      </c>
      <c r="G48">
        <f t="shared" si="8"/>
        <v>711.21126579763325</v>
      </c>
      <c r="I48">
        <v>2020</v>
      </c>
      <c r="J48">
        <f>B48*$K40+E48*$L40</f>
        <v>1500.6999300392813</v>
      </c>
      <c r="K48">
        <f>C48*$K40+F48*$L40</f>
        <v>2137.0303758627965</v>
      </c>
      <c r="L48">
        <f>D48*$K40+G48*$L40</f>
        <v>1182.9524901716807</v>
      </c>
      <c r="N48">
        <v>2020</v>
      </c>
      <c r="O48">
        <f>J48/Temperature!$G15</f>
        <v>1500.6999300392813</v>
      </c>
      <c r="P48">
        <f>K48/Temperature!$G15</f>
        <v>2137.0303758627965</v>
      </c>
      <c r="Q48">
        <f>L48/Temperature!$G15</f>
        <v>1182.9524901716807</v>
      </c>
    </row>
    <row r="49" spans="1:17" x14ac:dyDescent="0.3">
      <c r="A49">
        <v>2021</v>
      </c>
      <c r="B49">
        <f t="shared" si="8"/>
        <v>1537.3871222077232</v>
      </c>
      <c r="C49">
        <f t="shared" si="8"/>
        <v>2200.2348144580765</v>
      </c>
      <c r="D49">
        <f t="shared" si="8"/>
        <v>1207.7809756650518</v>
      </c>
      <c r="E49">
        <f t="shared" si="8"/>
        <v>803.64327883888632</v>
      </c>
      <c r="F49">
        <f t="shared" si="8"/>
        <v>936.14604255248628</v>
      </c>
      <c r="G49">
        <f t="shared" si="8"/>
        <v>711.21126579763325</v>
      </c>
      <c r="I49">
        <v>2021</v>
      </c>
      <c r="J49">
        <f t="shared" ref="J49:L49" si="9">B49*$K41+E49*$L41</f>
        <v>1500.6999300392813</v>
      </c>
      <c r="K49">
        <f t="shared" si="9"/>
        <v>2137.0303758627965</v>
      </c>
      <c r="L49">
        <f t="shared" si="9"/>
        <v>1182.9524901716807</v>
      </c>
      <c r="N49">
        <v>2021</v>
      </c>
      <c r="O49">
        <f>J49/Temperature!$G16</f>
        <v>1505.6434593976369</v>
      </c>
      <c r="P49">
        <f>K49/Temperature!$G16</f>
        <v>2144.0700726011705</v>
      </c>
      <c r="Q49">
        <f>L49/Temperature!$G16</f>
        <v>1186.8493120796757</v>
      </c>
    </row>
    <row r="50" spans="1:17" x14ac:dyDescent="0.3">
      <c r="A50">
        <v>2022</v>
      </c>
      <c r="B50">
        <f t="shared" si="8"/>
        <v>1537.3871222077232</v>
      </c>
      <c r="C50">
        <f t="shared" si="8"/>
        <v>2200.2348144580765</v>
      </c>
      <c r="D50">
        <f t="shared" si="8"/>
        <v>1207.7809756650518</v>
      </c>
      <c r="E50">
        <f t="shared" si="8"/>
        <v>803.64327883888632</v>
      </c>
      <c r="F50">
        <f t="shared" si="8"/>
        <v>936.14604255248628</v>
      </c>
      <c r="G50">
        <f t="shared" si="8"/>
        <v>711.21126579763325</v>
      </c>
      <c r="I50">
        <v>2022</v>
      </c>
      <c r="J50">
        <f t="shared" ref="J50:L50" si="10">B50*$K42+E50*$L42</f>
        <v>1482.3563339550606</v>
      </c>
      <c r="K50">
        <f t="shared" si="10"/>
        <v>2105.4281565651572</v>
      </c>
      <c r="L50">
        <f t="shared" si="10"/>
        <v>1170.5382474249955</v>
      </c>
      <c r="N50">
        <v>2022</v>
      </c>
      <c r="O50">
        <f>J50/Temperature!$G17</f>
        <v>1492.0797201312491</v>
      </c>
      <c r="P50">
        <f>K50/Temperature!$G17</f>
        <v>2119.2385276369246</v>
      </c>
      <c r="Q50">
        <f>L50/Temperature!$G17</f>
        <v>1178.2162902497898</v>
      </c>
    </row>
    <row r="51" spans="1:17" x14ac:dyDescent="0.3">
      <c r="A51">
        <v>2023</v>
      </c>
      <c r="B51">
        <f t="shared" si="8"/>
        <v>1522.4910016036956</v>
      </c>
      <c r="C51">
        <f t="shared" si="8"/>
        <v>2177.8084849862789</v>
      </c>
      <c r="D51">
        <f t="shared" si="8"/>
        <v>1196.6293097171772</v>
      </c>
      <c r="E51">
        <f t="shared" si="8"/>
        <v>796.28405492088621</v>
      </c>
      <c r="F51">
        <f t="shared" si="8"/>
        <v>927.18392778757857</v>
      </c>
      <c r="G51">
        <f t="shared" si="8"/>
        <v>704.96856117852622</v>
      </c>
      <c r="I51">
        <v>2023</v>
      </c>
      <c r="J51">
        <f t="shared" ref="J51:L51" si="11">B51*$K43+E51*$L43</f>
        <v>1304.6289175988527</v>
      </c>
      <c r="K51">
        <f t="shared" si="11"/>
        <v>1802.6211178266688</v>
      </c>
      <c r="L51">
        <f t="shared" si="11"/>
        <v>1049.1310851555818</v>
      </c>
      <c r="N51">
        <v>2023</v>
      </c>
      <c r="O51">
        <f>J51/Temperature!$G18</f>
        <v>1316.6100692288348</v>
      </c>
      <c r="P51">
        <f>K51/Temperature!$G18</f>
        <v>1819.1756159316465</v>
      </c>
      <c r="Q51">
        <f>L51/Temperature!$G18</f>
        <v>1058.7658544309029</v>
      </c>
    </row>
    <row r="52" spans="1:17" x14ac:dyDescent="0.3">
      <c r="A52">
        <v>2024</v>
      </c>
      <c r="B52">
        <f t="shared" si="8"/>
        <v>1499.8251113725294</v>
      </c>
      <c r="C52">
        <f t="shared" si="8"/>
        <v>2143.684652640407</v>
      </c>
      <c r="D52">
        <f t="shared" si="8"/>
        <v>1179.6609699065546</v>
      </c>
      <c r="E52">
        <f t="shared" si="8"/>
        <v>785.08628296763914</v>
      </c>
      <c r="F52">
        <f t="shared" si="8"/>
        <v>913.54720216617125</v>
      </c>
      <c r="G52">
        <f t="shared" si="8"/>
        <v>695.46968147665154</v>
      </c>
      <c r="I52">
        <v>2024</v>
      </c>
      <c r="J52">
        <f>B52*$K$44+E52*$L$44</f>
        <v>1035.2448729093508</v>
      </c>
      <c r="K52">
        <f t="shared" ref="K52:L52" si="12">C52*$K$44+F52*$L$44</f>
        <v>1344.0953098321538</v>
      </c>
      <c r="L52">
        <f t="shared" si="12"/>
        <v>864.93663242711762</v>
      </c>
      <c r="N52">
        <v>2024</v>
      </c>
      <c r="O52">
        <f>J52/Temperature!$G19</f>
        <v>1046.4770600202344</v>
      </c>
      <c r="P52">
        <f>K52/Temperature!$G19</f>
        <v>1358.6784586213562</v>
      </c>
      <c r="Q52">
        <f>L52/Temperature!$G19</f>
        <v>874.32101128153931</v>
      </c>
    </row>
    <row r="53" spans="1:17" x14ac:dyDescent="0.3">
      <c r="A53">
        <v>2025</v>
      </c>
      <c r="B53">
        <f t="shared" si="8"/>
        <v>1477.7267312455056</v>
      </c>
      <c r="C53">
        <f t="shared" si="8"/>
        <v>2110.4152151341295</v>
      </c>
      <c r="D53">
        <f t="shared" si="8"/>
        <v>1163.1174845443932</v>
      </c>
      <c r="E53">
        <f t="shared" si="8"/>
        <v>774.16888159161351</v>
      </c>
      <c r="F53">
        <f t="shared" si="8"/>
        <v>900.2519138101278</v>
      </c>
      <c r="G53">
        <f t="shared" si="8"/>
        <v>686.20863537203979</v>
      </c>
      <c r="I53">
        <v>2025</v>
      </c>
      <c r="J53">
        <f t="shared" ref="J53:J78" si="13">B53*$K$44+E53*$L$44</f>
        <v>1020.4141289704758</v>
      </c>
      <c r="K53">
        <f t="shared" ref="K53:K78" si="14">C53*$K$44+F53*$L$44</f>
        <v>1323.8090692735284</v>
      </c>
      <c r="L53">
        <f t="shared" ref="L53:L78" si="15">D53*$K$44+G53*$L$44</f>
        <v>853.1267325823635</v>
      </c>
      <c r="N53">
        <v>2025</v>
      </c>
      <c r="O53">
        <f>J53/Temperature!$G20</f>
        <v>1034.290864739058</v>
      </c>
      <c r="P53">
        <f>K53/Temperature!$G20</f>
        <v>1341.8117097121665</v>
      </c>
      <c r="Q53">
        <f>L53/Temperature!$G20</f>
        <v>864.72850671411106</v>
      </c>
    </row>
    <row r="54" spans="1:17" x14ac:dyDescent="0.3">
      <c r="A54">
        <v>2026</v>
      </c>
      <c r="B54">
        <f t="shared" si="8"/>
        <v>1456.1839357448021</v>
      </c>
      <c r="C54">
        <f t="shared" si="8"/>
        <v>2077.9822184845384</v>
      </c>
      <c r="D54">
        <f t="shared" si="8"/>
        <v>1146.9899258736968</v>
      </c>
      <c r="E54">
        <f t="shared" si="8"/>
        <v>763.52595917418216</v>
      </c>
      <c r="F54">
        <f t="shared" si="8"/>
        <v>887.29088786475222</v>
      </c>
      <c r="G54">
        <f t="shared" si="8"/>
        <v>677.18042510470627</v>
      </c>
      <c r="I54">
        <v>2026</v>
      </c>
      <c r="J54">
        <f t="shared" si="13"/>
        <v>1005.9562509738992</v>
      </c>
      <c r="K54">
        <f t="shared" si="14"/>
        <v>1304.0328535816773</v>
      </c>
      <c r="L54">
        <f t="shared" si="15"/>
        <v>841.61375037385301</v>
      </c>
      <c r="N54">
        <v>2026</v>
      </c>
      <c r="O54">
        <f>J54/Temperature!$G21</f>
        <v>1022.4171673685323</v>
      </c>
      <c r="P54">
        <f>K54/Temperature!$G21</f>
        <v>1325.3713320273168</v>
      </c>
      <c r="Q54">
        <f>L54/Temperature!$G21</f>
        <v>855.38545621897833</v>
      </c>
    </row>
    <row r="55" spans="1:17" x14ac:dyDescent="0.3">
      <c r="A55">
        <v>2027</v>
      </c>
      <c r="B55">
        <f t="shared" si="8"/>
        <v>1435.1850294671574</v>
      </c>
      <c r="C55">
        <f t="shared" si="8"/>
        <v>2046.3680550893703</v>
      </c>
      <c r="D55">
        <f t="shared" si="8"/>
        <v>1131.2695383779283</v>
      </c>
      <c r="E55">
        <f t="shared" si="8"/>
        <v>753.15173776189681</v>
      </c>
      <c r="F55">
        <f t="shared" si="8"/>
        <v>874.65708789760424</v>
      </c>
      <c r="G55">
        <f t="shared" si="8"/>
        <v>668.38014933490581</v>
      </c>
      <c r="I55">
        <v>2027</v>
      </c>
      <c r="J55">
        <f t="shared" si="13"/>
        <v>991.86338985873795</v>
      </c>
      <c r="K55">
        <f t="shared" si="14"/>
        <v>1284.7559264147224</v>
      </c>
      <c r="L55">
        <f t="shared" si="15"/>
        <v>830.39143549996368</v>
      </c>
      <c r="N55">
        <v>2027</v>
      </c>
      <c r="O55">
        <f>J55/Temperature!$G22</f>
        <v>1010.8505323581993</v>
      </c>
      <c r="P55">
        <f>K55/Temperature!$G22</f>
        <v>1309.3498816925132</v>
      </c>
      <c r="Q55">
        <f>L55/Temperature!$G22</f>
        <v>846.2875363918572</v>
      </c>
    </row>
    <row r="56" spans="1:17" x14ac:dyDescent="0.3">
      <c r="A56">
        <v>2028</v>
      </c>
      <c r="B56">
        <f t="shared" si="8"/>
        <v>1414.7185428648677</v>
      </c>
      <c r="C56">
        <f t="shared" si="8"/>
        <v>2015.5554573752397</v>
      </c>
      <c r="D56">
        <f t="shared" si="8"/>
        <v>1115.94773562254</v>
      </c>
      <c r="E56">
        <f t="shared" si="8"/>
        <v>743.04055098214712</v>
      </c>
      <c r="F56">
        <f t="shared" si="8"/>
        <v>862.34361336017514</v>
      </c>
      <c r="G56">
        <f t="shared" si="8"/>
        <v>659.80300137502286</v>
      </c>
      <c r="I56">
        <v>2028</v>
      </c>
      <c r="J56">
        <f t="shared" si="13"/>
        <v>978.12784814109932</v>
      </c>
      <c r="K56">
        <f t="shared" si="14"/>
        <v>1265.9677587654478</v>
      </c>
      <c r="L56">
        <f t="shared" si="15"/>
        <v>819.45365836165388</v>
      </c>
      <c r="N56">
        <v>2028</v>
      </c>
      <c r="O56">
        <f>J56/Temperature!$G23</f>
        <v>999.58561943837606</v>
      </c>
      <c r="P56">
        <f>K56/Temperature!$G23</f>
        <v>1293.7400450662019</v>
      </c>
      <c r="Q56">
        <f>L56/Temperature!$G23</f>
        <v>837.43049975642487</v>
      </c>
    </row>
    <row r="57" spans="1:17" x14ac:dyDescent="0.3">
      <c r="A57">
        <v>2029</v>
      </c>
      <c r="B57">
        <f t="shared" si="8"/>
        <v>1394.7732281015851</v>
      </c>
      <c r="C57">
        <f t="shared" si="8"/>
        <v>1985.5274915584787</v>
      </c>
      <c r="D57">
        <f t="shared" si="8"/>
        <v>1101.0160971525077</v>
      </c>
      <c r="E57">
        <f t="shared" si="8"/>
        <v>733.18684199577478</v>
      </c>
      <c r="F57">
        <f t="shared" si="8"/>
        <v>850.34369709456564</v>
      </c>
      <c r="G57">
        <f t="shared" si="8"/>
        <v>651.44426745280794</v>
      </c>
      <c r="I57">
        <v>2029</v>
      </c>
      <c r="J57">
        <f t="shared" si="13"/>
        <v>964.74207713280839</v>
      </c>
      <c r="K57">
        <f t="shared" si="14"/>
        <v>1247.6580251569351</v>
      </c>
      <c r="L57">
        <f t="shared" si="15"/>
        <v>808.79440784770281</v>
      </c>
      <c r="N57">
        <v>2029</v>
      </c>
      <c r="O57">
        <f>J57/Temperature!$G24</f>
        <v>988.61718208004106</v>
      </c>
      <c r="P57">
        <f>K57/Temperature!$G24</f>
        <v>1278.5346366315875</v>
      </c>
      <c r="Q57">
        <f>L57/Temperature!$G24</f>
        <v>828.81017353866116</v>
      </c>
    </row>
    <row r="58" spans="1:17" x14ac:dyDescent="0.3">
      <c r="A58">
        <v>2030</v>
      </c>
      <c r="B58">
        <f t="shared" ref="B58:G67" si="16">B$39*$I13+B$40</f>
        <v>1375.3380549816243</v>
      </c>
      <c r="C58">
        <f t="shared" si="16"/>
        <v>1956.2675515166525</v>
      </c>
      <c r="D58">
        <f t="shared" si="16"/>
        <v>1086.4663654448902</v>
      </c>
      <c r="E58">
        <f t="shared" si="16"/>
        <v>723.58516148600381</v>
      </c>
      <c r="F58">
        <f t="shared" si="16"/>
        <v>838.6507028843921</v>
      </c>
      <c r="G58">
        <f t="shared" si="16"/>
        <v>643.29932500542202</v>
      </c>
      <c r="I58">
        <v>2030</v>
      </c>
      <c r="J58">
        <f t="shared" si="13"/>
        <v>951.69867420947094</v>
      </c>
      <c r="K58">
        <f t="shared" si="14"/>
        <v>1229.8165999056832</v>
      </c>
      <c r="L58">
        <f t="shared" si="15"/>
        <v>798.4077891592359</v>
      </c>
      <c r="N58">
        <v>2030</v>
      </c>
      <c r="O58">
        <f>J58/Temperature!$G25</f>
        <v>977.94006597993211</v>
      </c>
      <c r="P58">
        <f>K58/Temperature!$G25</f>
        <v>1263.7265969231198</v>
      </c>
      <c r="Q58">
        <f>L58/Temperature!$G25</f>
        <v>820.42245846128003</v>
      </c>
    </row>
    <row r="59" spans="1:17" x14ac:dyDescent="0.3">
      <c r="A59">
        <v>2031</v>
      </c>
      <c r="B59">
        <f t="shared" si="16"/>
        <v>1356.4022069515081</v>
      </c>
      <c r="C59">
        <f t="shared" si="16"/>
        <v>1927.7593527688214</v>
      </c>
      <c r="D59">
        <f t="shared" si="16"/>
        <v>1072.2904429154714</v>
      </c>
      <c r="E59">
        <f t="shared" si="16"/>
        <v>714.2301656830582</v>
      </c>
      <c r="F59">
        <f t="shared" si="16"/>
        <v>827.25812304915155</v>
      </c>
      <c r="G59">
        <f t="shared" si="16"/>
        <v>635.36364100375272</v>
      </c>
      <c r="I59">
        <v>2031</v>
      </c>
      <c r="J59">
        <f t="shared" si="13"/>
        <v>938.99038012701567</v>
      </c>
      <c r="K59">
        <f t="shared" si="14"/>
        <v>1212.433553451036</v>
      </c>
      <c r="L59">
        <f t="shared" si="15"/>
        <v>788.28802167285426</v>
      </c>
      <c r="N59">
        <v>2031</v>
      </c>
      <c r="O59">
        <f>J59/Temperature!$G26</f>
        <v>967.54920757047023</v>
      </c>
      <c r="P59">
        <f>K59/Temperature!$G26</f>
        <v>1249.3089904869073</v>
      </c>
      <c r="Q59">
        <f>L59/Temperature!$G26</f>
        <v>812.26332755793908</v>
      </c>
    </row>
    <row r="60" spans="1:17" x14ac:dyDescent="0.3">
      <c r="A60">
        <v>2032</v>
      </c>
      <c r="B60">
        <f t="shared" si="16"/>
        <v>1337.9550771724926</v>
      </c>
      <c r="C60">
        <f t="shared" si="16"/>
        <v>1899.9869265626751</v>
      </c>
      <c r="D60">
        <f t="shared" si="16"/>
        <v>1058.4803889785389</v>
      </c>
      <c r="E60">
        <f t="shared" si="16"/>
        <v>705.11661442384775</v>
      </c>
      <c r="F60">
        <f t="shared" si="16"/>
        <v>816.15957608129293</v>
      </c>
      <c r="G60">
        <f t="shared" si="16"/>
        <v>627.6327703064793</v>
      </c>
      <c r="I60">
        <v>2032</v>
      </c>
      <c r="J60">
        <f t="shared" si="13"/>
        <v>926.61007638587341</v>
      </c>
      <c r="K60">
        <f t="shared" si="14"/>
        <v>1195.4991487497766</v>
      </c>
      <c r="L60">
        <f t="shared" si="15"/>
        <v>778.42943684170018</v>
      </c>
      <c r="N60">
        <v>2032</v>
      </c>
      <c r="O60">
        <f>J60/Temperature!$G27</f>
        <v>957.43963255411552</v>
      </c>
      <c r="P60">
        <f>K60/Temperature!$G27</f>
        <v>1235.2750038745362</v>
      </c>
      <c r="Q60">
        <f>L60/Temperature!$G27</f>
        <v>804.32882500692278</v>
      </c>
    </row>
    <row r="61" spans="1:17" x14ac:dyDescent="0.3">
      <c r="A61">
        <v>2033</v>
      </c>
      <c r="B61">
        <f t="shared" si="16"/>
        <v>1319.9862646628515</v>
      </c>
      <c r="C61">
        <f t="shared" si="16"/>
        <v>1872.9346140666812</v>
      </c>
      <c r="D61">
        <f t="shared" si="16"/>
        <v>1045.0284171588876</v>
      </c>
      <c r="E61">
        <f t="shared" si="16"/>
        <v>696.23936924611621</v>
      </c>
      <c r="F61">
        <f t="shared" si="16"/>
        <v>805.34880432525779</v>
      </c>
      <c r="G61">
        <f t="shared" si="16"/>
        <v>620.10235404337016</v>
      </c>
      <c r="I61">
        <v>2033</v>
      </c>
      <c r="J61">
        <f t="shared" si="13"/>
        <v>914.55078264197346</v>
      </c>
      <c r="K61">
        <f t="shared" si="14"/>
        <v>1179.003837734756</v>
      </c>
      <c r="L61">
        <f t="shared" si="15"/>
        <v>768.82647613380118</v>
      </c>
      <c r="N61">
        <v>2033</v>
      </c>
      <c r="O61">
        <f>J61/Temperature!$G28</f>
        <v>947.6064544617816</v>
      </c>
      <c r="P61">
        <f>K61/Temperature!$G28</f>
        <v>1221.6179436697691</v>
      </c>
      <c r="Q61">
        <f>L61/Temperature!$G28</f>
        <v>796.61506498399251</v>
      </c>
    </row>
    <row r="62" spans="1:17" x14ac:dyDescent="0.3">
      <c r="A62">
        <v>2034</v>
      </c>
      <c r="B62">
        <f t="shared" si="16"/>
        <v>1302.4855705087043</v>
      </c>
      <c r="C62">
        <f t="shared" si="16"/>
        <v>1846.5870606654319</v>
      </c>
      <c r="D62">
        <f t="shared" si="16"/>
        <v>1031.926892255135</v>
      </c>
      <c r="E62">
        <f t="shared" si="16"/>
        <v>687.59339151645247</v>
      </c>
      <c r="F62">
        <f t="shared" si="16"/>
        <v>794.8196716977593</v>
      </c>
      <c r="G62">
        <f t="shared" si="16"/>
        <v>612.76811802730731</v>
      </c>
      <c r="I62">
        <v>2034</v>
      </c>
      <c r="J62">
        <f t="shared" si="13"/>
        <v>902.80565416374066</v>
      </c>
      <c r="K62">
        <f t="shared" si="14"/>
        <v>1162.9382578364448</v>
      </c>
      <c r="L62">
        <f t="shared" si="15"/>
        <v>759.47368900704703</v>
      </c>
      <c r="N62">
        <v>2034</v>
      </c>
      <c r="O62">
        <f>J62/Temperature!$G29</f>
        <v>938.04487323493242</v>
      </c>
      <c r="P62">
        <f>K62/Temperature!$G29</f>
        <v>1208.3312345476163</v>
      </c>
      <c r="Q62">
        <f>L62/Temperature!$G29</f>
        <v>789.11823053411138</v>
      </c>
    </row>
    <row r="63" spans="1:17" x14ac:dyDescent="0.3">
      <c r="A63">
        <v>2035</v>
      </c>
      <c r="B63">
        <f t="shared" si="16"/>
        <v>1285.4429941422004</v>
      </c>
      <c r="C63">
        <f t="shared" si="16"/>
        <v>1820.9292103563962</v>
      </c>
      <c r="D63">
        <f t="shared" si="16"/>
        <v>1019.1683275534632</v>
      </c>
      <c r="E63">
        <f t="shared" si="16"/>
        <v>679.17374059157953</v>
      </c>
      <c r="F63">
        <f t="shared" si="16"/>
        <v>784.5661614485864</v>
      </c>
      <c r="G63">
        <f t="shared" si="16"/>
        <v>605.62587119453849</v>
      </c>
      <c r="I63">
        <v>2035</v>
      </c>
      <c r="J63">
        <f t="shared" si="13"/>
        <v>891.36797933429682</v>
      </c>
      <c r="K63">
        <f t="shared" si="14"/>
        <v>1147.2932285663198</v>
      </c>
      <c r="L63">
        <f t="shared" si="15"/>
        <v>750.36573092016215</v>
      </c>
      <c r="N63">
        <v>2035</v>
      </c>
      <c r="O63">
        <f>J63/Temperature!$G30</f>
        <v>928.75017383099384</v>
      </c>
      <c r="P63">
        <f>K63/Temperature!$G30</f>
        <v>1195.4084173652714</v>
      </c>
      <c r="Q63">
        <f>L63/Temperature!$G30</f>
        <v>781.83457246174703</v>
      </c>
    </row>
    <row r="64" spans="1:17" x14ac:dyDescent="0.3">
      <c r="A64">
        <v>2036</v>
      </c>
      <c r="B64">
        <f t="shared" si="16"/>
        <v>1268.8487296858957</v>
      </c>
      <c r="C64">
        <f t="shared" si="16"/>
        <v>1795.9463002463226</v>
      </c>
      <c r="D64">
        <f t="shared" si="16"/>
        <v>1006.7453820909133</v>
      </c>
      <c r="E64">
        <f t="shared" si="16"/>
        <v>670.97557201234281</v>
      </c>
      <c r="F64">
        <f t="shared" si="16"/>
        <v>774.58237396123036</v>
      </c>
      <c r="G64">
        <f t="shared" si="16"/>
        <v>598.67150407266854</v>
      </c>
      <c r="I64">
        <v>2036</v>
      </c>
      <c r="J64">
        <f t="shared" si="13"/>
        <v>880.23117719808624</v>
      </c>
      <c r="K64">
        <f t="shared" si="14"/>
        <v>1132.0597481610125</v>
      </c>
      <c r="L64">
        <f t="shared" si="15"/>
        <v>741.49736137905415</v>
      </c>
      <c r="N64">
        <v>2036</v>
      </c>
      <c r="O64">
        <f>J64/Temperature!$G31</f>
        <v>919.71772485171959</v>
      </c>
      <c r="P64">
        <f>K64/Temperature!$G31</f>
        <v>1182.8431472844231</v>
      </c>
      <c r="Q64">
        <f>L64/Temperature!$G31</f>
        <v>774.76040823946823</v>
      </c>
    </row>
    <row r="65" spans="1:17" x14ac:dyDescent="0.3">
      <c r="A65">
        <v>2037</v>
      </c>
      <c r="B65">
        <f t="shared" si="16"/>
        <v>1252.693162362166</v>
      </c>
      <c r="C65">
        <f t="shared" si="16"/>
        <v>1771.6238551455624</v>
      </c>
      <c r="D65">
        <f t="shared" si="16"/>
        <v>994.65085796736946</v>
      </c>
      <c r="E65">
        <f t="shared" si="16"/>
        <v>662.99413572983133</v>
      </c>
      <c r="F65">
        <f t="shared" si="16"/>
        <v>764.86252459264301</v>
      </c>
      <c r="G65">
        <f t="shared" si="16"/>
        <v>591.90098727590782</v>
      </c>
      <c r="I65">
        <v>2037</v>
      </c>
      <c r="J65">
        <f t="shared" si="13"/>
        <v>869.38879505114846</v>
      </c>
      <c r="K65">
        <f t="shared" si="14"/>
        <v>1117.2289902861648</v>
      </c>
      <c r="L65">
        <f t="shared" si="15"/>
        <v>732.8634420179194</v>
      </c>
      <c r="N65">
        <v>2037</v>
      </c>
      <c r="O65">
        <f>J65/Temperature!$G32</f>
        <v>910.94297719415465</v>
      </c>
      <c r="P65">
        <f>K65/Temperature!$G32</f>
        <v>1170.6291919244511</v>
      </c>
      <c r="Q65">
        <f>L65/Temperature!$G32</f>
        <v>767.89212093455001</v>
      </c>
    </row>
    <row r="66" spans="1:17" x14ac:dyDescent="0.3">
      <c r="A66">
        <v>2038</v>
      </c>
      <c r="B66">
        <f t="shared" si="16"/>
        <v>1236.9668649665373</v>
      </c>
      <c r="C66">
        <f t="shared" si="16"/>
        <v>1747.9476822586107</v>
      </c>
      <c r="D66">
        <f t="shared" si="16"/>
        <v>982.87769770539069</v>
      </c>
      <c r="E66">
        <f t="shared" si="16"/>
        <v>655.22477436307361</v>
      </c>
      <c r="F66">
        <f t="shared" si="16"/>
        <v>755.40094155144584</v>
      </c>
      <c r="G66">
        <f t="shared" si="16"/>
        <v>585.31037002710559</v>
      </c>
      <c r="I66">
        <v>2038</v>
      </c>
      <c r="J66">
        <f t="shared" si="13"/>
        <v>858.83450607428585</v>
      </c>
      <c r="K66">
        <f t="shared" si="14"/>
        <v>1102.7923007989534</v>
      </c>
      <c r="L66">
        <f t="shared" si="15"/>
        <v>724.4589347145054</v>
      </c>
      <c r="N66">
        <v>2038</v>
      </c>
      <c r="O66">
        <f>J66/Temperature!$G33</f>
        <v>902.42146272384707</v>
      </c>
      <c r="P66">
        <f>K66/Temperature!$G33</f>
        <v>1158.7604295460258</v>
      </c>
      <c r="Q66">
        <f>L66/Temperature!$G33</f>
        <v>761.22615815330971</v>
      </c>
    </row>
    <row r="67" spans="1:17" x14ac:dyDescent="0.3">
      <c r="A67">
        <v>2039</v>
      </c>
      <c r="B67">
        <f t="shared" si="16"/>
        <v>1221.6605944038145</v>
      </c>
      <c r="C67">
        <f t="shared" si="16"/>
        <v>1724.903865969201</v>
      </c>
      <c r="D67">
        <f t="shared" si="16"/>
        <v>971.41898165705777</v>
      </c>
      <c r="E67">
        <f t="shared" si="16"/>
        <v>647.66292148776063</v>
      </c>
      <c r="F67">
        <f t="shared" si="16"/>
        <v>746.19206381392507</v>
      </c>
      <c r="G67">
        <f t="shared" si="16"/>
        <v>578.89577870610231</v>
      </c>
      <c r="I67">
        <v>2039</v>
      </c>
      <c r="J67">
        <f t="shared" si="13"/>
        <v>848.56210700837948</v>
      </c>
      <c r="K67">
        <f t="shared" si="14"/>
        <v>1088.7411945682716</v>
      </c>
      <c r="L67">
        <f t="shared" si="15"/>
        <v>716.27889973893673</v>
      </c>
      <c r="N67">
        <v>2039</v>
      </c>
      <c r="O67">
        <f>J67/Temperature!$G34</f>
        <v>894.14879296996423</v>
      </c>
      <c r="P67">
        <f>K67/Temperature!$G34</f>
        <v>1147.2308472646469</v>
      </c>
      <c r="Q67">
        <f>L67/Temperature!$G34</f>
        <v>754.75903100290077</v>
      </c>
    </row>
    <row r="68" spans="1:17" x14ac:dyDescent="0.3">
      <c r="A68">
        <v>2040</v>
      </c>
      <c r="B68">
        <f t="shared" ref="B68:G77" si="17">B$39*$I23+B$40</f>
        <v>1206.7652882859238</v>
      </c>
      <c r="C68">
        <f t="shared" si="17"/>
        <v>1702.4787627183064</v>
      </c>
      <c r="D68">
        <f t="shared" si="17"/>
        <v>960.26792545702028</v>
      </c>
      <c r="E68">
        <f t="shared" si="17"/>
        <v>640.30409995545665</v>
      </c>
      <c r="F68">
        <f t="shared" si="17"/>
        <v>737.23043907715453</v>
      </c>
      <c r="G68">
        <f t="shared" si="17"/>
        <v>572.65341542394492</v>
      </c>
      <c r="I68">
        <v>2040</v>
      </c>
      <c r="J68">
        <f t="shared" si="13"/>
        <v>838.56551587112017</v>
      </c>
      <c r="K68">
        <f t="shared" si="14"/>
        <v>1075.0673523515577</v>
      </c>
      <c r="L68">
        <f t="shared" si="15"/>
        <v>708.31849393552125</v>
      </c>
      <c r="N68">
        <v>2040</v>
      </c>
      <c r="O68">
        <f>J68/Temperature!$G35</f>
        <v>886.12065784197205</v>
      </c>
      <c r="P68">
        <f>K68/Temperature!$G35</f>
        <v>1136.0345392936495</v>
      </c>
      <c r="Q68">
        <f>L68/Temperature!$G35</f>
        <v>748.48731307029311</v>
      </c>
    </row>
    <row r="69" spans="1:17" x14ac:dyDescent="0.3">
      <c r="A69">
        <v>2041</v>
      </c>
      <c r="B69">
        <f t="shared" si="17"/>
        <v>1192.2720615903972</v>
      </c>
      <c r="C69">
        <f t="shared" si="17"/>
        <v>1680.6589959734367</v>
      </c>
      <c r="D69">
        <f t="shared" si="17"/>
        <v>949.41787752094012</v>
      </c>
      <c r="E69">
        <f t="shared" si="17"/>
        <v>633.14392024276822</v>
      </c>
      <c r="F69">
        <f t="shared" si="17"/>
        <v>728.51072174860292</v>
      </c>
      <c r="G69">
        <f t="shared" si="17"/>
        <v>566.57955662251538</v>
      </c>
      <c r="I69">
        <v>2041</v>
      </c>
      <c r="J69">
        <f t="shared" si="13"/>
        <v>828.8387697144384</v>
      </c>
      <c r="K69">
        <f t="shared" si="14"/>
        <v>1061.7626177272946</v>
      </c>
      <c r="L69">
        <f t="shared" si="15"/>
        <v>700.572968936964</v>
      </c>
      <c r="N69">
        <v>2041</v>
      </c>
      <c r="O69">
        <f>J69/Temperature!$G36</f>
        <v>878.33282436754916</v>
      </c>
      <c r="P69">
        <f>K69/Temperature!$G36</f>
        <v>1125.1657052162282</v>
      </c>
      <c r="Q69">
        <f>L69/Temperature!$G36</f>
        <v>742.40763941817772</v>
      </c>
    </row>
    <row r="70" spans="1:17" x14ac:dyDescent="0.3">
      <c r="A70">
        <v>2042</v>
      </c>
      <c r="B70">
        <f t="shared" si="17"/>
        <v>1178.1722033784404</v>
      </c>
      <c r="C70">
        <f t="shared" si="17"/>
        <v>1659.4314512876424</v>
      </c>
      <c r="D70">
        <f t="shared" si="17"/>
        <v>938.86231658854376</v>
      </c>
      <c r="E70">
        <f t="shared" si="17"/>
        <v>626.17807882995169</v>
      </c>
      <c r="F70">
        <f t="shared" si="17"/>
        <v>720.02767097158926</v>
      </c>
      <c r="G70">
        <f t="shared" si="17"/>
        <v>560.67055169913021</v>
      </c>
      <c r="I70">
        <v>2042</v>
      </c>
      <c r="J70">
        <f t="shared" si="13"/>
        <v>819.3760224219227</v>
      </c>
      <c r="K70">
        <f t="shared" si="14"/>
        <v>1048.8189940822078</v>
      </c>
      <c r="L70">
        <f t="shared" si="15"/>
        <v>693.037669410425</v>
      </c>
      <c r="N70">
        <v>2042</v>
      </c>
      <c r="O70">
        <f>J70/Temperature!$G37</f>
        <v>870.7811354514032</v>
      </c>
      <c r="P70">
        <f>K70/Temperature!$G37</f>
        <v>1114.6186482860253</v>
      </c>
      <c r="Q70">
        <f>L70/Temperature!$G37</f>
        <v>736.51670559753211</v>
      </c>
    </row>
    <row r="71" spans="1:17" x14ac:dyDescent="0.3">
      <c r="A71">
        <v>2043</v>
      </c>
      <c r="B71">
        <f t="shared" si="17"/>
        <v>1164.4571735715526</v>
      </c>
      <c r="C71">
        <f t="shared" si="17"/>
        <v>1638.7832714466692</v>
      </c>
      <c r="D71">
        <f t="shared" si="17"/>
        <v>928.59484931050622</v>
      </c>
      <c r="E71">
        <f t="shared" si="17"/>
        <v>619.40235660844633</v>
      </c>
      <c r="F71">
        <f t="shared" si="17"/>
        <v>711.7761486859664</v>
      </c>
      <c r="G71">
        <f t="shared" si="17"/>
        <v>554.92282165567849</v>
      </c>
      <c r="I71">
        <v>2043</v>
      </c>
      <c r="J71">
        <f t="shared" si="13"/>
        <v>810.1715425455335</v>
      </c>
      <c r="K71">
        <f t="shared" si="14"/>
        <v>1036.2286416522124</v>
      </c>
      <c r="L71">
        <f t="shared" si="15"/>
        <v>685.70803133486822</v>
      </c>
      <c r="N71">
        <v>2043</v>
      </c>
      <c r="O71">
        <f>J71/Temperature!$G38</f>
        <v>863.46150865467018</v>
      </c>
      <c r="P71">
        <f>K71/Temperature!$G38</f>
        <v>1104.387773755843</v>
      </c>
      <c r="Q71">
        <f>L71/Temperature!$G38</f>
        <v>730.81126667659123</v>
      </c>
    </row>
    <row r="72" spans="1:17" x14ac:dyDescent="0.3">
      <c r="A72">
        <v>2044</v>
      </c>
      <c r="B72">
        <f t="shared" si="17"/>
        <v>1151.1185997856799</v>
      </c>
      <c r="C72">
        <f t="shared" si="17"/>
        <v>1618.7018517027268</v>
      </c>
      <c r="D72">
        <f t="shared" si="17"/>
        <v>918.60920787840644</v>
      </c>
      <c r="E72">
        <f t="shared" si="17"/>
        <v>612.8126173168306</v>
      </c>
      <c r="F72">
        <f t="shared" si="17"/>
        <v>703.75111772341745</v>
      </c>
      <c r="G72">
        <f t="shared" si="17"/>
        <v>549.33285777187007</v>
      </c>
      <c r="I72">
        <v>2044</v>
      </c>
      <c r="J72">
        <f t="shared" si="13"/>
        <v>801.21971118092779</v>
      </c>
      <c r="K72">
        <f t="shared" si="14"/>
        <v>1023.9838746161756</v>
      </c>
      <c r="L72">
        <f t="shared" si="15"/>
        <v>678.57958030915779</v>
      </c>
      <c r="N72">
        <v>2044</v>
      </c>
      <c r="O72">
        <f>J72/Temperature!$G39</f>
        <v>856.36993499457787</v>
      </c>
      <c r="P72">
        <f>K72/Temperature!$G39</f>
        <v>1094.4675872340474</v>
      </c>
      <c r="Q72">
        <f>L72/Temperature!$G39</f>
        <v>725.28813628597391</v>
      </c>
    </row>
    <row r="73" spans="1:17" x14ac:dyDescent="0.3">
      <c r="A73">
        <v>2045</v>
      </c>
      <c r="B73">
        <f t="shared" si="17"/>
        <v>1138.1482742218977</v>
      </c>
      <c r="C73">
        <f t="shared" si="17"/>
        <v>1599.1748350933681</v>
      </c>
      <c r="D73">
        <f t="shared" si="17"/>
        <v>908.89924769700406</v>
      </c>
      <c r="E73">
        <f t="shared" si="17"/>
        <v>606.40480600470767</v>
      </c>
      <c r="F73">
        <f t="shared" si="17"/>
        <v>695.9476399367644</v>
      </c>
      <c r="G73">
        <f t="shared" si="17"/>
        <v>543.89722030217513</v>
      </c>
      <c r="I73">
        <v>2045</v>
      </c>
      <c r="J73">
        <f t="shared" si="13"/>
        <v>792.51501988072414</v>
      </c>
      <c r="K73">
        <f t="shared" si="14"/>
        <v>1012.0771582415757</v>
      </c>
      <c r="L73">
        <f t="shared" si="15"/>
        <v>671.64792989036528</v>
      </c>
      <c r="N73">
        <v>2045</v>
      </c>
      <c r="O73">
        <f>J73/Temperature!$G40</f>
        <v>849.50247776406263</v>
      </c>
      <c r="P73">
        <f>K73/Temperature!$G40</f>
        <v>1084.8526930682356</v>
      </c>
      <c r="Q73">
        <f>L73/Temperature!$G40</f>
        <v>719.94418567971206</v>
      </c>
    </row>
    <row r="74" spans="1:17" x14ac:dyDescent="0.3">
      <c r="A74">
        <v>2046</v>
      </c>
      <c r="B74">
        <f t="shared" si="17"/>
        <v>1125.5381506126455</v>
      </c>
      <c r="C74">
        <f t="shared" si="17"/>
        <v>1580.190107843998</v>
      </c>
      <c r="D74">
        <f t="shared" si="17"/>
        <v>899.45894509810012</v>
      </c>
      <c r="E74">
        <f t="shared" si="17"/>
        <v>600.17494752403343</v>
      </c>
      <c r="F74">
        <f t="shared" si="17"/>
        <v>688.36087436269702</v>
      </c>
      <c r="G74">
        <f t="shared" si="17"/>
        <v>538.61253719604451</v>
      </c>
      <c r="I74">
        <v>2046</v>
      </c>
      <c r="J74">
        <f t="shared" si="13"/>
        <v>784.05206860504768</v>
      </c>
      <c r="K74">
        <f t="shared" si="14"/>
        <v>1000.5011060811523</v>
      </c>
      <c r="L74">
        <f t="shared" si="15"/>
        <v>664.90877996176391</v>
      </c>
      <c r="N74">
        <v>2046</v>
      </c>
      <c r="O74">
        <f>J74/Temperature!$G41</f>
        <v>842.8552713710327</v>
      </c>
      <c r="P74">
        <f>K74/Temperature!$G41</f>
        <v>1075.5377927557438</v>
      </c>
      <c r="Q74">
        <f>L74/Temperature!$G41</f>
        <v>714.77634281194321</v>
      </c>
    </row>
    <row r="75" spans="1:17" x14ac:dyDescent="0.3">
      <c r="A75">
        <v>2047</v>
      </c>
      <c r="B75">
        <f t="shared" si="17"/>
        <v>1113.2803412225392</v>
      </c>
      <c r="C75">
        <f t="shared" si="17"/>
        <v>1561.7357948525544</v>
      </c>
      <c r="D75">
        <f t="shared" si="17"/>
        <v>890.28239509526065</v>
      </c>
      <c r="E75">
        <f t="shared" si="17"/>
        <v>594.11914504740946</v>
      </c>
      <c r="F75">
        <f t="shared" si="17"/>
        <v>680.98607541733963</v>
      </c>
      <c r="G75">
        <f t="shared" si="17"/>
        <v>533.47550284100168</v>
      </c>
      <c r="I75">
        <v>2047</v>
      </c>
      <c r="J75">
        <f t="shared" si="13"/>
        <v>775.82556370870486</v>
      </c>
      <c r="K75">
        <f t="shared" si="14"/>
        <v>989.24847721966478</v>
      </c>
      <c r="L75">
        <f t="shared" si="15"/>
        <v>658.35791512999231</v>
      </c>
      <c r="N75">
        <v>2047</v>
      </c>
      <c r="O75">
        <f>J75/Temperature!$G42</f>
        <v>836.42452019697487</v>
      </c>
      <c r="P75">
        <f>K75/Temperature!$G42</f>
        <v>1066.5176833805872</v>
      </c>
      <c r="Q75">
        <f>L75/Temperature!$G42</f>
        <v>709.78159142902439</v>
      </c>
    </row>
    <row r="76" spans="1:17" x14ac:dyDescent="0.3">
      <c r="A76">
        <v>2048</v>
      </c>
      <c r="B76">
        <f t="shared" si="17"/>
        <v>1101.3671139028163</v>
      </c>
      <c r="C76">
        <f t="shared" si="17"/>
        <v>1543.8002552549301</v>
      </c>
      <c r="D76">
        <f t="shared" si="17"/>
        <v>881.36380917868848</v>
      </c>
      <c r="E76">
        <f t="shared" si="17"/>
        <v>588.23357861287263</v>
      </c>
      <c r="F76">
        <f t="shared" si="17"/>
        <v>673.81859112408529</v>
      </c>
      <c r="G76">
        <f t="shared" si="17"/>
        <v>528.48287682821297</v>
      </c>
      <c r="I76">
        <v>2048</v>
      </c>
      <c r="J76">
        <f t="shared" si="13"/>
        <v>767.83031596435285</v>
      </c>
      <c r="K76">
        <f t="shared" si="14"/>
        <v>978.312173569881</v>
      </c>
      <c r="L76">
        <f t="shared" si="15"/>
        <v>651.9912031508793</v>
      </c>
      <c r="N76">
        <v>2048</v>
      </c>
      <c r="O76">
        <f>J76/Temperature!$G43</f>
        <v>830.20649747461118</v>
      </c>
      <c r="P76">
        <f>K76/Temperature!$G43</f>
        <v>1057.7872560764217</v>
      </c>
      <c r="Q76">
        <f>L76/Temperature!$G43</f>
        <v>704.95697017683119</v>
      </c>
    </row>
    <row r="77" spans="1:17" x14ac:dyDescent="0.3">
      <c r="A77">
        <v>2049</v>
      </c>
      <c r="B77">
        <f t="shared" si="17"/>
        <v>1089.7908891984785</v>
      </c>
      <c r="C77">
        <f t="shared" si="17"/>
        <v>1526.372078069734</v>
      </c>
      <c r="D77">
        <f t="shared" si="17"/>
        <v>872.69751314954613</v>
      </c>
      <c r="E77">
        <f t="shared" si="17"/>
        <v>582.51450369471752</v>
      </c>
      <c r="F77">
        <f t="shared" si="17"/>
        <v>666.85386137313344</v>
      </c>
      <c r="G77">
        <f t="shared" si="17"/>
        <v>523.63148274014065</v>
      </c>
      <c r="I77">
        <v>2049</v>
      </c>
      <c r="J77">
        <f t="shared" si="13"/>
        <v>760.06123862103391</v>
      </c>
      <c r="K77">
        <f t="shared" si="14"/>
        <v>967.68523721694362</v>
      </c>
      <c r="L77">
        <f t="shared" si="15"/>
        <v>645.80459338343258</v>
      </c>
      <c r="N77">
        <v>2049</v>
      </c>
      <c r="O77">
        <f>J77/Temperature!$G44</f>
        <v>824.19754418430875</v>
      </c>
      <c r="P77">
        <f>K77/Temperature!$G44</f>
        <v>1049.3414945151283</v>
      </c>
      <c r="Q77">
        <f>L77/Temperature!$G44</f>
        <v>700.2995717230109</v>
      </c>
    </row>
    <row r="78" spans="1:17" x14ac:dyDescent="0.3">
      <c r="A78">
        <v>2050</v>
      </c>
      <c r="B78">
        <f t="shared" ref="B78:G78" si="18">B$39*$I33+B$40</f>
        <v>1078.5442375072107</v>
      </c>
      <c r="C78">
        <f t="shared" si="18"/>
        <v>1509.4400779210025</v>
      </c>
      <c r="D78">
        <f t="shared" si="18"/>
        <v>864.27794499304207</v>
      </c>
      <c r="E78">
        <f t="shared" si="18"/>
        <v>576.95824979990039</v>
      </c>
      <c r="F78">
        <f t="shared" si="18"/>
        <v>660.0874162121811</v>
      </c>
      <c r="G78">
        <f t="shared" si="18"/>
        <v>518.91820695989611</v>
      </c>
      <c r="I78">
        <v>2050</v>
      </c>
      <c r="J78">
        <f t="shared" si="13"/>
        <v>752.51334549745889</v>
      </c>
      <c r="K78">
        <f t="shared" si="14"/>
        <v>957.36084781026852</v>
      </c>
      <c r="L78">
        <f t="shared" si="15"/>
        <v>639.79411527149728</v>
      </c>
      <c r="N78">
        <v>2050</v>
      </c>
      <c r="O78">
        <f>J78/Temperature!$G45</f>
        <v>818.39406796896014</v>
      </c>
      <c r="P78">
        <f>K78/Temperature!$G45</f>
        <v>1041.1754734206293</v>
      </c>
      <c r="Q78">
        <f>L78/Temperature!$G45</f>
        <v>695.80654189396114</v>
      </c>
    </row>
  </sheetData>
  <mergeCells count="6">
    <mergeCell ref="B37:D37"/>
    <mergeCell ref="E37:G37"/>
    <mergeCell ref="J38:L38"/>
    <mergeCell ref="B46:D46"/>
    <mergeCell ref="E46:G46"/>
    <mergeCell ref="J46:L4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1F17-CB3D-4A0B-8622-1C05E3735ACA}">
  <dimension ref="A1:Q87"/>
  <sheetViews>
    <sheetView zoomScale="85" zoomScaleNormal="85" workbookViewId="0">
      <selection activeCell="B9" sqref="B9:F9"/>
    </sheetView>
  </sheetViews>
  <sheetFormatPr defaultRowHeight="14" x14ac:dyDescent="0.3"/>
  <cols>
    <col min="1" max="1" width="10.1640625" bestFit="1" customWidth="1"/>
    <col min="16" max="16" width="9.08203125" bestFit="1" customWidth="1"/>
    <col min="17" max="17" width="8.75" bestFit="1" customWidth="1"/>
  </cols>
  <sheetData>
    <row r="1" spans="1:17" x14ac:dyDescent="0.3">
      <c r="B1" t="s">
        <v>185</v>
      </c>
      <c r="C1" t="s">
        <v>186</v>
      </c>
      <c r="E1" t="s">
        <v>187</v>
      </c>
      <c r="M1" t="s">
        <v>229</v>
      </c>
      <c r="P1" t="s">
        <v>22</v>
      </c>
      <c r="Q1" t="s">
        <v>23</v>
      </c>
    </row>
    <row r="2" spans="1:17" x14ac:dyDescent="0.3">
      <c r="C2" t="s">
        <v>49</v>
      </c>
      <c r="D2" t="s">
        <v>50</v>
      </c>
      <c r="E2" t="s">
        <v>188</v>
      </c>
      <c r="F2" t="s">
        <v>189</v>
      </c>
      <c r="H2" t="s">
        <v>230</v>
      </c>
      <c r="I2" t="s">
        <v>231</v>
      </c>
      <c r="M2" t="s">
        <v>24</v>
      </c>
      <c r="N2" t="s">
        <v>25</v>
      </c>
      <c r="O2" t="s">
        <v>26</v>
      </c>
      <c r="P2" s="37">
        <f>J3</f>
        <v>20</v>
      </c>
      <c r="Q2" s="37">
        <f>K3</f>
        <v>132.856672183179</v>
      </c>
    </row>
    <row r="3" spans="1:17" x14ac:dyDescent="0.3">
      <c r="A3">
        <v>2020</v>
      </c>
      <c r="B3">
        <v>0.01</v>
      </c>
      <c r="C3">
        <v>0.16500000000000001</v>
      </c>
      <c r="D3">
        <v>0.16500000000000001</v>
      </c>
      <c r="E3">
        <v>0.54600547666295496</v>
      </c>
      <c r="F3">
        <v>0.113994523337045</v>
      </c>
      <c r="H3" t="s">
        <v>24</v>
      </c>
      <c r="I3" t="s">
        <v>25</v>
      </c>
      <c r="J3">
        <v>20</v>
      </c>
      <c r="K3">
        <v>132.856672183179</v>
      </c>
      <c r="M3" t="s">
        <v>27</v>
      </c>
      <c r="N3" t="s">
        <v>28</v>
      </c>
      <c r="O3" t="s">
        <v>29</v>
      </c>
      <c r="P3" s="37">
        <f>J4*$E$9+J17*$F$9+J37*$C$9+J61*$D$9+J45*$C$9+J69*$D$9</f>
        <v>5.9459858576238391E-4</v>
      </c>
      <c r="Q3" s="37">
        <f>K4*$E$9+K17*$F$9+K37*$C$9+K61*$D$9+K45*$C$9+K69*$D$9</f>
        <v>3.0167123422515836</v>
      </c>
    </row>
    <row r="4" spans="1:17" x14ac:dyDescent="0.3">
      <c r="A4">
        <v>2021</v>
      </c>
      <c r="B4">
        <v>0.01</v>
      </c>
      <c r="C4">
        <v>0.16500000000000001</v>
      </c>
      <c r="D4">
        <v>0.16500000000000001</v>
      </c>
      <c r="E4">
        <v>0.54600547666295496</v>
      </c>
      <c r="F4">
        <v>0.113994523337045</v>
      </c>
      <c r="H4" t="s">
        <v>27</v>
      </c>
      <c r="I4" t="s">
        <v>28</v>
      </c>
      <c r="J4">
        <v>9.7776688473040691E-4</v>
      </c>
      <c r="K4">
        <v>4.9617367225775402</v>
      </c>
      <c r="M4" t="s">
        <v>30</v>
      </c>
      <c r="N4" t="s">
        <v>31</v>
      </c>
      <c r="O4" t="s">
        <v>32</v>
      </c>
      <c r="P4" s="37">
        <f>J5*$E$9+J18*$F$9+J36*$C$9+J44*$C$9+J60*$D$9+J68*$D$9</f>
        <v>3.5411241239542344</v>
      </c>
      <c r="Q4" s="37">
        <f>K5*$E$9+K18*$F$9+K36*$C$9+K44*$C$9+K60*$D$9+K68*$D$9</f>
        <v>1.5319003268954634</v>
      </c>
    </row>
    <row r="5" spans="1:17" x14ac:dyDescent="0.3">
      <c r="A5">
        <v>2022</v>
      </c>
      <c r="B5">
        <v>0.01</v>
      </c>
      <c r="C5">
        <v>0.16500000000000001</v>
      </c>
      <c r="D5">
        <v>0.16500000000000001</v>
      </c>
      <c r="E5">
        <v>0.54600547666295496</v>
      </c>
      <c r="F5">
        <v>0.113994523337045</v>
      </c>
      <c r="H5" t="s">
        <v>30</v>
      </c>
      <c r="I5" t="s">
        <v>31</v>
      </c>
      <c r="J5">
        <v>7.260799109319529</v>
      </c>
      <c r="K5">
        <v>3.05008561846613</v>
      </c>
      <c r="N5" t="s">
        <v>33</v>
      </c>
      <c r="O5" t="s">
        <v>34</v>
      </c>
      <c r="P5" s="37">
        <f>J79*$B$9</f>
        <v>48.888344480961997</v>
      </c>
      <c r="Q5" s="37">
        <f>K79*$B$9</f>
        <v>31.239240246550597</v>
      </c>
    </row>
    <row r="6" spans="1:17" x14ac:dyDescent="0.3">
      <c r="A6">
        <v>2023</v>
      </c>
      <c r="B6">
        <v>0.01</v>
      </c>
      <c r="C6">
        <v>0.16500000000000001</v>
      </c>
      <c r="D6">
        <v>0.16500000000000001</v>
      </c>
      <c r="E6">
        <v>0.54600547666295496</v>
      </c>
      <c r="F6">
        <v>0.113994523337045</v>
      </c>
      <c r="H6" t="s">
        <v>35</v>
      </c>
      <c r="I6" t="s">
        <v>36</v>
      </c>
      <c r="J6">
        <v>0.68158174000787197</v>
      </c>
      <c r="K6">
        <v>1.33378354066337</v>
      </c>
      <c r="M6" t="s">
        <v>35</v>
      </c>
      <c r="N6" t="s">
        <v>36</v>
      </c>
      <c r="O6" t="s">
        <v>32</v>
      </c>
      <c r="P6" s="37">
        <f>J6*$E$9</f>
        <v>0.27629122392500688</v>
      </c>
      <c r="Q6" s="37">
        <f>K6*$E$9</f>
        <v>0.54067276933894315</v>
      </c>
    </row>
    <row r="7" spans="1:17" x14ac:dyDescent="0.3">
      <c r="A7">
        <v>2024</v>
      </c>
      <c r="B7">
        <v>0.01</v>
      </c>
      <c r="C7">
        <v>0.16500000000000001</v>
      </c>
      <c r="D7">
        <v>0.16500000000000001</v>
      </c>
      <c r="E7">
        <v>0.54600547666295496</v>
      </c>
      <c r="F7">
        <v>0.113994523337045</v>
      </c>
      <c r="I7" t="s">
        <v>37</v>
      </c>
      <c r="J7">
        <v>44.93535005358148</v>
      </c>
      <c r="K7">
        <v>107.144563872015</v>
      </c>
      <c r="N7" t="s">
        <v>37</v>
      </c>
      <c r="O7" t="s">
        <v>32</v>
      </c>
      <c r="P7" s="37">
        <f>J7*$E$9+J20*$F$9+J48*$C$9+J72*$D$9+J82*$B$9</f>
        <v>41.648421289784999</v>
      </c>
      <c r="Q7" s="37">
        <f>K7*$E$9+K20*$F$9+K48*$C$9+K72*$D$9+K82*$B$9</f>
        <v>99.308876737590126</v>
      </c>
    </row>
    <row r="8" spans="1:17" x14ac:dyDescent="0.3">
      <c r="I8" t="s">
        <v>38</v>
      </c>
      <c r="J8">
        <v>3.0571250524734794</v>
      </c>
      <c r="K8">
        <v>7.2894576332197696</v>
      </c>
      <c r="N8" t="s">
        <v>38</v>
      </c>
      <c r="O8" t="s">
        <v>32</v>
      </c>
      <c r="P8" s="37">
        <f>J8*$E$9+J39*$C$9+J63*$D$9</f>
        <v>2.5351553211454463</v>
      </c>
      <c r="Q8" s="37">
        <f>K8*$E$9+K39*$C$9+K63*$D$9</f>
        <v>6.0448646980173528</v>
      </c>
    </row>
    <row r="9" spans="1:17" x14ac:dyDescent="0.3">
      <c r="A9">
        <v>2050</v>
      </c>
      <c r="B9">
        <v>0.01</v>
      </c>
      <c r="C9">
        <v>0.25</v>
      </c>
      <c r="D9">
        <v>0.25</v>
      </c>
      <c r="E9">
        <v>0.40536770237098174</v>
      </c>
      <c r="F9">
        <v>8.4632297629018263E-2</v>
      </c>
      <c r="H9" t="s">
        <v>45</v>
      </c>
      <c r="I9" t="s">
        <v>48</v>
      </c>
      <c r="J9">
        <v>300</v>
      </c>
      <c r="K9">
        <v>65.478972743857796</v>
      </c>
      <c r="N9" t="s">
        <v>39</v>
      </c>
      <c r="O9" t="s">
        <v>32</v>
      </c>
      <c r="P9" s="37">
        <f>J41*$C$9+J47*$C$9+J65*$D$9+J71*$D$9</f>
        <v>8.5516713947127254</v>
      </c>
      <c r="Q9" s="37">
        <f>K41*$C$9+K47*$C$9+K65*$D$9+K71*$D$9</f>
        <v>20.3893126284222</v>
      </c>
    </row>
    <row r="10" spans="1:17" x14ac:dyDescent="0.3">
      <c r="I10" t="s">
        <v>46</v>
      </c>
      <c r="J10">
        <v>7.0418771038283898</v>
      </c>
      <c r="K10">
        <v>1.5370387977651001</v>
      </c>
      <c r="N10" t="s">
        <v>40</v>
      </c>
      <c r="O10" t="s">
        <v>41</v>
      </c>
      <c r="P10" s="37">
        <f>J40*$C$9+J64*$D$9</f>
        <v>4.1463426955598798E-4</v>
      </c>
      <c r="Q10" s="37">
        <f>K40*$C$9+K64*$D$9</f>
        <v>0</v>
      </c>
    </row>
    <row r="11" spans="1:17" x14ac:dyDescent="0.3">
      <c r="H11" t="s">
        <v>232</v>
      </c>
      <c r="I11" t="s">
        <v>51</v>
      </c>
      <c r="J11">
        <v>19555.337694608137</v>
      </c>
      <c r="K11">
        <v>451.55159133944602</v>
      </c>
      <c r="N11" t="s">
        <v>42</v>
      </c>
      <c r="O11" t="s">
        <v>34</v>
      </c>
      <c r="P11" s="37">
        <f>J80*$B$9</f>
        <v>5.4319024475460297E-2</v>
      </c>
      <c r="Q11" s="37">
        <f>K80*$B$9</f>
        <v>3.4709399010391204E-2</v>
      </c>
    </row>
    <row r="12" spans="1:17" x14ac:dyDescent="0.3">
      <c r="K12">
        <v>775.20390245118983</v>
      </c>
      <c r="N12" t="s">
        <v>43</v>
      </c>
      <c r="O12" t="s">
        <v>32</v>
      </c>
      <c r="P12" s="37">
        <f>J81*$B$9</f>
        <v>3.9137417313513598E-2</v>
      </c>
      <c r="Q12" s="37">
        <f>K81*$B$9</f>
        <v>0.40168387202668399</v>
      </c>
    </row>
    <row r="13" spans="1:17" x14ac:dyDescent="0.3">
      <c r="N13" t="s">
        <v>44</v>
      </c>
      <c r="O13" t="s">
        <v>32</v>
      </c>
      <c r="P13" s="37">
        <f>J83*$B$9</f>
        <v>1.4997672914814301E-3</v>
      </c>
      <c r="Q13" s="37">
        <f>K83*$B$9</f>
        <v>0.42509818409133998</v>
      </c>
    </row>
    <row r="14" spans="1:17" x14ac:dyDescent="0.3">
      <c r="I14" t="s">
        <v>233</v>
      </c>
      <c r="N14" t="s">
        <v>234</v>
      </c>
      <c r="O14" t="s">
        <v>32</v>
      </c>
      <c r="P14" s="37">
        <f>J19*$F$9+J38*$C$9+J46*$C$9+J62*$D$9+J70*$D$9</f>
        <v>2.1731974400897331</v>
      </c>
      <c r="Q14" s="37">
        <f>K19*$F$9+K38*$C$9+K46*$C$9+K62*$D$9+K70*$D$9</f>
        <v>5.1816144687479628</v>
      </c>
    </row>
    <row r="15" spans="1:17" x14ac:dyDescent="0.3">
      <c r="H15" t="s">
        <v>230</v>
      </c>
      <c r="J15" t="s">
        <v>22</v>
      </c>
      <c r="K15" t="s">
        <v>23</v>
      </c>
      <c r="N15" t="s">
        <v>235</v>
      </c>
      <c r="O15" t="s">
        <v>32</v>
      </c>
      <c r="P15" s="37">
        <f>J42*$C$9+J66*$D$9</f>
        <v>1.58398235326326</v>
      </c>
      <c r="Q15" s="37">
        <f>K42*$C$9+K66*$D$9</f>
        <v>3.7766643601765502</v>
      </c>
    </row>
    <row r="16" spans="1:17" x14ac:dyDescent="0.3">
      <c r="H16" t="s">
        <v>24</v>
      </c>
      <c r="I16" t="s">
        <v>25</v>
      </c>
      <c r="J16">
        <v>20</v>
      </c>
      <c r="K16">
        <v>132.856672183179</v>
      </c>
      <c r="M16" t="s">
        <v>45</v>
      </c>
      <c r="N16" t="s">
        <v>46</v>
      </c>
      <c r="O16" t="s">
        <v>47</v>
      </c>
      <c r="P16" s="37">
        <f>J10*$E$9+J22*$F$9+J33*$C$9+J57*$D$9+J85*$B$9</f>
        <v>3.6226626249818761</v>
      </c>
      <c r="Q16" s="37">
        <f>K10*$E$9+K22*$F$9+K33*$C$9+K57*$D$9+K85*$B$9</f>
        <v>0.78977696346612358</v>
      </c>
    </row>
    <row r="17" spans="7:17" x14ac:dyDescent="0.3">
      <c r="H17" t="s">
        <v>27</v>
      </c>
      <c r="I17" t="s">
        <v>28</v>
      </c>
      <c r="J17">
        <v>5.3723455204967414E-4</v>
      </c>
      <c r="K17">
        <v>2.7262289684491998</v>
      </c>
      <c r="N17" t="s">
        <v>48</v>
      </c>
      <c r="O17" t="s">
        <v>47</v>
      </c>
      <c r="P17" s="37">
        <f>J9*$E$9+J21*$F$9+J32*$C$9+J56*$D$9+J84*$B$9</f>
        <v>276.2</v>
      </c>
      <c r="Q17" s="37">
        <f>K9*$E$9+K21*$F$9+K32*$C$9+K56*$D$9+K84*$B$9</f>
        <v>57.836432912637697</v>
      </c>
    </row>
    <row r="18" spans="7:17" x14ac:dyDescent="0.3">
      <c r="H18" t="s">
        <v>30</v>
      </c>
      <c r="I18" t="s">
        <v>31</v>
      </c>
      <c r="J18">
        <v>4.0614932134955364</v>
      </c>
      <c r="K18">
        <v>2.0072375946396601</v>
      </c>
      <c r="N18" t="s">
        <v>49</v>
      </c>
      <c r="O18" t="s">
        <v>47</v>
      </c>
      <c r="P18" s="37">
        <f>J30*$C$9</f>
        <v>151.3134016640285</v>
      </c>
      <c r="Q18" s="37">
        <f>K30*$C$9</f>
        <v>33.026153677797751</v>
      </c>
    </row>
    <row r="19" spans="7:17" x14ac:dyDescent="0.3">
      <c r="H19" t="s">
        <v>35</v>
      </c>
      <c r="I19" t="s">
        <v>236</v>
      </c>
      <c r="J19">
        <v>23.079228887620395</v>
      </c>
      <c r="K19">
        <v>55.030480695441</v>
      </c>
      <c r="N19" t="s">
        <v>50</v>
      </c>
      <c r="O19" t="s">
        <v>47</v>
      </c>
      <c r="P19" s="37">
        <f>J55*$D$9</f>
        <v>143.54200225798925</v>
      </c>
      <c r="Q19" s="37">
        <f>K55*$D$9</f>
        <v>1.3491046719941251</v>
      </c>
    </row>
    <row r="20" spans="7:17" x14ac:dyDescent="0.3">
      <c r="I20" t="s">
        <v>37</v>
      </c>
      <c r="J20">
        <v>197.87941452436323</v>
      </c>
      <c r="K20">
        <v>471.82682549888699</v>
      </c>
      <c r="M20" t="s">
        <v>51</v>
      </c>
      <c r="N20" t="s">
        <v>51</v>
      </c>
      <c r="O20" t="s">
        <v>29</v>
      </c>
      <c r="P20" s="37">
        <f>J11*$E$9+J23*$F$9+J34*$C$9+J58*$D$9+J86*$B$9</f>
        <v>15832.839483455953</v>
      </c>
      <c r="Q20" s="37">
        <f>K11*$E$9+K23*$F$9+K34*$C$9+K58*$D$9+K86*$B$9</f>
        <v>366.16008231532186</v>
      </c>
    </row>
    <row r="21" spans="7:17" x14ac:dyDescent="0.3">
      <c r="H21" t="s">
        <v>45</v>
      </c>
      <c r="I21" t="s">
        <v>48</v>
      </c>
      <c r="J21">
        <v>300</v>
      </c>
      <c r="K21">
        <v>65.478972743857796</v>
      </c>
      <c r="P21" s="37" t="s">
        <v>52</v>
      </c>
      <c r="Q21" s="37">
        <f>SUM(Q2:Q20)</f>
        <v>763.90957275751578</v>
      </c>
    </row>
    <row r="22" spans="7:17" x14ac:dyDescent="0.3">
      <c r="I22" t="s">
        <v>46</v>
      </c>
      <c r="J22">
        <v>7.0418771038283907</v>
      </c>
      <c r="K22">
        <v>1.5370387977651001</v>
      </c>
      <c r="M22" t="s">
        <v>52</v>
      </c>
      <c r="N22" t="s">
        <v>237</v>
      </c>
      <c r="O22" t="s">
        <v>34</v>
      </c>
      <c r="P22" s="37">
        <f>[2]皱纹盘鲍1tinput!W21</f>
        <v>2.1119647116181101E-2</v>
      </c>
      <c r="Q22" s="37">
        <f>[2]皱纹盘鲍1tinput!X21</f>
        <v>1.3495276577460601E-2</v>
      </c>
    </row>
    <row r="23" spans="7:17" x14ac:dyDescent="0.3">
      <c r="H23" t="s">
        <v>238</v>
      </c>
      <c r="I23" t="s">
        <v>51</v>
      </c>
      <c r="J23">
        <v>19555.337694608137</v>
      </c>
      <c r="K23">
        <v>451.55159133944602</v>
      </c>
      <c r="N23" t="s">
        <v>53</v>
      </c>
      <c r="P23" s="37"/>
      <c r="Q23" s="37">
        <f>[2]皱纹盘鲍1tinput!X22</f>
        <v>9.5956870454252906E-3</v>
      </c>
    </row>
    <row r="24" spans="7:17" x14ac:dyDescent="0.3">
      <c r="P24" s="37"/>
      <c r="Q24" s="37">
        <f>SUM(Q22:Q23)</f>
        <v>2.3090963622885891E-2</v>
      </c>
    </row>
    <row r="25" spans="7:17" x14ac:dyDescent="0.3">
      <c r="P25" s="37"/>
      <c r="Q25" s="37"/>
    </row>
    <row r="26" spans="7:17" x14ac:dyDescent="0.3">
      <c r="K26">
        <v>1183.0150478216649</v>
      </c>
      <c r="M26" t="s">
        <v>52</v>
      </c>
      <c r="N26" t="s">
        <v>35</v>
      </c>
      <c r="P26" s="37"/>
      <c r="Q26" s="37">
        <v>4.8985817518885097E-3</v>
      </c>
    </row>
    <row r="27" spans="7:17" x14ac:dyDescent="0.3">
      <c r="N27" t="s">
        <v>53</v>
      </c>
      <c r="P27" s="37"/>
      <c r="Q27" s="37">
        <v>1.81923818709974E-2</v>
      </c>
    </row>
    <row r="28" spans="7:17" x14ac:dyDescent="0.3">
      <c r="G28" t="s">
        <v>239</v>
      </c>
    </row>
    <row r="29" spans="7:17" x14ac:dyDescent="0.3">
      <c r="G29" t="s">
        <v>24</v>
      </c>
      <c r="H29" t="s">
        <v>25</v>
      </c>
      <c r="I29" t="s">
        <v>26</v>
      </c>
      <c r="J29">
        <v>20</v>
      </c>
      <c r="K29">
        <v>132.856672183179</v>
      </c>
    </row>
    <row r="30" spans="7:17" x14ac:dyDescent="0.3">
      <c r="G30" t="s">
        <v>45</v>
      </c>
      <c r="H30" t="s">
        <v>49</v>
      </c>
      <c r="I30" t="s">
        <v>47</v>
      </c>
      <c r="J30">
        <v>605.25360665611402</v>
      </c>
      <c r="K30">
        <v>132.104614711191</v>
      </c>
    </row>
    <row r="31" spans="7:17" x14ac:dyDescent="0.3">
      <c r="H31" t="s">
        <v>50</v>
      </c>
      <c r="I31" t="s">
        <v>47</v>
      </c>
      <c r="J31">
        <v>0</v>
      </c>
      <c r="K31">
        <v>0</v>
      </c>
    </row>
    <row r="32" spans="7:17" x14ac:dyDescent="0.3">
      <c r="H32" t="s">
        <v>48</v>
      </c>
      <c r="I32" t="s">
        <v>47</v>
      </c>
      <c r="J32">
        <v>200</v>
      </c>
      <c r="K32">
        <v>43.652648495905197</v>
      </c>
    </row>
    <row r="33" spans="7:11" x14ac:dyDescent="0.3">
      <c r="H33" t="s">
        <v>46</v>
      </c>
      <c r="I33" t="s">
        <v>47</v>
      </c>
      <c r="J33">
        <v>0.31777423753738199</v>
      </c>
      <c r="K33">
        <v>6.9691927227802805E-2</v>
      </c>
    </row>
    <row r="34" spans="7:11" x14ac:dyDescent="0.3">
      <c r="G34" t="s">
        <v>240</v>
      </c>
      <c r="H34" t="s">
        <v>51</v>
      </c>
      <c r="I34" t="s">
        <v>29</v>
      </c>
      <c r="J34">
        <v>12222.086059130101</v>
      </c>
      <c r="K34">
        <v>282.21974458715403</v>
      </c>
    </row>
    <row r="35" spans="7:11" x14ac:dyDescent="0.3">
      <c r="G35" t="s">
        <v>241</v>
      </c>
    </row>
    <row r="36" spans="7:11" x14ac:dyDescent="0.3">
      <c r="G36" t="s">
        <v>30</v>
      </c>
      <c r="H36" t="s">
        <v>31</v>
      </c>
      <c r="I36" t="s">
        <v>32</v>
      </c>
      <c r="J36">
        <v>0.36959588242809399</v>
      </c>
      <c r="K36">
        <v>0.182715633719541</v>
      </c>
    </row>
    <row r="37" spans="7:11" x14ac:dyDescent="0.3">
      <c r="G37" t="s">
        <v>27</v>
      </c>
      <c r="H37" t="s">
        <v>28</v>
      </c>
      <c r="I37" t="s">
        <v>29</v>
      </c>
      <c r="J37">
        <v>2.03701434318835E-4</v>
      </c>
      <c r="K37">
        <v>1.0319290811046899</v>
      </c>
    </row>
    <row r="38" spans="7:11" x14ac:dyDescent="0.3">
      <c r="G38" t="s">
        <v>35</v>
      </c>
      <c r="H38" t="s">
        <v>234</v>
      </c>
      <c r="I38" t="s">
        <v>32</v>
      </c>
      <c r="J38">
        <v>0.10853212420507501</v>
      </c>
      <c r="K38">
        <v>0.26045961104665699</v>
      </c>
    </row>
    <row r="39" spans="7:11" x14ac:dyDescent="0.3">
      <c r="H39" t="s">
        <v>38</v>
      </c>
      <c r="I39" t="s">
        <v>32</v>
      </c>
      <c r="J39">
        <v>2.5917911255270099</v>
      </c>
      <c r="K39">
        <v>6.1799080114168801</v>
      </c>
    </row>
    <row r="40" spans="7:11" x14ac:dyDescent="0.3">
      <c r="H40" t="s">
        <v>40</v>
      </c>
      <c r="I40" t="s">
        <v>32</v>
      </c>
      <c r="J40">
        <v>8.2926853911197596E-4</v>
      </c>
      <c r="K40">
        <v>0</v>
      </c>
    </row>
    <row r="41" spans="7:11" x14ac:dyDescent="0.3">
      <c r="H41" t="s">
        <v>242</v>
      </c>
      <c r="I41" t="s">
        <v>32</v>
      </c>
      <c r="J41">
        <v>5.59673764819685</v>
      </c>
      <c r="K41">
        <v>13.343546227467201</v>
      </c>
    </row>
    <row r="42" spans="7:11" x14ac:dyDescent="0.3">
      <c r="H42" t="s">
        <v>235</v>
      </c>
      <c r="I42" t="s">
        <v>32</v>
      </c>
      <c r="J42">
        <v>3.16796470652652</v>
      </c>
      <c r="K42">
        <v>7.5533287203531003</v>
      </c>
    </row>
    <row r="43" spans="7:11" x14ac:dyDescent="0.3">
      <c r="G43" t="s">
        <v>243</v>
      </c>
    </row>
    <row r="44" spans="7:11" x14ac:dyDescent="0.3">
      <c r="G44" t="s">
        <v>30</v>
      </c>
      <c r="H44" t="s">
        <v>31</v>
      </c>
      <c r="I44" t="s">
        <v>32</v>
      </c>
      <c r="J44">
        <v>0.13859845591053499</v>
      </c>
      <c r="K44">
        <v>6.8518362643208999E-2</v>
      </c>
    </row>
    <row r="45" spans="7:11" x14ac:dyDescent="0.3">
      <c r="G45" t="s">
        <v>27</v>
      </c>
      <c r="H45" t="s">
        <v>28</v>
      </c>
      <c r="I45" t="s">
        <v>41</v>
      </c>
      <c r="J45">
        <v>1.01850717159417E-4</v>
      </c>
      <c r="K45">
        <v>0.51738593047122505</v>
      </c>
    </row>
    <row r="46" spans="7:11" x14ac:dyDescent="0.3">
      <c r="G46" t="s">
        <v>35</v>
      </c>
      <c r="H46" t="s">
        <v>234</v>
      </c>
      <c r="I46" t="s">
        <v>32</v>
      </c>
      <c r="J46">
        <v>0.33136641944374101</v>
      </c>
      <c r="K46">
        <v>0.78805728468025704</v>
      </c>
    </row>
    <row r="47" spans="7:11" x14ac:dyDescent="0.3">
      <c r="H47" t="s">
        <v>242</v>
      </c>
      <c r="I47" t="s">
        <v>32</v>
      </c>
      <c r="J47">
        <v>11.506605141228601</v>
      </c>
      <c r="K47">
        <v>27.435079029377199</v>
      </c>
    </row>
    <row r="48" spans="7:11" x14ac:dyDescent="0.3">
      <c r="H48" t="s">
        <v>37</v>
      </c>
      <c r="I48" t="s">
        <v>32</v>
      </c>
      <c r="J48">
        <v>9.9304449230432006</v>
      </c>
      <c r="K48">
        <v>23.681789250550001</v>
      </c>
    </row>
    <row r="49" spans="7:11" x14ac:dyDescent="0.3">
      <c r="K49">
        <v>671.94608904748691</v>
      </c>
    </row>
    <row r="52" spans="7:11" x14ac:dyDescent="0.3">
      <c r="G52" t="s">
        <v>244</v>
      </c>
    </row>
    <row r="53" spans="7:11" x14ac:dyDescent="0.3">
      <c r="G53" t="s">
        <v>24</v>
      </c>
      <c r="H53" t="s">
        <v>25</v>
      </c>
      <c r="I53" t="s">
        <v>26</v>
      </c>
      <c r="J53">
        <v>20</v>
      </c>
      <c r="K53">
        <v>132.856672183179</v>
      </c>
    </row>
    <row r="54" spans="7:11" x14ac:dyDescent="0.3">
      <c r="G54" t="s">
        <v>45</v>
      </c>
      <c r="H54" t="s">
        <v>49</v>
      </c>
      <c r="I54" t="s">
        <v>47</v>
      </c>
      <c r="J54">
        <v>0</v>
      </c>
      <c r="K54">
        <v>0</v>
      </c>
    </row>
    <row r="55" spans="7:11" x14ac:dyDescent="0.3">
      <c r="H55" t="s">
        <v>50</v>
      </c>
      <c r="I55" t="s">
        <v>47</v>
      </c>
      <c r="J55">
        <v>574.16800903195701</v>
      </c>
      <c r="K55">
        <v>5.3964186879765004</v>
      </c>
    </row>
    <row r="56" spans="7:11" x14ac:dyDescent="0.3">
      <c r="H56" t="s">
        <v>48</v>
      </c>
      <c r="I56" t="s">
        <v>47</v>
      </c>
      <c r="J56">
        <v>200</v>
      </c>
      <c r="K56">
        <v>43.652648495905197</v>
      </c>
    </row>
    <row r="57" spans="7:11" x14ac:dyDescent="0.3">
      <c r="H57" t="s">
        <v>46</v>
      </c>
      <c r="I57" t="s">
        <v>47</v>
      </c>
      <c r="J57">
        <v>0.31777423753738199</v>
      </c>
      <c r="K57">
        <v>6.9691927227802805E-2</v>
      </c>
    </row>
    <row r="58" spans="7:11" x14ac:dyDescent="0.3">
      <c r="G58" t="s">
        <v>240</v>
      </c>
      <c r="H58" t="s">
        <v>51</v>
      </c>
      <c r="I58" t="s">
        <v>29</v>
      </c>
      <c r="J58">
        <v>12222.086059130101</v>
      </c>
      <c r="K58">
        <v>282.21974458715403</v>
      </c>
    </row>
    <row r="59" spans="7:11" x14ac:dyDescent="0.3">
      <c r="G59" t="s">
        <v>241</v>
      </c>
      <c r="J59">
        <v>0</v>
      </c>
      <c r="K59">
        <v>0</v>
      </c>
    </row>
    <row r="60" spans="7:11" x14ac:dyDescent="0.3">
      <c r="G60" t="s">
        <v>30</v>
      </c>
      <c r="H60" t="s">
        <v>31</v>
      </c>
      <c r="I60" t="s">
        <v>32</v>
      </c>
      <c r="J60">
        <v>0.36959588242809399</v>
      </c>
      <c r="K60">
        <v>0.182715633719541</v>
      </c>
    </row>
    <row r="61" spans="7:11" x14ac:dyDescent="0.3">
      <c r="G61" t="s">
        <v>27</v>
      </c>
      <c r="H61" t="s">
        <v>28</v>
      </c>
      <c r="I61" t="s">
        <v>29</v>
      </c>
      <c r="J61">
        <v>2.03701434318835E-4</v>
      </c>
      <c r="K61">
        <v>1.0319290811046899</v>
      </c>
    </row>
    <row r="62" spans="7:11" x14ac:dyDescent="0.3">
      <c r="G62" t="s">
        <v>35</v>
      </c>
      <c r="H62" t="s">
        <v>234</v>
      </c>
      <c r="I62" t="s">
        <v>32</v>
      </c>
      <c r="J62">
        <v>0.10853212420507501</v>
      </c>
      <c r="K62">
        <v>0.26045961104665699</v>
      </c>
    </row>
    <row r="63" spans="7:11" x14ac:dyDescent="0.3">
      <c r="H63" t="s">
        <v>38</v>
      </c>
      <c r="I63" t="s">
        <v>32</v>
      </c>
      <c r="J63">
        <v>2.5917911255270099</v>
      </c>
      <c r="K63">
        <v>6.1799080114168801</v>
      </c>
    </row>
    <row r="64" spans="7:11" x14ac:dyDescent="0.3">
      <c r="H64" t="s">
        <v>40</v>
      </c>
      <c r="I64" t="s">
        <v>32</v>
      </c>
      <c r="J64">
        <v>8.2926853911197596E-4</v>
      </c>
      <c r="K64">
        <v>0</v>
      </c>
    </row>
    <row r="65" spans="6:11" x14ac:dyDescent="0.3">
      <c r="H65" t="s">
        <v>242</v>
      </c>
      <c r="I65" t="s">
        <v>32</v>
      </c>
      <c r="J65">
        <v>5.59673764819685</v>
      </c>
      <c r="K65">
        <v>13.343546227467201</v>
      </c>
    </row>
    <row r="66" spans="6:11" x14ac:dyDescent="0.3">
      <c r="H66" t="s">
        <v>235</v>
      </c>
      <c r="I66" t="s">
        <v>32</v>
      </c>
      <c r="J66">
        <v>3.16796470652652</v>
      </c>
      <c r="K66">
        <v>7.5533287203531003</v>
      </c>
    </row>
    <row r="67" spans="6:11" x14ac:dyDescent="0.3">
      <c r="G67" t="s">
        <v>243</v>
      </c>
      <c r="J67">
        <v>0</v>
      </c>
      <c r="K67">
        <v>0</v>
      </c>
    </row>
    <row r="68" spans="6:11" x14ac:dyDescent="0.3">
      <c r="G68" t="s">
        <v>30</v>
      </c>
      <c r="H68" t="s">
        <v>31</v>
      </c>
      <c r="I68" t="s">
        <v>32</v>
      </c>
      <c r="J68">
        <v>0.13859845591053499</v>
      </c>
      <c r="K68">
        <v>6.8518362643208999E-2</v>
      </c>
    </row>
    <row r="69" spans="6:11" x14ac:dyDescent="0.3">
      <c r="G69" t="s">
        <v>27</v>
      </c>
      <c r="H69" t="s">
        <v>28</v>
      </c>
      <c r="I69" t="s">
        <v>41</v>
      </c>
      <c r="J69">
        <v>1.01850717159417E-4</v>
      </c>
      <c r="K69">
        <v>0.51738593047122505</v>
      </c>
    </row>
    <row r="70" spans="6:11" x14ac:dyDescent="0.3">
      <c r="G70" t="s">
        <v>35</v>
      </c>
      <c r="H70" t="s">
        <v>234</v>
      </c>
      <c r="I70" t="s">
        <v>32</v>
      </c>
      <c r="J70">
        <v>0.33136641944374101</v>
      </c>
      <c r="K70">
        <v>0.78805728468025704</v>
      </c>
    </row>
    <row r="71" spans="6:11" x14ac:dyDescent="0.3">
      <c r="H71" t="s">
        <v>242</v>
      </c>
      <c r="I71" t="s">
        <v>32</v>
      </c>
      <c r="J71">
        <v>11.506605141228601</v>
      </c>
      <c r="K71">
        <v>27.435079029377199</v>
      </c>
    </row>
    <row r="72" spans="6:11" x14ac:dyDescent="0.3">
      <c r="H72" t="s">
        <v>37</v>
      </c>
      <c r="I72" t="s">
        <v>32</v>
      </c>
      <c r="J72">
        <v>9.9304449230432006</v>
      </c>
      <c r="K72">
        <v>23.681789250550001</v>
      </c>
    </row>
    <row r="73" spans="6:11" x14ac:dyDescent="0.3">
      <c r="K73">
        <v>545.23789302427247</v>
      </c>
    </row>
    <row r="77" spans="6:11" x14ac:dyDescent="0.3">
      <c r="J77" t="s">
        <v>22</v>
      </c>
      <c r="K77" t="s">
        <v>23</v>
      </c>
    </row>
    <row r="78" spans="6:11" x14ac:dyDescent="0.3">
      <c r="F78" t="s">
        <v>24</v>
      </c>
      <c r="G78" t="s">
        <v>25</v>
      </c>
      <c r="H78" t="s">
        <v>25</v>
      </c>
      <c r="I78" t="s">
        <v>26</v>
      </c>
      <c r="J78">
        <v>20</v>
      </c>
      <c r="K78">
        <v>132.856672183179</v>
      </c>
    </row>
    <row r="79" spans="6:11" x14ac:dyDescent="0.3">
      <c r="F79" t="s">
        <v>30</v>
      </c>
      <c r="G79" t="s">
        <v>33</v>
      </c>
      <c r="H79" t="s">
        <v>33</v>
      </c>
      <c r="I79" t="s">
        <v>32</v>
      </c>
      <c r="J79">
        <v>4888.8344480961996</v>
      </c>
      <c r="K79">
        <v>3123.9240246550598</v>
      </c>
    </row>
    <row r="80" spans="6:11" x14ac:dyDescent="0.3">
      <c r="F80" t="s">
        <v>35</v>
      </c>
      <c r="G80" t="s">
        <v>42</v>
      </c>
      <c r="H80" t="s">
        <v>33</v>
      </c>
      <c r="I80" t="s">
        <v>41</v>
      </c>
      <c r="J80">
        <v>5.4319024475460296</v>
      </c>
      <c r="K80">
        <v>3.4709399010391202</v>
      </c>
    </row>
    <row r="81" spans="6:11" x14ac:dyDescent="0.3">
      <c r="G81" t="s">
        <v>43</v>
      </c>
      <c r="H81" t="s">
        <v>245</v>
      </c>
      <c r="I81" t="s">
        <v>32</v>
      </c>
      <c r="J81">
        <v>3.9137417313513598</v>
      </c>
      <c r="K81">
        <v>40.168387202668399</v>
      </c>
    </row>
    <row r="82" spans="6:11" x14ac:dyDescent="0.3">
      <c r="G82" t="s">
        <v>37</v>
      </c>
      <c r="H82" t="s">
        <v>246</v>
      </c>
      <c r="I82" t="s">
        <v>32</v>
      </c>
      <c r="J82">
        <v>172.08697171255099</v>
      </c>
      <c r="K82">
        <v>410.324810899883</v>
      </c>
    </row>
    <row r="83" spans="6:11" x14ac:dyDescent="0.3">
      <c r="G83" t="s">
        <v>44</v>
      </c>
      <c r="H83" t="s">
        <v>44</v>
      </c>
      <c r="I83" t="s">
        <v>32</v>
      </c>
      <c r="J83">
        <v>0.149976729148143</v>
      </c>
      <c r="K83">
        <v>42.509818409133999</v>
      </c>
    </row>
    <row r="84" spans="6:11" x14ac:dyDescent="0.3">
      <c r="F84" t="s">
        <v>45</v>
      </c>
      <c r="G84" t="s">
        <v>48</v>
      </c>
      <c r="H84" t="s">
        <v>247</v>
      </c>
      <c r="I84" t="s">
        <v>47</v>
      </c>
      <c r="J84">
        <v>2920</v>
      </c>
      <c r="K84">
        <v>392.54120201947802</v>
      </c>
    </row>
    <row r="85" spans="6:11" x14ac:dyDescent="0.3">
      <c r="G85" t="s">
        <v>46</v>
      </c>
      <c r="H85" t="s">
        <v>247</v>
      </c>
      <c r="I85" t="s">
        <v>47</v>
      </c>
      <c r="J85">
        <v>1.3255725337273701</v>
      </c>
      <c r="K85">
        <v>0.17819889473231301</v>
      </c>
    </row>
    <row r="86" spans="6:11" x14ac:dyDescent="0.3">
      <c r="F86" t="s">
        <v>240</v>
      </c>
      <c r="G86" t="s">
        <v>238</v>
      </c>
      <c r="I86" t="s">
        <v>29</v>
      </c>
      <c r="J86">
        <v>13968.0983532915</v>
      </c>
      <c r="K86">
        <v>378.99302654162602</v>
      </c>
    </row>
    <row r="87" spans="6:11" x14ac:dyDescent="0.3">
      <c r="K87">
        <v>4524.9670807067996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972C-72B1-4003-AD85-CB30AE9DCB91}">
  <dimension ref="A1:U79"/>
  <sheetViews>
    <sheetView zoomScale="70" zoomScaleNormal="70" workbookViewId="0">
      <selection activeCell="C9" sqref="C9"/>
    </sheetView>
  </sheetViews>
  <sheetFormatPr defaultRowHeight="14" x14ac:dyDescent="0.3"/>
  <cols>
    <col min="20" max="20" width="9.08203125" bestFit="1" customWidth="1"/>
    <col min="21" max="21" width="8.75" bestFit="1" customWidth="1"/>
  </cols>
  <sheetData>
    <row r="1" spans="1:21" x14ac:dyDescent="0.3">
      <c r="B1" t="s">
        <v>185</v>
      </c>
      <c r="C1" t="s">
        <v>186</v>
      </c>
      <c r="E1" t="s">
        <v>187</v>
      </c>
      <c r="I1" t="s">
        <v>230</v>
      </c>
      <c r="J1" t="s">
        <v>231</v>
      </c>
      <c r="K1" t="s">
        <v>248</v>
      </c>
      <c r="Q1" t="s">
        <v>229</v>
      </c>
      <c r="T1" t="s">
        <v>22</v>
      </c>
      <c r="U1" t="s">
        <v>23</v>
      </c>
    </row>
    <row r="2" spans="1:21" x14ac:dyDescent="0.3">
      <c r="C2" t="s">
        <v>49</v>
      </c>
      <c r="D2" t="s">
        <v>50</v>
      </c>
      <c r="E2" t="s">
        <v>188</v>
      </c>
      <c r="F2" t="s">
        <v>189</v>
      </c>
      <c r="I2" t="s">
        <v>24</v>
      </c>
      <c r="J2" t="s">
        <v>25</v>
      </c>
      <c r="K2">
        <v>20</v>
      </c>
      <c r="L2">
        <v>132.856672183179</v>
      </c>
      <c r="N2" t="s">
        <v>26</v>
      </c>
      <c r="Q2" t="s">
        <v>24</v>
      </c>
      <c r="R2" t="s">
        <v>25</v>
      </c>
      <c r="S2" t="s">
        <v>26</v>
      </c>
      <c r="T2" s="37">
        <v>20</v>
      </c>
      <c r="U2" s="37">
        <f>L2</f>
        <v>132.856672183179</v>
      </c>
    </row>
    <row r="3" spans="1:21" x14ac:dyDescent="0.3">
      <c r="A3">
        <v>2020</v>
      </c>
      <c r="B3">
        <v>0.01</v>
      </c>
      <c r="C3">
        <v>0.16500000000000001</v>
      </c>
      <c r="D3">
        <v>0.16500000000000001</v>
      </c>
      <c r="E3">
        <v>0.54600547666295496</v>
      </c>
      <c r="F3">
        <v>0.113994523337045</v>
      </c>
      <c r="I3" t="s">
        <v>27</v>
      </c>
      <c r="J3" t="s">
        <v>28</v>
      </c>
      <c r="K3">
        <v>1.97913986581432E-3</v>
      </c>
      <c r="L3">
        <v>10.043263997466701</v>
      </c>
      <c r="N3" t="s">
        <v>29</v>
      </c>
      <c r="Q3" t="s">
        <v>27</v>
      </c>
      <c r="R3" t="s">
        <v>28</v>
      </c>
      <c r="S3" t="s">
        <v>29</v>
      </c>
      <c r="T3" s="37">
        <f>K3*E3+K15*F3</f>
        <v>1.4566397151846815E-3</v>
      </c>
      <c r="U3" s="37">
        <f>L3*E9+L15*F9</f>
        <v>5.4878556972922894</v>
      </c>
    </row>
    <row r="4" spans="1:21" x14ac:dyDescent="0.3">
      <c r="A4">
        <v>2021</v>
      </c>
      <c r="B4">
        <v>0.01</v>
      </c>
      <c r="C4">
        <v>0.16500000000000001</v>
      </c>
      <c r="D4">
        <v>0.16500000000000001</v>
      </c>
      <c r="E4">
        <v>0.54600547666295496</v>
      </c>
      <c r="F4">
        <v>0.113994523337045</v>
      </c>
      <c r="I4" t="s">
        <v>30</v>
      </c>
      <c r="J4" t="s">
        <v>31</v>
      </c>
      <c r="K4">
        <v>14.6968947295505</v>
      </c>
      <c r="L4">
        <v>6.1738090499123999</v>
      </c>
      <c r="N4" t="s">
        <v>32</v>
      </c>
      <c r="Q4" t="s">
        <v>30</v>
      </c>
      <c r="R4" t="s">
        <v>31</v>
      </c>
      <c r="S4" t="s">
        <v>32</v>
      </c>
      <c r="T4" s="37">
        <f>K4*E9+K16*F9+L35*C9+L41*C9+L56*D9+L62*D9</f>
        <v>16.145214976871522</v>
      </c>
      <c r="U4" s="37">
        <f>L4*E9+L16*F9+M35*C9+M41*C9+M56*D9+M62*D9</f>
        <v>7.5373944970273987</v>
      </c>
    </row>
    <row r="5" spans="1:21" x14ac:dyDescent="0.3">
      <c r="A5">
        <v>2022</v>
      </c>
      <c r="B5">
        <v>0.01</v>
      </c>
      <c r="C5">
        <v>0.16500000000000001</v>
      </c>
      <c r="D5">
        <v>0.16500000000000001</v>
      </c>
      <c r="E5">
        <v>0.54600547666295496</v>
      </c>
      <c r="F5">
        <v>0.113994523337045</v>
      </c>
      <c r="I5" t="s">
        <v>35</v>
      </c>
      <c r="J5" t="s">
        <v>36</v>
      </c>
      <c r="K5">
        <v>1.37961881766184</v>
      </c>
      <c r="L5">
        <v>2.6997684406357099</v>
      </c>
      <c r="N5" t="s">
        <v>32</v>
      </c>
      <c r="R5" t="s">
        <v>33</v>
      </c>
      <c r="S5" t="s">
        <v>34</v>
      </c>
      <c r="T5" s="37">
        <f>M71*B3</f>
        <v>98.956993785500714</v>
      </c>
      <c r="U5" s="37">
        <f>N71*B9</f>
        <v>63.232685331480198</v>
      </c>
    </row>
    <row r="6" spans="1:21" x14ac:dyDescent="0.3">
      <c r="A6">
        <v>2023</v>
      </c>
      <c r="B6">
        <v>0.01</v>
      </c>
      <c r="C6">
        <v>0.16500000000000001</v>
      </c>
      <c r="D6">
        <v>0.16500000000000001</v>
      </c>
      <c r="E6">
        <v>0.54600547666295496</v>
      </c>
      <c r="F6">
        <v>0.113994523337045</v>
      </c>
      <c r="J6" t="s">
        <v>37</v>
      </c>
      <c r="K6">
        <v>90.955568310012495</v>
      </c>
      <c r="L6">
        <v>216.87590475398599</v>
      </c>
      <c r="N6" t="s">
        <v>32</v>
      </c>
      <c r="Q6" t="s">
        <v>35</v>
      </c>
      <c r="R6" t="s">
        <v>36</v>
      </c>
      <c r="S6" t="s">
        <v>32</v>
      </c>
      <c r="T6" s="37">
        <f>K5*E3</f>
        <v>0.75327943015063525</v>
      </c>
      <c r="U6" s="37">
        <f>L5*E9</f>
        <v>1.0943989297141858</v>
      </c>
    </row>
    <row r="7" spans="1:21" x14ac:dyDescent="0.3">
      <c r="A7">
        <v>2024</v>
      </c>
      <c r="J7" t="s">
        <v>38</v>
      </c>
      <c r="K7">
        <v>6.18805787004968</v>
      </c>
      <c r="L7">
        <v>14.7549036762966</v>
      </c>
      <c r="N7" t="s">
        <v>32</v>
      </c>
      <c r="R7" t="s">
        <v>37</v>
      </c>
      <c r="S7" t="s">
        <v>32</v>
      </c>
      <c r="T7" s="37">
        <f>K6*E9+K19*F9+L38*C9+L44*C9+L59*D9+L65*D9+M74*B9</f>
        <v>139.73783300251256</v>
      </c>
      <c r="U7" s="37">
        <f>T7/L38*M38</f>
        <v>333.19140830719266</v>
      </c>
    </row>
    <row r="8" spans="1:21" x14ac:dyDescent="0.3">
      <c r="I8" t="s">
        <v>45</v>
      </c>
      <c r="J8" t="s">
        <v>48</v>
      </c>
      <c r="K8">
        <v>300</v>
      </c>
      <c r="L8">
        <v>65.478972743857796</v>
      </c>
      <c r="N8" t="s">
        <v>47</v>
      </c>
      <c r="R8" t="s">
        <v>38</v>
      </c>
      <c r="S8" t="s">
        <v>32</v>
      </c>
      <c r="T8" s="37">
        <f>K7*E9</f>
        <v>2.5084388009207097</v>
      </c>
      <c r="U8" s="37">
        <f>L7*E9</f>
        <v>5.9811614019655046</v>
      </c>
    </row>
    <row r="9" spans="1:21" x14ac:dyDescent="0.3">
      <c r="A9">
        <v>2050</v>
      </c>
      <c r="B9">
        <v>0.01</v>
      </c>
      <c r="C9">
        <v>0.25</v>
      </c>
      <c r="D9">
        <v>0.25</v>
      </c>
      <c r="E9">
        <v>0.40536770237098174</v>
      </c>
      <c r="F9">
        <v>8.4632297629018263E-2</v>
      </c>
      <c r="J9" t="s">
        <v>46</v>
      </c>
      <c r="K9">
        <v>14.2537653135947</v>
      </c>
      <c r="L9">
        <v>3.1111861195820398</v>
      </c>
      <c r="N9" t="s">
        <v>47</v>
      </c>
      <c r="R9" t="s">
        <v>54</v>
      </c>
      <c r="S9" t="s">
        <v>32</v>
      </c>
      <c r="T9" s="37">
        <f>K18*F9+L37*C9+L43*C9+L58*D9+L64*D9</f>
        <v>2.7057320434114494</v>
      </c>
      <c r="U9" s="37">
        <f>L18*F9+M37*C9+M43*C9+M58*D9+M64*D9</f>
        <v>26.706814762023296</v>
      </c>
    </row>
    <row r="10" spans="1:21" x14ac:dyDescent="0.3">
      <c r="I10" t="s">
        <v>232</v>
      </c>
      <c r="J10" t="s">
        <v>51</v>
      </c>
      <c r="K10">
        <v>39582.797316286298</v>
      </c>
      <c r="L10">
        <v>914.00493292243402</v>
      </c>
      <c r="N10" t="s">
        <v>249</v>
      </c>
      <c r="R10" t="s">
        <v>39</v>
      </c>
      <c r="S10" t="s">
        <v>32</v>
      </c>
      <c r="T10" s="37">
        <f>K20*F9+L39*C9+L45*C9+L60*D9+L66*D9</f>
        <v>33.145048127079313</v>
      </c>
      <c r="U10" s="37">
        <f>L20*F9+M39*C9+M45*C9+M60*D9+M66*D9</f>
        <v>79.031164889986371</v>
      </c>
    </row>
    <row r="11" spans="1:21" x14ac:dyDescent="0.3">
      <c r="L11">
        <v>1365.9994138873503</v>
      </c>
      <c r="R11" t="s">
        <v>40</v>
      </c>
      <c r="S11" t="s">
        <v>41</v>
      </c>
      <c r="T11" s="37">
        <f>K17*F9+L36*C9+L42*C9+L57*D9+L63*D9</f>
        <v>3.5462052827080461E-2</v>
      </c>
      <c r="U11" s="37">
        <v>0</v>
      </c>
    </row>
    <row r="12" spans="1:21" x14ac:dyDescent="0.3">
      <c r="R12" t="s">
        <v>42</v>
      </c>
      <c r="S12" t="s">
        <v>34</v>
      </c>
      <c r="T12" s="37">
        <f>M72*B9</f>
        <v>0.109949465962092</v>
      </c>
      <c r="U12" s="37">
        <f>N72*B9</f>
        <v>7.0256782442434607E-2</v>
      </c>
    </row>
    <row r="13" spans="1:21" x14ac:dyDescent="0.3">
      <c r="J13" t="s">
        <v>250</v>
      </c>
      <c r="K13" t="s">
        <v>248</v>
      </c>
      <c r="R13" t="s">
        <v>43</v>
      </c>
      <c r="S13" t="s">
        <v>32</v>
      </c>
      <c r="T13" s="37">
        <f>M73*B9</f>
        <v>7.9219724107902595E-2</v>
      </c>
      <c r="U13" s="37">
        <f>N73*B9</f>
        <v>0.81306554455652702</v>
      </c>
    </row>
    <row r="14" spans="1:21" x14ac:dyDescent="0.3">
      <c r="I14" t="s">
        <v>230</v>
      </c>
      <c r="J14" t="s">
        <v>25</v>
      </c>
      <c r="K14">
        <v>20</v>
      </c>
      <c r="L14">
        <v>132.856672183179</v>
      </c>
      <c r="N14" t="s">
        <v>26</v>
      </c>
      <c r="R14" t="s">
        <v>44</v>
      </c>
      <c r="S14" t="s">
        <v>32</v>
      </c>
      <c r="T14" s="37">
        <f>M75*B9</f>
        <v>3.0357432659765997E-3</v>
      </c>
      <c r="U14" s="37">
        <f>N75*B9</f>
        <v>0.86045945731984808</v>
      </c>
    </row>
    <row r="15" spans="1:21" x14ac:dyDescent="0.3">
      <c r="I15" t="s">
        <v>24</v>
      </c>
      <c r="J15" t="s">
        <v>28</v>
      </c>
      <c r="K15">
        <v>3.29856644302386E-3</v>
      </c>
      <c r="L15">
        <v>16.738773329111201</v>
      </c>
      <c r="N15" t="s">
        <v>29</v>
      </c>
      <c r="Q15" t="s">
        <v>45</v>
      </c>
      <c r="R15" t="s">
        <v>46</v>
      </c>
      <c r="S15" t="s">
        <v>47</v>
      </c>
      <c r="T15" s="37">
        <f>K9*E9+K22*F9+L32*C9+L53*D9+M77*B9</f>
        <v>7.2966383047337589</v>
      </c>
      <c r="U15" s="37">
        <f>L9*E9+L22*F9+M32*C9+M53*D9+N77*B9</f>
        <v>1.4629885377204601</v>
      </c>
    </row>
    <row r="16" spans="1:21" x14ac:dyDescent="0.3">
      <c r="I16" t="s">
        <v>27</v>
      </c>
      <c r="J16" t="s">
        <v>31</v>
      </c>
      <c r="K16">
        <v>22.316332249839299</v>
      </c>
      <c r="L16">
        <v>11.0288088136517</v>
      </c>
      <c r="N16" t="s">
        <v>32</v>
      </c>
      <c r="R16" t="s">
        <v>48</v>
      </c>
      <c r="S16" t="s">
        <v>47</v>
      </c>
      <c r="T16" s="37">
        <f>K8*E9+K21*F9+L31*C9+L52*D9+M76*B9</f>
        <v>497.93661978802783</v>
      </c>
      <c r="U16" s="37">
        <f>L8*E9+L21*F9+M31*C9+M52*D9+N76*B9</f>
        <v>77.13332844593171</v>
      </c>
    </row>
    <row r="17" spans="9:21" x14ac:dyDescent="0.3">
      <c r="I17" t="s">
        <v>30</v>
      </c>
      <c r="J17" t="s">
        <v>40</v>
      </c>
      <c r="K17">
        <v>7.7681239733211893E-2</v>
      </c>
      <c r="L17">
        <v>0</v>
      </c>
      <c r="N17" t="s">
        <v>41</v>
      </c>
      <c r="R17" t="s">
        <v>49</v>
      </c>
      <c r="S17" t="s">
        <v>47</v>
      </c>
      <c r="T17" s="37">
        <f>L29*C9</f>
        <v>268.92530506242002</v>
      </c>
      <c r="U17" s="37">
        <f>M29*C9</f>
        <v>36.152144692690747</v>
      </c>
    </row>
    <row r="18" spans="9:21" x14ac:dyDescent="0.3">
      <c r="I18" t="s">
        <v>35</v>
      </c>
      <c r="J18" t="s">
        <v>54</v>
      </c>
      <c r="K18">
        <v>5.9270291131474302</v>
      </c>
      <c r="L18">
        <v>58.502492513770598</v>
      </c>
      <c r="N18" t="s">
        <v>32</v>
      </c>
      <c r="R18" t="s">
        <v>50</v>
      </c>
      <c r="S18" t="s">
        <v>47</v>
      </c>
      <c r="T18" s="37">
        <f>L51*D9</f>
        <v>231.98915167468226</v>
      </c>
      <c r="U18" s="37">
        <f>M51*D9</f>
        <v>2.1803907111017624</v>
      </c>
    </row>
    <row r="19" spans="9:21" x14ac:dyDescent="0.3">
      <c r="J19" t="s">
        <v>37</v>
      </c>
      <c r="K19">
        <v>217.70538523957501</v>
      </c>
      <c r="L19">
        <v>519.09752960552498</v>
      </c>
      <c r="N19" t="s">
        <v>32</v>
      </c>
      <c r="Q19" t="s">
        <v>51</v>
      </c>
      <c r="R19" t="s">
        <v>51</v>
      </c>
      <c r="S19" t="s">
        <v>29</v>
      </c>
      <c r="T19" s="37">
        <f>K10*E9+K23*F9+C9*L33+D9*L54+M78*B9</f>
        <v>32047.929112864687</v>
      </c>
      <c r="U19" s="37">
        <f>L10*E9+L23*F9+C9*M33+D9*M54+N78*B9</f>
        <v>743.38508593720428</v>
      </c>
    </row>
    <row r="20" spans="9:21" x14ac:dyDescent="0.3">
      <c r="J20" t="s">
        <v>39</v>
      </c>
      <c r="K20">
        <v>72.605735547331093</v>
      </c>
      <c r="L20">
        <v>173.12136147758</v>
      </c>
      <c r="N20" t="s">
        <v>32</v>
      </c>
      <c r="T20" s="37"/>
      <c r="U20" s="37">
        <f>SUM(U2:U19)</f>
        <v>1517.1772761088287</v>
      </c>
    </row>
    <row r="21" spans="9:21" x14ac:dyDescent="0.3">
      <c r="J21" t="s">
        <v>48</v>
      </c>
      <c r="K21">
        <v>2920</v>
      </c>
      <c r="L21">
        <v>392.54120201947802</v>
      </c>
      <c r="N21" t="s">
        <v>47</v>
      </c>
      <c r="Q21" t="s">
        <v>52</v>
      </c>
      <c r="R21" t="s">
        <v>55</v>
      </c>
      <c r="S21" t="s">
        <v>34</v>
      </c>
      <c r="T21" s="37">
        <v>2.1119647116181101E-2</v>
      </c>
      <c r="U21" s="37">
        <v>1.3495276577460601E-2</v>
      </c>
    </row>
    <row r="22" spans="9:21" x14ac:dyDescent="0.3">
      <c r="I22" t="s">
        <v>45</v>
      </c>
      <c r="J22" t="s">
        <v>46</v>
      </c>
      <c r="K22">
        <v>3.7564074653155699</v>
      </c>
      <c r="L22">
        <v>0.47736606170958101</v>
      </c>
      <c r="N22" t="s">
        <v>47</v>
      </c>
      <c r="R22" t="s">
        <v>53</v>
      </c>
      <c r="T22" s="37"/>
      <c r="U22" s="37">
        <v>9.5956870454252906E-3</v>
      </c>
    </row>
    <row r="23" spans="9:21" x14ac:dyDescent="0.3">
      <c r="J23" t="s">
        <v>51</v>
      </c>
      <c r="K23">
        <v>39582.797316286298</v>
      </c>
      <c r="L23">
        <v>914.00493292243402</v>
      </c>
      <c r="N23" t="s">
        <v>249</v>
      </c>
      <c r="T23" s="37"/>
      <c r="U23" s="37">
        <f>U21+U22</f>
        <v>2.3090963622885891E-2</v>
      </c>
    </row>
    <row r="24" spans="9:21" x14ac:dyDescent="0.3">
      <c r="I24" t="s">
        <v>232</v>
      </c>
      <c r="Q24" t="s">
        <v>52</v>
      </c>
      <c r="R24" t="s">
        <v>35</v>
      </c>
      <c r="T24" s="37"/>
      <c r="U24" s="37">
        <v>4.8985817518885097E-3</v>
      </c>
    </row>
    <row r="25" spans="9:21" x14ac:dyDescent="0.3">
      <c r="L25">
        <v>2218.3691389264391</v>
      </c>
      <c r="R25" t="s">
        <v>53</v>
      </c>
      <c r="T25" s="37"/>
      <c r="U25" s="37">
        <f>U23-U24</f>
        <v>1.8192381870997382E-2</v>
      </c>
    </row>
    <row r="27" spans="9:21" x14ac:dyDescent="0.3">
      <c r="I27" t="s">
        <v>239</v>
      </c>
      <c r="L27" t="s">
        <v>22</v>
      </c>
      <c r="M27" t="s">
        <v>23</v>
      </c>
    </row>
    <row r="28" spans="9:21" x14ac:dyDescent="0.3">
      <c r="I28" t="s">
        <v>24</v>
      </c>
      <c r="J28" t="s">
        <v>25</v>
      </c>
      <c r="K28" t="s">
        <v>26</v>
      </c>
      <c r="L28">
        <v>20</v>
      </c>
      <c r="M28">
        <v>132.856672183179</v>
      </c>
    </row>
    <row r="29" spans="9:21" x14ac:dyDescent="0.3">
      <c r="I29" t="s">
        <v>45</v>
      </c>
      <c r="J29" t="s">
        <v>49</v>
      </c>
      <c r="K29" t="s">
        <v>47</v>
      </c>
      <c r="L29">
        <v>1075.7012202496801</v>
      </c>
      <c r="M29">
        <v>144.60857877076299</v>
      </c>
    </row>
    <row r="30" spans="9:21" x14ac:dyDescent="0.3">
      <c r="J30" t="s">
        <v>50</v>
      </c>
      <c r="K30" t="s">
        <v>47</v>
      </c>
      <c r="L30">
        <v>0</v>
      </c>
      <c r="M30">
        <v>0</v>
      </c>
    </row>
    <row r="31" spans="9:21" x14ac:dyDescent="0.3">
      <c r="J31" t="s">
        <v>48</v>
      </c>
      <c r="K31" t="s">
        <v>47</v>
      </c>
      <c r="L31">
        <v>200</v>
      </c>
      <c r="M31">
        <v>26.886383699964199</v>
      </c>
    </row>
    <row r="32" spans="9:21" x14ac:dyDescent="0.3">
      <c r="J32" t="s">
        <v>46</v>
      </c>
      <c r="K32" t="s">
        <v>47</v>
      </c>
      <c r="L32">
        <v>2.3477546658222299</v>
      </c>
      <c r="M32">
        <v>0.31561316389339</v>
      </c>
    </row>
    <row r="33" spans="9:13" x14ac:dyDescent="0.3">
      <c r="I33" t="s">
        <v>240</v>
      </c>
      <c r="J33" t="s">
        <v>51</v>
      </c>
      <c r="K33" t="s">
        <v>29</v>
      </c>
      <c r="L33">
        <v>24739.248322678999</v>
      </c>
      <c r="M33">
        <v>571.25308307652097</v>
      </c>
    </row>
    <row r="34" spans="9:13" x14ac:dyDescent="0.3">
      <c r="I34" t="s">
        <v>241</v>
      </c>
    </row>
    <row r="35" spans="9:13" x14ac:dyDescent="0.3">
      <c r="I35" t="s">
        <v>30</v>
      </c>
      <c r="J35" t="s">
        <v>31</v>
      </c>
      <c r="K35" t="s">
        <v>32</v>
      </c>
      <c r="L35">
        <v>9.2984717707663709</v>
      </c>
      <c r="M35">
        <v>4.5953370056882097</v>
      </c>
    </row>
    <row r="36" spans="9:13" x14ac:dyDescent="0.3">
      <c r="I36" t="s">
        <v>35</v>
      </c>
      <c r="J36" t="s">
        <v>40</v>
      </c>
      <c r="K36" t="s">
        <v>41</v>
      </c>
      <c r="L36">
        <v>3.2367183222171601E-2</v>
      </c>
      <c r="M36">
        <v>0</v>
      </c>
    </row>
    <row r="37" spans="9:13" x14ac:dyDescent="0.3">
      <c r="J37" t="s">
        <v>54</v>
      </c>
      <c r="K37" t="s">
        <v>32</v>
      </c>
      <c r="L37">
        <v>2.4695954638114301</v>
      </c>
      <c r="M37">
        <v>24.376038547404399</v>
      </c>
    </row>
    <row r="38" spans="9:13" x14ac:dyDescent="0.3">
      <c r="J38" t="s">
        <v>37</v>
      </c>
      <c r="K38" t="s">
        <v>32</v>
      </c>
      <c r="L38">
        <v>90.710577183156204</v>
      </c>
      <c r="M38">
        <v>216.29063733563601</v>
      </c>
    </row>
    <row r="39" spans="9:13" x14ac:dyDescent="0.3">
      <c r="J39" t="s">
        <v>39</v>
      </c>
      <c r="K39" t="s">
        <v>32</v>
      </c>
      <c r="L39">
        <v>30.252389811387999</v>
      </c>
      <c r="M39">
        <v>72.133900615658206</v>
      </c>
    </row>
    <row r="40" spans="9:13" x14ac:dyDescent="0.3">
      <c r="I40" t="s">
        <v>243</v>
      </c>
    </row>
    <row r="41" spans="9:13" x14ac:dyDescent="0.3">
      <c r="I41" t="s">
        <v>30</v>
      </c>
      <c r="J41" t="s">
        <v>31</v>
      </c>
      <c r="K41" t="s">
        <v>32</v>
      </c>
      <c r="L41">
        <v>7.2993003400515999</v>
      </c>
      <c r="M41">
        <v>3.60733954946524</v>
      </c>
    </row>
    <row r="42" spans="9:13" x14ac:dyDescent="0.3">
      <c r="I42" t="s">
        <v>35</v>
      </c>
      <c r="J42" t="s">
        <v>40</v>
      </c>
      <c r="K42" t="s">
        <v>41</v>
      </c>
      <c r="L42">
        <v>2.5408238829404701E-2</v>
      </c>
      <c r="M42">
        <v>0</v>
      </c>
    </row>
    <row r="43" spans="9:13" x14ac:dyDescent="0.3">
      <c r="J43" t="s">
        <v>54</v>
      </c>
      <c r="K43" t="s">
        <v>32</v>
      </c>
      <c r="L43">
        <v>1.93863243909197</v>
      </c>
      <c r="M43">
        <v>19.135190259712498</v>
      </c>
    </row>
    <row r="44" spans="9:13" x14ac:dyDescent="0.3">
      <c r="J44" t="s">
        <v>37</v>
      </c>
      <c r="K44" t="s">
        <v>32</v>
      </c>
      <c r="L44">
        <v>71.207803088777595</v>
      </c>
      <c r="M44">
        <v>169.788150308474</v>
      </c>
    </row>
    <row r="45" spans="9:13" x14ac:dyDescent="0.3">
      <c r="J45" t="s">
        <v>39</v>
      </c>
      <c r="K45" t="s">
        <v>32</v>
      </c>
      <c r="L45">
        <v>23.7481260019396</v>
      </c>
      <c r="M45">
        <v>56.625111983291703</v>
      </c>
    </row>
    <row r="46" spans="9:13" x14ac:dyDescent="0.3">
      <c r="M46">
        <v>1442.4720364996508</v>
      </c>
    </row>
    <row r="48" spans="9:13" x14ac:dyDescent="0.3">
      <c r="I48" t="s">
        <v>244</v>
      </c>
      <c r="L48" t="s">
        <v>22</v>
      </c>
      <c r="M48" t="s">
        <v>23</v>
      </c>
    </row>
    <row r="49" spans="9:13" x14ac:dyDescent="0.3">
      <c r="I49" t="s">
        <v>24</v>
      </c>
      <c r="J49" t="s">
        <v>25</v>
      </c>
      <c r="K49" t="s">
        <v>26</v>
      </c>
      <c r="L49">
        <v>20</v>
      </c>
      <c r="M49">
        <v>132.856672183179</v>
      </c>
    </row>
    <row r="50" spans="9:13" x14ac:dyDescent="0.3">
      <c r="I50" t="s">
        <v>45</v>
      </c>
      <c r="J50" t="s">
        <v>49</v>
      </c>
      <c r="K50" t="s">
        <v>47</v>
      </c>
      <c r="L50">
        <v>0</v>
      </c>
      <c r="M50">
        <v>0</v>
      </c>
    </row>
    <row r="51" spans="9:13" x14ac:dyDescent="0.3">
      <c r="J51" t="s">
        <v>50</v>
      </c>
      <c r="K51" t="s">
        <v>47</v>
      </c>
      <c r="L51">
        <v>927.95660669872905</v>
      </c>
      <c r="M51">
        <v>8.7215628444070497</v>
      </c>
    </row>
    <row r="52" spans="9:13" x14ac:dyDescent="0.3">
      <c r="J52" t="s">
        <v>48</v>
      </c>
      <c r="K52" t="s">
        <v>47</v>
      </c>
      <c r="L52">
        <v>200</v>
      </c>
      <c r="M52">
        <v>26.886383699964199</v>
      </c>
    </row>
    <row r="53" spans="9:13" x14ac:dyDescent="0.3">
      <c r="J53" t="s">
        <v>46</v>
      </c>
      <c r="K53" t="s">
        <v>47</v>
      </c>
      <c r="L53">
        <v>2.3477546658222299</v>
      </c>
      <c r="M53">
        <v>0.31561316389339</v>
      </c>
    </row>
    <row r="54" spans="9:13" x14ac:dyDescent="0.3">
      <c r="I54" t="s">
        <v>240</v>
      </c>
      <c r="J54" t="s">
        <v>51</v>
      </c>
      <c r="K54" t="s">
        <v>29</v>
      </c>
      <c r="L54">
        <v>24739.248322678999</v>
      </c>
      <c r="M54">
        <v>571.25308307652097</v>
      </c>
    </row>
    <row r="55" spans="9:13" x14ac:dyDescent="0.3">
      <c r="I55" t="s">
        <v>241</v>
      </c>
    </row>
    <row r="56" spans="9:13" x14ac:dyDescent="0.3">
      <c r="I56" t="s">
        <v>30</v>
      </c>
      <c r="J56" t="s">
        <v>31</v>
      </c>
      <c r="K56" t="s">
        <v>32</v>
      </c>
      <c r="L56">
        <v>9.2984717707663709</v>
      </c>
      <c r="M56">
        <v>4.5953370056882097</v>
      </c>
    </row>
    <row r="57" spans="9:13" x14ac:dyDescent="0.3">
      <c r="I57" t="s">
        <v>35</v>
      </c>
      <c r="J57" t="s">
        <v>40</v>
      </c>
      <c r="K57" t="s">
        <v>41</v>
      </c>
      <c r="L57">
        <v>3.2367183222171601E-2</v>
      </c>
      <c r="M57">
        <v>0</v>
      </c>
    </row>
    <row r="58" spans="9:13" x14ac:dyDescent="0.3">
      <c r="J58" t="s">
        <v>54</v>
      </c>
      <c r="K58" t="s">
        <v>32</v>
      </c>
      <c r="L58">
        <v>2.4695954638114301</v>
      </c>
      <c r="M58">
        <v>24.376038547404399</v>
      </c>
    </row>
    <row r="59" spans="9:13" x14ac:dyDescent="0.3">
      <c r="J59" t="s">
        <v>37</v>
      </c>
      <c r="K59" t="s">
        <v>32</v>
      </c>
      <c r="L59">
        <v>90.710577183156204</v>
      </c>
      <c r="M59">
        <v>216.29063733563601</v>
      </c>
    </row>
    <row r="60" spans="9:13" x14ac:dyDescent="0.3">
      <c r="J60" t="s">
        <v>39</v>
      </c>
      <c r="K60" t="s">
        <v>32</v>
      </c>
      <c r="L60">
        <v>30.252389811387999</v>
      </c>
      <c r="M60">
        <v>72.133900615658206</v>
      </c>
    </row>
    <row r="61" spans="9:13" x14ac:dyDescent="0.3">
      <c r="I61" t="s">
        <v>243</v>
      </c>
    </row>
    <row r="62" spans="9:13" x14ac:dyDescent="0.3">
      <c r="I62" t="s">
        <v>30</v>
      </c>
      <c r="J62" t="s">
        <v>31</v>
      </c>
      <c r="K62" t="s">
        <v>32</v>
      </c>
      <c r="L62">
        <v>7.2993003400515999</v>
      </c>
      <c r="M62">
        <v>3.60733954946524</v>
      </c>
    </row>
    <row r="63" spans="9:13" x14ac:dyDescent="0.3">
      <c r="I63" t="s">
        <v>35</v>
      </c>
      <c r="J63" t="s">
        <v>40</v>
      </c>
      <c r="K63" t="s">
        <v>41</v>
      </c>
      <c r="L63">
        <v>2.5408238829404701E-2</v>
      </c>
      <c r="M63">
        <v>0</v>
      </c>
    </row>
    <row r="64" spans="9:13" x14ac:dyDescent="0.3">
      <c r="J64" t="s">
        <v>54</v>
      </c>
      <c r="K64" t="s">
        <v>32</v>
      </c>
      <c r="L64">
        <v>1.93863243909197</v>
      </c>
      <c r="M64">
        <v>19.135190259712498</v>
      </c>
    </row>
    <row r="65" spans="9:14" x14ac:dyDescent="0.3">
      <c r="J65" t="s">
        <v>37</v>
      </c>
      <c r="K65" t="s">
        <v>32</v>
      </c>
      <c r="L65">
        <v>71.207803088777595</v>
      </c>
      <c r="M65">
        <v>169.788150308474</v>
      </c>
    </row>
    <row r="66" spans="9:14" x14ac:dyDescent="0.3">
      <c r="J66" t="s">
        <v>39</v>
      </c>
      <c r="K66" t="s">
        <v>32</v>
      </c>
      <c r="L66">
        <v>23.7481260019396</v>
      </c>
      <c r="M66">
        <v>56.625111983291703</v>
      </c>
    </row>
    <row r="67" spans="9:14" x14ac:dyDescent="0.3">
      <c r="M67">
        <v>1306.585020573295</v>
      </c>
    </row>
    <row r="69" spans="9:14" x14ac:dyDescent="0.3">
      <c r="M69" t="s">
        <v>22</v>
      </c>
      <c r="N69" t="s">
        <v>23</v>
      </c>
    </row>
    <row r="70" spans="9:14" x14ac:dyDescent="0.3">
      <c r="I70" t="s">
        <v>24</v>
      </c>
      <c r="J70" t="s">
        <v>25</v>
      </c>
      <c r="K70" t="s">
        <v>25</v>
      </c>
      <c r="L70" t="s">
        <v>26</v>
      </c>
      <c r="M70">
        <v>20</v>
      </c>
      <c r="N70">
        <v>132.856672183179</v>
      </c>
    </row>
    <row r="71" spans="9:14" x14ac:dyDescent="0.3">
      <c r="I71" t="s">
        <v>30</v>
      </c>
      <c r="J71" t="s">
        <v>33</v>
      </c>
      <c r="K71" t="s">
        <v>33</v>
      </c>
      <c r="L71" t="s">
        <v>32</v>
      </c>
      <c r="M71">
        <v>9895.6993785500708</v>
      </c>
      <c r="N71">
        <v>6323.2685331480197</v>
      </c>
    </row>
    <row r="72" spans="9:14" x14ac:dyDescent="0.3">
      <c r="I72" t="s">
        <v>35</v>
      </c>
      <c r="J72" t="s">
        <v>42</v>
      </c>
      <c r="K72" t="s">
        <v>33</v>
      </c>
      <c r="L72" t="s">
        <v>41</v>
      </c>
      <c r="M72">
        <v>10.9949465962092</v>
      </c>
      <c r="N72">
        <v>7.0256782442434602</v>
      </c>
    </row>
    <row r="73" spans="9:14" x14ac:dyDescent="0.3">
      <c r="J73" t="s">
        <v>43</v>
      </c>
      <c r="K73" t="s">
        <v>245</v>
      </c>
      <c r="L73" t="s">
        <v>32</v>
      </c>
      <c r="M73">
        <v>7.9219724107902598</v>
      </c>
      <c r="N73">
        <v>81.306554455652702</v>
      </c>
    </row>
    <row r="74" spans="9:14" x14ac:dyDescent="0.3">
      <c r="J74" t="s">
        <v>37</v>
      </c>
      <c r="K74" t="s">
        <v>246</v>
      </c>
      <c r="L74" t="s">
        <v>32</v>
      </c>
      <c r="M74">
        <v>348.32861638332002</v>
      </c>
      <c r="N74">
        <v>830.55603934529995</v>
      </c>
    </row>
    <row r="75" spans="9:14" x14ac:dyDescent="0.3">
      <c r="J75" t="s">
        <v>44</v>
      </c>
      <c r="K75" t="s">
        <v>44</v>
      </c>
      <c r="L75" t="s">
        <v>32</v>
      </c>
      <c r="M75">
        <v>0.30357432659765998</v>
      </c>
      <c r="N75">
        <v>86.045945731984801</v>
      </c>
    </row>
    <row r="76" spans="9:14" x14ac:dyDescent="0.3">
      <c r="I76" t="s">
        <v>45</v>
      </c>
      <c r="J76" t="s">
        <v>48</v>
      </c>
      <c r="K76" t="s">
        <v>247</v>
      </c>
      <c r="L76" t="s">
        <v>47</v>
      </c>
      <c r="M76">
        <v>2920</v>
      </c>
      <c r="N76">
        <v>392.54120201947802</v>
      </c>
    </row>
    <row r="77" spans="9:14" x14ac:dyDescent="0.3">
      <c r="J77" t="s">
        <v>46</v>
      </c>
      <c r="K77" t="s">
        <v>247</v>
      </c>
      <c r="L77" t="s">
        <v>47</v>
      </c>
      <c r="M77">
        <v>2.6831481895111202</v>
      </c>
      <c r="N77">
        <v>0.36070002177054</v>
      </c>
    </row>
    <row r="78" spans="9:14" x14ac:dyDescent="0.3">
      <c r="I78" t="s">
        <v>240</v>
      </c>
      <c r="J78" t="s">
        <v>238</v>
      </c>
      <c r="M78">
        <v>28273.426654490198</v>
      </c>
      <c r="N78">
        <v>989.61272669511095</v>
      </c>
    </row>
    <row r="79" spans="9:14" x14ac:dyDescent="0.3">
      <c r="N79">
        <v>8843.5740518447401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3C24-FE5C-4D82-B22D-B6FD4DAE918B}">
  <dimension ref="A1:H70"/>
  <sheetViews>
    <sheetView topLeftCell="A19" zoomScaleNormal="100" workbookViewId="0">
      <selection activeCell="J73" sqref="J73"/>
    </sheetView>
  </sheetViews>
  <sheetFormatPr defaultColWidth="8.6640625" defaultRowHeight="14" x14ac:dyDescent="0.3"/>
  <cols>
    <col min="1" max="10" width="8.6640625" style="7"/>
    <col min="11" max="11" width="16.1640625" style="7" bestFit="1" customWidth="1"/>
    <col min="12" max="16384" width="8.6640625" style="7"/>
  </cols>
  <sheetData>
    <row r="1" spans="1:8" ht="14.5" x14ac:dyDescent="0.3">
      <c r="A1" s="20" t="s">
        <v>56</v>
      </c>
      <c r="D1" s="7" t="s">
        <v>22</v>
      </c>
      <c r="E1" s="7" t="s">
        <v>23</v>
      </c>
    </row>
    <row r="2" spans="1:8" x14ac:dyDescent="0.3">
      <c r="A2" s="7" t="s">
        <v>24</v>
      </c>
      <c r="B2" s="7" t="s">
        <v>25</v>
      </c>
      <c r="C2" s="7" t="s">
        <v>26</v>
      </c>
      <c r="D2" s="7">
        <f>'Case(Mode_Orl_NoGe)'!T2</f>
        <v>20</v>
      </c>
      <c r="E2" s="7">
        <f>'Case(Mode_Orl_NoGe)'!U2</f>
        <v>132.856672183179</v>
      </c>
    </row>
    <row r="3" spans="1:8" x14ac:dyDescent="0.3">
      <c r="A3" s="7" t="s">
        <v>27</v>
      </c>
      <c r="B3" s="7" t="s">
        <v>28</v>
      </c>
      <c r="C3" s="7" t="s">
        <v>29</v>
      </c>
      <c r="D3" s="7">
        <f>'Case(Mode_Orl_NoGe)'!T3</f>
        <v>1.4566397151846815E-3</v>
      </c>
      <c r="E3" s="7">
        <f>'Case(Mode_Orl_NoGe)'!U3</f>
        <v>5.4878556972922894</v>
      </c>
    </row>
    <row r="4" spans="1:8" x14ac:dyDescent="0.3">
      <c r="A4" s="7" t="s">
        <v>30</v>
      </c>
      <c r="B4" s="7" t="s">
        <v>31</v>
      </c>
      <c r="C4" s="7" t="s">
        <v>32</v>
      </c>
      <c r="D4" s="7">
        <f>'Case(Mode_Orl_NoGe)'!T4</f>
        <v>16.145214976871522</v>
      </c>
      <c r="E4" s="7">
        <f>'Case(Mode_Orl_NoGe)'!U4</f>
        <v>7.5373944970273987</v>
      </c>
    </row>
    <row r="5" spans="1:8" x14ac:dyDescent="0.3">
      <c r="B5" s="7" t="s">
        <v>33</v>
      </c>
      <c r="C5" s="7" t="s">
        <v>34</v>
      </c>
      <c r="D5" s="7">
        <f>'Case(Mode_Orl_NoGe)'!T5</f>
        <v>98.956993785500714</v>
      </c>
      <c r="E5" s="7">
        <f>'Case(Mode_Orl_NoGe)'!U5</f>
        <v>63.232685331480198</v>
      </c>
    </row>
    <row r="6" spans="1:8" x14ac:dyDescent="0.3">
      <c r="A6" s="7" t="s">
        <v>35</v>
      </c>
      <c r="B6" s="7" t="s">
        <v>36</v>
      </c>
      <c r="C6" s="7" t="s">
        <v>32</v>
      </c>
      <c r="D6" s="7">
        <f>'Case(Mode_Orl_NoGe)'!T6</f>
        <v>0.75327943015063525</v>
      </c>
      <c r="E6" s="7">
        <f>'Case(Mode_Orl_NoGe)'!U6</f>
        <v>1.0943989297141858</v>
      </c>
    </row>
    <row r="7" spans="1:8" x14ac:dyDescent="0.3">
      <c r="B7" s="7" t="s">
        <v>37</v>
      </c>
      <c r="C7" s="7" t="s">
        <v>32</v>
      </c>
      <c r="D7" s="7">
        <f>'Case(Mode_Orl_NoGe)'!T7</f>
        <v>139.73783300251256</v>
      </c>
      <c r="E7" s="7">
        <f>'Case(Mode_Orl_NoGe)'!U7</f>
        <v>333.19140830719266</v>
      </c>
    </row>
    <row r="8" spans="1:8" x14ac:dyDescent="0.3">
      <c r="B8" s="7" t="s">
        <v>38</v>
      </c>
      <c r="C8" s="7" t="s">
        <v>32</v>
      </c>
      <c r="D8" s="7">
        <f>'Case(Mode_Orl_NoGe)'!T8</f>
        <v>2.5084388009207097</v>
      </c>
      <c r="E8" s="7">
        <f>'Case(Mode_Orl_NoGe)'!U8</f>
        <v>5.9811614019655046</v>
      </c>
    </row>
    <row r="9" spans="1:8" ht="14.5" x14ac:dyDescent="0.3">
      <c r="B9" s="7" t="s">
        <v>54</v>
      </c>
      <c r="C9" s="7" t="s">
        <v>32</v>
      </c>
      <c r="D9" s="7">
        <f>'Case(Mode_Orl_NoGe)'!T9</f>
        <v>2.7057320434114494</v>
      </c>
      <c r="E9" s="7">
        <f>'Case(Mode_Orl_NoGe)'!U9</f>
        <v>26.706814762023296</v>
      </c>
      <c r="H9" s="8"/>
    </row>
    <row r="10" spans="1:8" x14ac:dyDescent="0.3">
      <c r="B10" s="7" t="s">
        <v>39</v>
      </c>
      <c r="C10" s="7" t="s">
        <v>32</v>
      </c>
      <c r="D10" s="7">
        <f>'Case(Mode_Orl_NoGe)'!T10</f>
        <v>33.145048127079313</v>
      </c>
      <c r="E10" s="7">
        <f>'Case(Mode_Orl_NoGe)'!U10</f>
        <v>79.031164889986371</v>
      </c>
    </row>
    <row r="11" spans="1:8" x14ac:dyDescent="0.3">
      <c r="B11" s="7" t="s">
        <v>40</v>
      </c>
      <c r="C11" s="7" t="s">
        <v>41</v>
      </c>
      <c r="D11" s="7">
        <f>'Case(Mode_Orl_NoGe)'!T11</f>
        <v>3.5462052827080461E-2</v>
      </c>
      <c r="E11" s="7">
        <f>'Case(Mode_Orl_NoGe)'!U11</f>
        <v>0</v>
      </c>
    </row>
    <row r="12" spans="1:8" x14ac:dyDescent="0.3">
      <c r="B12" s="7" t="s">
        <v>42</v>
      </c>
      <c r="C12" s="7" t="s">
        <v>34</v>
      </c>
      <c r="D12" s="7">
        <f>'Case(Mode_Orl_NoGe)'!T12</f>
        <v>0.109949465962092</v>
      </c>
      <c r="E12" s="7">
        <f>'Case(Mode_Orl_NoGe)'!U12</f>
        <v>7.0256782442434607E-2</v>
      </c>
    </row>
    <row r="13" spans="1:8" x14ac:dyDescent="0.3">
      <c r="B13" s="7" t="s">
        <v>43</v>
      </c>
      <c r="C13" s="7" t="s">
        <v>32</v>
      </c>
      <c r="D13" s="7">
        <f>'Case(Mode_Orl_NoGe)'!T13</f>
        <v>7.9219724107902595E-2</v>
      </c>
      <c r="E13" s="7">
        <f>'Case(Mode_Orl_NoGe)'!U13</f>
        <v>0.81306554455652702</v>
      </c>
    </row>
    <row r="14" spans="1:8" x14ac:dyDescent="0.3">
      <c r="B14" s="7" t="s">
        <v>44</v>
      </c>
      <c r="C14" s="7" t="s">
        <v>32</v>
      </c>
      <c r="D14" s="7">
        <f>'Case(Mode_Orl_NoGe)'!T14</f>
        <v>3.0357432659765997E-3</v>
      </c>
      <c r="E14" s="7">
        <f>'Case(Mode_Orl_NoGe)'!U14</f>
        <v>0.86045945731984808</v>
      </c>
    </row>
    <row r="15" spans="1:8" x14ac:dyDescent="0.3">
      <c r="A15" s="7" t="s">
        <v>45</v>
      </c>
      <c r="B15" s="7" t="s">
        <v>46</v>
      </c>
      <c r="C15" s="7" t="s">
        <v>47</v>
      </c>
      <c r="D15" s="7">
        <f>'Case(Mode_Orl_NoGe)'!T15</f>
        <v>7.2966383047337589</v>
      </c>
      <c r="E15" s="7">
        <f>'Case(Mode_Orl_NoGe)'!U15</f>
        <v>1.4629885377204601</v>
      </c>
    </row>
    <row r="16" spans="1:8" x14ac:dyDescent="0.3">
      <c r="B16" s="7" t="s">
        <v>48</v>
      </c>
      <c r="C16" s="7" t="s">
        <v>47</v>
      </c>
      <c r="D16" s="7">
        <f>'Case(Mode_Orl_NoGe)'!T16</f>
        <v>497.93661978802783</v>
      </c>
      <c r="E16" s="7">
        <f>'Case(Mode_Orl_NoGe)'!U16</f>
        <v>77.13332844593171</v>
      </c>
    </row>
    <row r="17" spans="1:5" x14ac:dyDescent="0.3">
      <c r="B17" s="7" t="s">
        <v>49</v>
      </c>
      <c r="C17" s="7" t="s">
        <v>47</v>
      </c>
      <c r="D17" s="7">
        <f>'Case(Mode_Orl_NoGe)'!T17</f>
        <v>268.92530506242002</v>
      </c>
      <c r="E17" s="7">
        <f>'Case(Mode_Orl_NoGe)'!U17</f>
        <v>36.152144692690747</v>
      </c>
    </row>
    <row r="18" spans="1:5" x14ac:dyDescent="0.3">
      <c r="B18" s="7" t="s">
        <v>50</v>
      </c>
      <c r="C18" s="7" t="s">
        <v>47</v>
      </c>
      <c r="D18" s="7">
        <f>'Case(Mode_Orl_NoGe)'!T18</f>
        <v>231.98915167468226</v>
      </c>
      <c r="E18" s="7">
        <f>'Case(Mode_Orl_NoGe)'!U18</f>
        <v>2.1803907111017624</v>
      </c>
    </row>
    <row r="19" spans="1:5" x14ac:dyDescent="0.3">
      <c r="A19" s="7" t="s">
        <v>51</v>
      </c>
      <c r="B19" s="7" t="s">
        <v>51</v>
      </c>
      <c r="C19" s="7" t="s">
        <v>29</v>
      </c>
      <c r="D19" s="7">
        <f>'Case(Mode_Orl_NoGe)'!T19</f>
        <v>32047.929112864687</v>
      </c>
      <c r="E19" s="7">
        <f>'Case(Mode_Orl_NoGe)'!U19</f>
        <v>743.38508593720428</v>
      </c>
    </row>
    <row r="20" spans="1:5" x14ac:dyDescent="0.3">
      <c r="E20" s="6">
        <f>'Case(Mode_Orl_NoGe)'!U20</f>
        <v>1517.1772761088287</v>
      </c>
    </row>
    <row r="21" spans="1:5" x14ac:dyDescent="0.3">
      <c r="A21" s="7" t="s">
        <v>52</v>
      </c>
      <c r="B21" s="7" t="s">
        <v>55</v>
      </c>
      <c r="C21" s="7" t="s">
        <v>34</v>
      </c>
      <c r="D21" s="7">
        <f>'Case(Mode_Orl_NoGe)'!T21</f>
        <v>2.1119647116181101E-2</v>
      </c>
      <c r="E21" s="7">
        <f>'Case(Mode_Orl_NoGe)'!U21</f>
        <v>1.3495276577460601E-2</v>
      </c>
    </row>
    <row r="22" spans="1:5" x14ac:dyDescent="0.3">
      <c r="B22" s="7" t="s">
        <v>53</v>
      </c>
      <c r="E22" s="7">
        <f>'Case(Mode_Orl_NoGe)'!U22</f>
        <v>9.5956870454252906E-3</v>
      </c>
    </row>
    <row r="23" spans="1:5" x14ac:dyDescent="0.3">
      <c r="E23" s="7">
        <f>'Case(Mode_Orl_NoGe)'!U23</f>
        <v>2.3090963622885891E-2</v>
      </c>
    </row>
    <row r="24" spans="1:5" x14ac:dyDescent="0.3">
      <c r="A24" s="7" t="s">
        <v>52</v>
      </c>
      <c r="B24" s="7" t="s">
        <v>35</v>
      </c>
      <c r="E24" s="7">
        <f>'Case(Mode_Orl_NoGe)'!U24</f>
        <v>4.8985817518885097E-3</v>
      </c>
    </row>
    <row r="25" spans="1:5" x14ac:dyDescent="0.3">
      <c r="B25" s="7" t="s">
        <v>53</v>
      </c>
      <c r="E25" s="7">
        <f>'Case(Mode_Orl_NoGe)'!U25</f>
        <v>1.8192381870997382E-2</v>
      </c>
    </row>
    <row r="26" spans="1:5" ht="14.5" x14ac:dyDescent="0.3">
      <c r="C26" s="7" t="s">
        <v>92</v>
      </c>
      <c r="D26" s="7" t="s">
        <v>91</v>
      </c>
      <c r="E26" s="8" t="s">
        <v>89</v>
      </c>
    </row>
    <row r="27" spans="1:5" ht="14.5" x14ac:dyDescent="0.3">
      <c r="B27" s="8" t="s">
        <v>90</v>
      </c>
      <c r="C27" s="7">
        <f>D5+D12+D19*D21</f>
        <v>775.90789691955183</v>
      </c>
      <c r="D27" s="7">
        <f>E5+E12+E21*D19</f>
        <v>495.79860922688317</v>
      </c>
      <c r="E27" s="7">
        <f>D27/E20</f>
        <v>0.32679016291258967</v>
      </c>
    </row>
    <row r="28" spans="1:5" ht="14.5" x14ac:dyDescent="0.3">
      <c r="B28" s="8" t="s">
        <v>100</v>
      </c>
      <c r="D28" s="7">
        <f>E20-D27</f>
        <v>1021.3786668819455</v>
      </c>
    </row>
    <row r="29" spans="1:5" ht="14.5" x14ac:dyDescent="0.3">
      <c r="B29" s="8" t="s">
        <v>124</v>
      </c>
      <c r="D29" s="7">
        <f>SUM(E6:E14)+D19*E24</f>
        <v>604.73813081329627</v>
      </c>
    </row>
    <row r="30" spans="1:5" ht="14.5" x14ac:dyDescent="0.3">
      <c r="B30" s="8" t="s">
        <v>100</v>
      </c>
      <c r="D30" s="7">
        <f>E20-D29</f>
        <v>912.4391452955324</v>
      </c>
    </row>
    <row r="39" spans="1:5" ht="14.5" x14ac:dyDescent="0.3">
      <c r="A39" s="6" t="s">
        <v>83</v>
      </c>
      <c r="D39" s="7" t="s">
        <v>22</v>
      </c>
      <c r="E39" s="7" t="s">
        <v>23</v>
      </c>
    </row>
    <row r="40" spans="1:5" ht="14.5" x14ac:dyDescent="0.3">
      <c r="A40" s="7" t="s">
        <v>59</v>
      </c>
      <c r="B40" s="7" t="s">
        <v>60</v>
      </c>
      <c r="C40" s="7" t="s">
        <v>26</v>
      </c>
      <c r="D40" s="7">
        <f>'Case(Mode_Orl_Gene)'!P2</f>
        <v>20</v>
      </c>
      <c r="E40" s="7">
        <f>'Case(Mode_Orl_Gene)'!Q2</f>
        <v>132.856672183179</v>
      </c>
    </row>
    <row r="41" spans="1:5" ht="14.5" x14ac:dyDescent="0.3">
      <c r="A41" s="7" t="s">
        <v>61</v>
      </c>
      <c r="B41" s="7" t="s">
        <v>62</v>
      </c>
      <c r="C41" s="7" t="s">
        <v>29</v>
      </c>
      <c r="D41" s="7">
        <f>'Case(Mode_Orl_Gene)'!P3</f>
        <v>5.9459858576238391E-4</v>
      </c>
      <c r="E41" s="7">
        <f>'Case(Mode_Orl_Gene)'!Q3</f>
        <v>3.0167123422515836</v>
      </c>
    </row>
    <row r="42" spans="1:5" ht="14.5" x14ac:dyDescent="0.3">
      <c r="A42" s="7" t="s">
        <v>63</v>
      </c>
      <c r="B42" s="7" t="s">
        <v>64</v>
      </c>
      <c r="C42" s="7" t="s">
        <v>32</v>
      </c>
      <c r="D42" s="7">
        <f>'Case(Mode_Orl_Gene)'!P4</f>
        <v>3.5411241239542344</v>
      </c>
      <c r="E42" s="7">
        <f>'Case(Mode_Orl_Gene)'!Q4</f>
        <v>1.5319003268954634</v>
      </c>
    </row>
    <row r="43" spans="1:5" ht="14.5" x14ac:dyDescent="0.3">
      <c r="B43" s="7" t="s">
        <v>65</v>
      </c>
      <c r="C43" s="7" t="s">
        <v>34</v>
      </c>
      <c r="D43" s="7">
        <f>'Case(Mode_Orl_Gene)'!P5</f>
        <v>48.888344480961997</v>
      </c>
      <c r="E43" s="7">
        <f>'Case(Mode_Orl_Gene)'!Q5</f>
        <v>31.239240246550597</v>
      </c>
    </row>
    <row r="44" spans="1:5" ht="14.5" x14ac:dyDescent="0.3">
      <c r="A44" s="7" t="s">
        <v>66</v>
      </c>
      <c r="B44" s="7" t="s">
        <v>67</v>
      </c>
      <c r="C44" s="7" t="s">
        <v>32</v>
      </c>
      <c r="D44" s="7">
        <f>'Case(Mode_Orl_Gene)'!P6</f>
        <v>0.27629122392500688</v>
      </c>
      <c r="E44" s="7">
        <f>'Case(Mode_Orl_Gene)'!Q6</f>
        <v>0.54067276933894315</v>
      </c>
    </row>
    <row r="45" spans="1:5" ht="14.5" x14ac:dyDescent="0.3">
      <c r="B45" s="7" t="s">
        <v>68</v>
      </c>
      <c r="C45" s="7" t="s">
        <v>32</v>
      </c>
      <c r="D45" s="7">
        <f>'Case(Mode_Orl_Gene)'!P7</f>
        <v>41.648421289784999</v>
      </c>
      <c r="E45" s="7">
        <f>'Case(Mode_Orl_Gene)'!Q7</f>
        <v>99.308876737590126</v>
      </c>
    </row>
    <row r="46" spans="1:5" ht="14.5" x14ac:dyDescent="0.3">
      <c r="B46" s="7" t="s">
        <v>69</v>
      </c>
      <c r="C46" s="7" t="s">
        <v>32</v>
      </c>
      <c r="D46" s="7">
        <f>'Case(Mode_Orl_Gene)'!P8</f>
        <v>2.5351553211454463</v>
      </c>
      <c r="E46" s="7">
        <f>'Case(Mode_Orl_Gene)'!Q8</f>
        <v>6.0448646980173528</v>
      </c>
    </row>
    <row r="47" spans="1:5" ht="14.5" x14ac:dyDescent="0.3">
      <c r="B47" s="7" t="s">
        <v>70</v>
      </c>
      <c r="C47" s="7" t="s">
        <v>32</v>
      </c>
      <c r="D47" s="7">
        <f>'Case(Mode_Orl_Gene)'!P9</f>
        <v>8.5516713947127254</v>
      </c>
      <c r="E47" s="7">
        <f>'Case(Mode_Orl_Gene)'!Q9</f>
        <v>20.3893126284222</v>
      </c>
    </row>
    <row r="48" spans="1:5" ht="14.5" x14ac:dyDescent="0.3">
      <c r="B48" s="7" t="s">
        <v>71</v>
      </c>
      <c r="C48" s="7" t="s">
        <v>41</v>
      </c>
      <c r="D48" s="7">
        <f>'Case(Mode_Orl_Gene)'!P10</f>
        <v>4.1463426955598798E-4</v>
      </c>
      <c r="E48" s="7">
        <f>'Case(Mode_Orl_Gene)'!Q10</f>
        <v>0</v>
      </c>
    </row>
    <row r="49" spans="1:5" ht="14.5" x14ac:dyDescent="0.3">
      <c r="B49" s="7" t="s">
        <v>72</v>
      </c>
      <c r="C49" s="7" t="s">
        <v>34</v>
      </c>
      <c r="D49" s="7">
        <f>'Case(Mode_Orl_Gene)'!P11</f>
        <v>5.4319024475460297E-2</v>
      </c>
      <c r="E49" s="7">
        <f>'Case(Mode_Orl_Gene)'!Q11</f>
        <v>3.4709399010391204E-2</v>
      </c>
    </row>
    <row r="50" spans="1:5" ht="14.5" x14ac:dyDescent="0.3">
      <c r="B50" s="7" t="s">
        <v>73</v>
      </c>
      <c r="C50" s="7" t="s">
        <v>32</v>
      </c>
      <c r="D50" s="7">
        <f>'Case(Mode_Orl_Gene)'!P12</f>
        <v>3.9137417313513598E-2</v>
      </c>
      <c r="E50" s="7">
        <f>'Case(Mode_Orl_Gene)'!Q12</f>
        <v>0.40168387202668399</v>
      </c>
    </row>
    <row r="51" spans="1:5" ht="14.5" x14ac:dyDescent="0.3">
      <c r="B51" s="7" t="s">
        <v>74</v>
      </c>
      <c r="C51" s="7" t="s">
        <v>32</v>
      </c>
      <c r="D51" s="7">
        <f>'Case(Mode_Orl_Gene)'!P13</f>
        <v>1.4997672914814301E-3</v>
      </c>
      <c r="E51" s="7">
        <f>'Case(Mode_Orl_Gene)'!Q13</f>
        <v>0.42509818409133998</v>
      </c>
    </row>
    <row r="52" spans="1:5" ht="14.5" x14ac:dyDescent="0.3">
      <c r="B52" s="7" t="s">
        <v>86</v>
      </c>
      <c r="C52" s="7" t="s">
        <v>32</v>
      </c>
      <c r="D52" s="7">
        <f>'Case(Mode_Orl_Gene)'!P14</f>
        <v>2.1731974400897331</v>
      </c>
      <c r="E52" s="7">
        <f>'Case(Mode_Orl_Gene)'!Q14</f>
        <v>5.1816144687479628</v>
      </c>
    </row>
    <row r="53" spans="1:5" ht="14.5" x14ac:dyDescent="0.3">
      <c r="B53" s="7" t="s">
        <v>87</v>
      </c>
      <c r="C53" s="7" t="s">
        <v>32</v>
      </c>
      <c r="D53" s="7">
        <f>'Case(Mode_Orl_Gene)'!P15</f>
        <v>1.58398235326326</v>
      </c>
      <c r="E53" s="7">
        <f>'Case(Mode_Orl_Gene)'!Q15</f>
        <v>3.7766643601765502</v>
      </c>
    </row>
    <row r="54" spans="1:5" ht="14.5" x14ac:dyDescent="0.3">
      <c r="A54" s="7" t="s">
        <v>75</v>
      </c>
      <c r="B54" s="7" t="s">
        <v>76</v>
      </c>
      <c r="C54" s="7" t="s">
        <v>47</v>
      </c>
      <c r="D54" s="7">
        <f>'Case(Mode_Orl_Gene)'!P16</f>
        <v>3.6226626249818761</v>
      </c>
      <c r="E54" s="7">
        <f>'Case(Mode_Orl_Gene)'!Q16</f>
        <v>0.78977696346612358</v>
      </c>
    </row>
    <row r="55" spans="1:5" ht="14.5" x14ac:dyDescent="0.3">
      <c r="B55" s="7" t="s">
        <v>77</v>
      </c>
      <c r="C55" s="7" t="s">
        <v>47</v>
      </c>
      <c r="D55" s="7">
        <f>'Case(Mode_Orl_Gene)'!P17</f>
        <v>276.2</v>
      </c>
      <c r="E55" s="7">
        <f>'Case(Mode_Orl_Gene)'!Q17</f>
        <v>57.836432912637697</v>
      </c>
    </row>
    <row r="56" spans="1:5" ht="14.5" x14ac:dyDescent="0.3">
      <c r="B56" s="7" t="s">
        <v>78</v>
      </c>
      <c r="C56" s="7" t="s">
        <v>47</v>
      </c>
      <c r="D56" s="7">
        <f>'Case(Mode_Orl_Gene)'!P18</f>
        <v>151.3134016640285</v>
      </c>
      <c r="E56" s="7">
        <f>'Case(Mode_Orl_Gene)'!Q18</f>
        <v>33.026153677797751</v>
      </c>
    </row>
    <row r="57" spans="1:5" ht="14.5" x14ac:dyDescent="0.3">
      <c r="B57" s="7" t="s">
        <v>79</v>
      </c>
      <c r="C57" s="7" t="s">
        <v>47</v>
      </c>
      <c r="D57" s="7">
        <f>'Case(Mode_Orl_Gene)'!P19</f>
        <v>143.54200225798925</v>
      </c>
      <c r="E57" s="7">
        <f>'Case(Mode_Orl_Gene)'!Q19</f>
        <v>1.3491046719941251</v>
      </c>
    </row>
    <row r="58" spans="1:5" ht="14.5" x14ac:dyDescent="0.3">
      <c r="A58" s="7" t="s">
        <v>80</v>
      </c>
      <c r="B58" s="7" t="s">
        <v>80</v>
      </c>
      <c r="C58" s="7" t="s">
        <v>29</v>
      </c>
      <c r="D58" s="7">
        <f>'Case(Mode_Orl_Gene)'!P20</f>
        <v>15832.839483455953</v>
      </c>
      <c r="E58" s="7">
        <f>'Case(Mode_Orl_Gene)'!Q20</f>
        <v>366.16008231532186</v>
      </c>
    </row>
    <row r="59" spans="1:5" x14ac:dyDescent="0.3">
      <c r="D59" s="7" t="str">
        <f>'Case(Mode_Orl_Gene)'!P21</f>
        <v>1粒苗</v>
      </c>
      <c r="E59" s="6">
        <f>'Case(Mode_Orl_Gene)'!Q21</f>
        <v>763.90957275751578</v>
      </c>
    </row>
    <row r="60" spans="1:5" ht="14.5" x14ac:dyDescent="0.3">
      <c r="A60" s="7" t="s">
        <v>81</v>
      </c>
      <c r="B60" s="7" t="s">
        <v>88</v>
      </c>
      <c r="C60" s="7" t="s">
        <v>34</v>
      </c>
      <c r="D60" s="7">
        <f>'Case(Mode_Orl_Gene)'!P22</f>
        <v>2.1119647116181101E-2</v>
      </c>
      <c r="E60" s="7">
        <f>'Case(Mode_Orl_Gene)'!Q22</f>
        <v>1.3495276577460601E-2</v>
      </c>
    </row>
    <row r="61" spans="1:5" ht="14.5" x14ac:dyDescent="0.3">
      <c r="B61" s="7" t="s">
        <v>82</v>
      </c>
      <c r="E61" s="7">
        <f>'Case(Mode_Orl_Gene)'!Q23</f>
        <v>9.5956870454252906E-3</v>
      </c>
    </row>
    <row r="62" spans="1:5" x14ac:dyDescent="0.3">
      <c r="E62" s="7">
        <f>'Case(Mode_Orl_Gene)'!Q24</f>
        <v>2.3090963622885891E-2</v>
      </c>
    </row>
    <row r="64" spans="1:5" ht="14.5" x14ac:dyDescent="0.3">
      <c r="A64" s="7" t="s">
        <v>81</v>
      </c>
      <c r="B64" s="7" t="s">
        <v>66</v>
      </c>
      <c r="E64" s="7">
        <f>'Case(Mode_Orl_Gene)'!Q26</f>
        <v>4.8985817518885097E-3</v>
      </c>
    </row>
    <row r="65" spans="2:5" ht="14.5" x14ac:dyDescent="0.3">
      <c r="B65" s="7" t="s">
        <v>82</v>
      </c>
      <c r="E65" s="7">
        <f>'Case(Mode_Orl_Gene)'!Q27</f>
        <v>1.81923818709974E-2</v>
      </c>
    </row>
    <row r="66" spans="2:5" ht="14.5" x14ac:dyDescent="0.3">
      <c r="C66" s="7" t="s">
        <v>92</v>
      </c>
      <c r="D66" s="7" t="s">
        <v>91</v>
      </c>
      <c r="E66" s="8" t="s">
        <v>89</v>
      </c>
    </row>
    <row r="67" spans="2:5" ht="14.5" x14ac:dyDescent="0.3">
      <c r="B67" s="8" t="s">
        <v>90</v>
      </c>
      <c r="C67" s="7">
        <f>D43+D49+D58*D60</f>
        <v>383.32664624316624</v>
      </c>
      <c r="D67" s="7">
        <f>E43+E49+D58*E60</f>
        <v>244.94249748133751</v>
      </c>
      <c r="E67" s="7">
        <f>D67/E59</f>
        <v>0.32064331462316736</v>
      </c>
    </row>
    <row r="68" spans="2:5" ht="14.5" x14ac:dyDescent="0.3">
      <c r="B68" s="8" t="s">
        <v>100</v>
      </c>
      <c r="D68" s="7">
        <f>E59-D67</f>
        <v>518.96707527617832</v>
      </c>
    </row>
    <row r="69" spans="2:5" ht="14.5" x14ac:dyDescent="0.3">
      <c r="B69" s="8" t="s">
        <v>124</v>
      </c>
      <c r="D69" s="7">
        <f>SUM(E44:E53)+D58*E64</f>
        <v>213.66195569165876</v>
      </c>
    </row>
    <row r="70" spans="2:5" ht="14.5" x14ac:dyDescent="0.3">
      <c r="B70" s="8" t="s">
        <v>100</v>
      </c>
      <c r="D70" s="7">
        <f>E59-D69</f>
        <v>550.24761706585696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A5B9-02D4-4C1E-A861-926FFE5E896B}">
  <dimension ref="A1:XEL70"/>
  <sheetViews>
    <sheetView zoomScale="70" zoomScaleNormal="70" workbookViewId="0">
      <selection activeCell="I35" sqref="I35"/>
    </sheetView>
  </sheetViews>
  <sheetFormatPr defaultColWidth="10" defaultRowHeight="15.5" x14ac:dyDescent="0.35"/>
  <cols>
    <col min="1" max="1" width="10" style="9"/>
    <col min="2" max="2" width="10" style="10"/>
    <col min="3" max="3" width="10" style="12"/>
    <col min="4" max="4" width="11" style="12" bestFit="1" customWidth="1"/>
    <col min="5" max="5" width="10" style="12"/>
    <col min="6" max="16366" width="10" style="9"/>
    <col min="16367" max="16384" width="10" style="19"/>
  </cols>
  <sheetData>
    <row r="1" spans="1:26" x14ac:dyDescent="0.35">
      <c r="B1" s="47" t="s">
        <v>93</v>
      </c>
      <c r="C1" s="47" t="s">
        <v>94</v>
      </c>
      <c r="K1" s="47" t="s">
        <v>104</v>
      </c>
      <c r="U1" s="56" t="s">
        <v>96</v>
      </c>
      <c r="V1" s="56"/>
      <c r="W1" s="56"/>
      <c r="X1" s="56" t="s">
        <v>97</v>
      </c>
      <c r="Y1" s="56"/>
      <c r="Z1" s="56"/>
    </row>
    <row r="2" spans="1:26" x14ac:dyDescent="0.35">
      <c r="B2" s="10" t="s">
        <v>95</v>
      </c>
      <c r="C2" s="10" t="s">
        <v>95</v>
      </c>
      <c r="K2" s="10" t="s">
        <v>95</v>
      </c>
      <c r="M2" s="21" t="s">
        <v>111</v>
      </c>
      <c r="N2" s="10" t="s">
        <v>95</v>
      </c>
    </row>
    <row r="3" spans="1:26" x14ac:dyDescent="0.35">
      <c r="A3" s="9">
        <v>2020</v>
      </c>
      <c r="B3">
        <f>E16</f>
        <v>1537.3871222077232</v>
      </c>
      <c r="C3" s="9">
        <f>E17</f>
        <v>803.64327883888643</v>
      </c>
      <c r="J3" s="9">
        <v>2020</v>
      </c>
      <c r="K3" s="10">
        <f>B3*$F27+C3*$G27</f>
        <v>1500.6999300392813</v>
      </c>
      <c r="M3" s="9">
        <v>2020</v>
      </c>
      <c r="N3" s="9">
        <f>K3/Temperature!$G15</f>
        <v>1500.6999300392813</v>
      </c>
    </row>
    <row r="4" spans="1:26" x14ac:dyDescent="0.35">
      <c r="A4" s="9">
        <v>2021</v>
      </c>
      <c r="B4" s="10">
        <f t="shared" ref="B4:B32" si="0">B3+D$5</f>
        <v>1536.7134606710933</v>
      </c>
      <c r="C4" s="10">
        <f t="shared" ref="C4:C32" si="1">C3+E$5</f>
        <v>802.31882196950744</v>
      </c>
      <c r="J4" s="9">
        <v>2021</v>
      </c>
      <c r="K4" s="10">
        <f>B4*$F28+C4*$G28</f>
        <v>1499.993728736014</v>
      </c>
      <c r="M4" s="9">
        <v>2021</v>
      </c>
      <c r="N4" s="9">
        <f>K4/Temperature!$G16</f>
        <v>1504.9349317619658</v>
      </c>
    </row>
    <row r="5" spans="1:26" x14ac:dyDescent="0.35">
      <c r="A5" s="9">
        <v>2022</v>
      </c>
      <c r="B5" s="10">
        <f t="shared" si="0"/>
        <v>1536.0397991344635</v>
      </c>
      <c r="C5" s="10">
        <f t="shared" si="1"/>
        <v>800.99436510012845</v>
      </c>
      <c r="D5" s="27">
        <f>(B33-B3)/($A$33-$A$3)</f>
        <v>-0.67366153662981865</v>
      </c>
      <c r="E5" s="27">
        <f>(C33-C3)/($A$33-$A$3)</f>
        <v>-1.324456869379022</v>
      </c>
      <c r="F5" s="27"/>
      <c r="H5" s="27"/>
      <c r="I5" s="27"/>
      <c r="J5" s="9">
        <v>2022</v>
      </c>
      <c r="K5" s="10">
        <f>B5*$F29+C5*$G29</f>
        <v>1480.9113915818884</v>
      </c>
      <c r="M5" s="9">
        <v>2022</v>
      </c>
      <c r="N5" s="9">
        <f>K5/Temperature!$G17</f>
        <v>1490.6252997854904</v>
      </c>
    </row>
    <row r="6" spans="1:26" x14ac:dyDescent="0.35">
      <c r="A6" s="9">
        <v>2023</v>
      </c>
      <c r="B6" s="10">
        <f t="shared" si="0"/>
        <v>1535.3661375978336</v>
      </c>
      <c r="C6" s="10">
        <f t="shared" si="1"/>
        <v>799.66990823074946</v>
      </c>
      <c r="J6" s="9">
        <v>2023</v>
      </c>
      <c r="K6" s="10">
        <f>B6*$F30+C6*$G30</f>
        <v>1314.6572687877083</v>
      </c>
      <c r="M6" s="9">
        <v>2023</v>
      </c>
      <c r="N6" s="9">
        <f>K6/Temperature!$G18</f>
        <v>1326.7305164877466</v>
      </c>
    </row>
    <row r="7" spans="1:26" x14ac:dyDescent="0.35">
      <c r="A7" s="9">
        <v>2024</v>
      </c>
      <c r="B7" s="10">
        <f t="shared" si="0"/>
        <v>1534.6924760612037</v>
      </c>
      <c r="C7" s="10">
        <f t="shared" si="1"/>
        <v>798.34545136137046</v>
      </c>
      <c r="J7" s="9">
        <v>2024</v>
      </c>
      <c r="K7" s="10">
        <f t="shared" ref="K7:K33" si="2">B7*$F$31+C7*$G$31</f>
        <v>1056.0669100063121</v>
      </c>
      <c r="M7" s="9">
        <v>2024</v>
      </c>
      <c r="N7" s="9">
        <f>K7/Temperature!$G19</f>
        <v>1067.5250117996279</v>
      </c>
    </row>
    <row r="8" spans="1:26" x14ac:dyDescent="0.35">
      <c r="A8" s="9">
        <v>2025</v>
      </c>
      <c r="B8" s="10">
        <f t="shared" si="0"/>
        <v>1534.0188145245738</v>
      </c>
      <c r="C8" s="10">
        <f t="shared" si="1"/>
        <v>797.02099449199147</v>
      </c>
      <c r="J8" s="9">
        <v>2025</v>
      </c>
      <c r="K8" s="10">
        <f t="shared" si="2"/>
        <v>1054.9702315033953</v>
      </c>
      <c r="M8" s="9">
        <v>2025</v>
      </c>
      <c r="N8" s="9">
        <f>K8/Temperature!$G20</f>
        <v>1069.316899910528</v>
      </c>
    </row>
    <row r="9" spans="1:26" x14ac:dyDescent="0.35">
      <c r="A9" s="9">
        <v>2026</v>
      </c>
      <c r="B9" s="10">
        <f t="shared" si="0"/>
        <v>1533.3451529879439</v>
      </c>
      <c r="C9" s="10">
        <f t="shared" si="1"/>
        <v>795.69653762261248</v>
      </c>
      <c r="J9" s="9">
        <v>2026</v>
      </c>
      <c r="K9" s="10">
        <f t="shared" si="2"/>
        <v>1053.8735530004785</v>
      </c>
      <c r="M9" s="9">
        <v>2026</v>
      </c>
      <c r="N9" s="9">
        <f>K9/Temperature!$G21</f>
        <v>1071.1185618462021</v>
      </c>
    </row>
    <row r="10" spans="1:26" x14ac:dyDescent="0.35">
      <c r="A10" s="9">
        <v>2027</v>
      </c>
      <c r="B10" s="10">
        <f t="shared" si="0"/>
        <v>1532.6714914513141</v>
      </c>
      <c r="C10" s="10">
        <f t="shared" si="1"/>
        <v>794.37208075323349</v>
      </c>
      <c r="J10" s="9">
        <v>2027</v>
      </c>
      <c r="K10" s="10">
        <f t="shared" si="2"/>
        <v>1052.7768744975617</v>
      </c>
      <c r="M10" s="9">
        <v>2027</v>
      </c>
      <c r="N10" s="9">
        <f>K10/Temperature!$G22</f>
        <v>1072.9300777920896</v>
      </c>
    </row>
    <row r="11" spans="1:26" x14ac:dyDescent="0.35">
      <c r="A11" s="9">
        <v>2028</v>
      </c>
      <c r="B11" s="10">
        <f t="shared" si="0"/>
        <v>1531.9978299146842</v>
      </c>
      <c r="C11" s="10">
        <f t="shared" si="1"/>
        <v>793.0476238838545</v>
      </c>
      <c r="J11" s="9">
        <v>2028</v>
      </c>
      <c r="K11" s="10">
        <f t="shared" si="2"/>
        <v>1051.6801959946449</v>
      </c>
      <c r="M11" s="9">
        <v>2028</v>
      </c>
      <c r="N11" s="9">
        <f>K11/Temperature!$G23</f>
        <v>1074.7515288131672</v>
      </c>
    </row>
    <row r="12" spans="1:26" x14ac:dyDescent="0.35">
      <c r="A12" s="9">
        <v>2029</v>
      </c>
      <c r="B12" s="10">
        <f t="shared" si="0"/>
        <v>1531.3241683780543</v>
      </c>
      <c r="C12" s="10">
        <f t="shared" si="1"/>
        <v>791.72316701447551</v>
      </c>
      <c r="J12" s="9">
        <v>2029</v>
      </c>
      <c r="K12" s="10">
        <f t="shared" si="2"/>
        <v>1050.5835174917281</v>
      </c>
      <c r="M12" s="9">
        <v>2029</v>
      </c>
      <c r="N12" s="9">
        <f>K12/Temperature!$G24</f>
        <v>1076.5829968660428</v>
      </c>
    </row>
    <row r="13" spans="1:26" x14ac:dyDescent="0.35">
      <c r="A13" s="9">
        <v>2030</v>
      </c>
      <c r="B13" s="10">
        <f t="shared" si="0"/>
        <v>1530.6505068414244</v>
      </c>
      <c r="C13" s="10">
        <f t="shared" si="1"/>
        <v>790.39871014509652</v>
      </c>
      <c r="J13" s="9">
        <v>2030</v>
      </c>
      <c r="K13" s="10">
        <f t="shared" si="2"/>
        <v>1049.4868389888113</v>
      </c>
      <c r="M13" s="9">
        <v>2030</v>
      </c>
      <c r="N13" s="9">
        <f>K13/Temperature!$G25</f>
        <v>1078.424564811246</v>
      </c>
    </row>
    <row r="14" spans="1:26" x14ac:dyDescent="0.35">
      <c r="A14" s="9">
        <v>2031</v>
      </c>
      <c r="B14" s="10">
        <f t="shared" si="0"/>
        <v>1529.9768453047946</v>
      </c>
      <c r="C14" s="10">
        <f t="shared" si="1"/>
        <v>789.07425327571752</v>
      </c>
      <c r="J14" s="9">
        <v>2031</v>
      </c>
      <c r="K14" s="10">
        <f t="shared" si="2"/>
        <v>1048.3901604858945</v>
      </c>
      <c r="M14" s="9">
        <v>2031</v>
      </c>
      <c r="N14" s="9">
        <f>K14/Temperature!$G26</f>
        <v>1080.2763164257267</v>
      </c>
    </row>
    <row r="15" spans="1:26" x14ac:dyDescent="0.35">
      <c r="A15" s="9">
        <v>2032</v>
      </c>
      <c r="B15" s="10">
        <f t="shared" si="0"/>
        <v>1529.3031837681647</v>
      </c>
      <c r="C15" s="10">
        <f t="shared" si="1"/>
        <v>787.74979640633853</v>
      </c>
      <c r="D15" s="9" t="s">
        <v>135</v>
      </c>
      <c r="E15" s="9" t="s">
        <v>1</v>
      </c>
      <c r="J15" s="9">
        <v>2032</v>
      </c>
      <c r="K15" s="10">
        <f t="shared" si="2"/>
        <v>1047.2934819829777</v>
      </c>
      <c r="M15" s="9">
        <v>2032</v>
      </c>
      <c r="N15" s="9">
        <f>K15/Temperature!$G27</f>
        <v>1082.1383364155581</v>
      </c>
    </row>
    <row r="16" spans="1:26" x14ac:dyDescent="0.35">
      <c r="A16" s="9">
        <v>2033</v>
      </c>
      <c r="B16" s="10">
        <f t="shared" si="0"/>
        <v>1528.6295222315348</v>
      </c>
      <c r="C16" s="10">
        <f t="shared" si="1"/>
        <v>786.42533953695954</v>
      </c>
      <c r="D16" t="s">
        <v>17</v>
      </c>
      <c r="E16">
        <v>1537.3871222077232</v>
      </c>
      <c r="F16"/>
      <c r="G16"/>
      <c r="J16" s="9">
        <v>2033</v>
      </c>
      <c r="K16" s="10">
        <f t="shared" si="2"/>
        <v>1046.1968034800609</v>
      </c>
      <c r="M16" s="9">
        <v>2033</v>
      </c>
      <c r="N16" s="9">
        <f>K16/Temperature!$G28</f>
        <v>1084.0107104288536</v>
      </c>
    </row>
    <row r="17" spans="1:14" x14ac:dyDescent="0.35">
      <c r="A17" s="9">
        <v>2034</v>
      </c>
      <c r="B17" s="10">
        <f t="shared" si="0"/>
        <v>1527.9558606949049</v>
      </c>
      <c r="C17" s="10">
        <f t="shared" si="1"/>
        <v>785.10088266758055</v>
      </c>
      <c r="D17" t="s">
        <v>18</v>
      </c>
      <c r="E17">
        <v>803.64327883888643</v>
      </c>
      <c r="F17"/>
      <c r="G17"/>
      <c r="J17" s="9">
        <v>2034</v>
      </c>
      <c r="K17" s="10">
        <f t="shared" si="2"/>
        <v>1045.1001249771441</v>
      </c>
      <c r="M17" s="9">
        <v>2034</v>
      </c>
      <c r="N17" s="9">
        <f>K17/Temperature!$G29</f>
        <v>1085.8935250688985</v>
      </c>
    </row>
    <row r="18" spans="1:14" x14ac:dyDescent="0.35">
      <c r="A18" s="9">
        <v>2035</v>
      </c>
      <c r="B18" s="10">
        <f t="shared" si="0"/>
        <v>1527.282199158275</v>
      </c>
      <c r="C18" s="10">
        <f t="shared" si="1"/>
        <v>783.77642579820156</v>
      </c>
      <c r="D18"/>
      <c r="E18"/>
      <c r="F18"/>
      <c r="G18"/>
      <c r="J18" s="9">
        <v>2035</v>
      </c>
      <c r="K18" s="10">
        <f t="shared" si="2"/>
        <v>1044.0034464742273</v>
      </c>
      <c r="M18" s="9">
        <v>2035</v>
      </c>
      <c r="N18" s="9">
        <f>K18/Temperature!$G30</f>
        <v>1087.7868679075036</v>
      </c>
    </row>
    <row r="19" spans="1:14" x14ac:dyDescent="0.35">
      <c r="A19" s="9">
        <v>2036</v>
      </c>
      <c r="B19" s="10">
        <f t="shared" si="0"/>
        <v>1526.6085376216452</v>
      </c>
      <c r="C19" s="10">
        <f t="shared" si="1"/>
        <v>782.45196892882257</v>
      </c>
      <c r="D19"/>
      <c r="E19"/>
      <c r="F19"/>
      <c r="G19"/>
      <c r="J19" s="9">
        <v>2036</v>
      </c>
      <c r="K19" s="10">
        <f t="shared" si="2"/>
        <v>1042.9067679713105</v>
      </c>
      <c r="M19" s="9">
        <v>2036</v>
      </c>
      <c r="N19" s="9">
        <f>K19/Temperature!$G31</f>
        <v>1089.6908274985824</v>
      </c>
    </row>
    <row r="20" spans="1:14" x14ac:dyDescent="0.35">
      <c r="A20" s="9">
        <v>2037</v>
      </c>
      <c r="B20" s="10">
        <f t="shared" si="0"/>
        <v>1525.9348760850153</v>
      </c>
      <c r="C20" s="10">
        <f t="shared" si="1"/>
        <v>781.12751205944357</v>
      </c>
      <c r="D20" t="s">
        <v>148</v>
      </c>
      <c r="E20" s="9" t="s">
        <v>1</v>
      </c>
      <c r="J20" s="9">
        <v>2037</v>
      </c>
      <c r="K20" s="10">
        <f t="shared" si="2"/>
        <v>1041.8100894683937</v>
      </c>
      <c r="M20" s="9">
        <v>2037</v>
      </c>
      <c r="N20" s="9">
        <f>K20/Temperature!$G32</f>
        <v>1091.6054933919561</v>
      </c>
    </row>
    <row r="21" spans="1:14" x14ac:dyDescent="0.35">
      <c r="A21" s="9">
        <v>2038</v>
      </c>
      <c r="B21" s="10">
        <f t="shared" si="0"/>
        <v>1525.2612145483854</v>
      </c>
      <c r="C21" s="10">
        <f t="shared" si="1"/>
        <v>779.80305519006458</v>
      </c>
      <c r="D21" t="s">
        <v>17</v>
      </c>
      <c r="E21">
        <f>'Case (Mode2050)'!E20</f>
        <v>1517.1772761088287</v>
      </c>
      <c r="F21"/>
      <c r="G21"/>
      <c r="J21" s="9">
        <v>2038</v>
      </c>
      <c r="K21" s="10">
        <f t="shared" si="2"/>
        <v>1040.7134109654769</v>
      </c>
      <c r="M21" s="9">
        <v>2038</v>
      </c>
      <c r="N21" s="9">
        <f>K21/Temperature!$G33</f>
        <v>1093.5309561473953</v>
      </c>
    </row>
    <row r="22" spans="1:14" x14ac:dyDescent="0.35">
      <c r="A22" s="9">
        <v>2039</v>
      </c>
      <c r="B22" s="10">
        <f t="shared" si="0"/>
        <v>1524.5875530117555</v>
      </c>
      <c r="C22" s="10">
        <f t="shared" si="1"/>
        <v>778.47859832068559</v>
      </c>
      <c r="D22" t="s">
        <v>18</v>
      </c>
      <c r="E22">
        <f>'Case (Mode2050)'!E59</f>
        <v>763.90957275751578</v>
      </c>
      <c r="F22"/>
      <c r="G22"/>
      <c r="J22" s="9">
        <v>2039</v>
      </c>
      <c r="K22" s="10">
        <f t="shared" si="2"/>
        <v>1039.6167324625601</v>
      </c>
      <c r="M22" s="9">
        <v>2039</v>
      </c>
      <c r="N22" s="9">
        <f>K22/Temperature!$G34</f>
        <v>1095.4673073488973</v>
      </c>
    </row>
    <row r="23" spans="1:14" x14ac:dyDescent="0.35">
      <c r="A23" s="9">
        <v>2040</v>
      </c>
      <c r="B23" s="10">
        <f t="shared" si="0"/>
        <v>1523.9138914751256</v>
      </c>
      <c r="C23" s="10">
        <f t="shared" si="1"/>
        <v>777.1541414513066</v>
      </c>
      <c r="J23" s="9">
        <v>2040</v>
      </c>
      <c r="K23" s="10">
        <f t="shared" si="2"/>
        <v>1038.5200539596433</v>
      </c>
      <c r="M23" s="9">
        <v>2040</v>
      </c>
      <c r="N23" s="9">
        <f>K23/Temperature!$G35</f>
        <v>1097.4146396192066</v>
      </c>
    </row>
    <row r="24" spans="1:14" x14ac:dyDescent="0.35">
      <c r="A24" s="9">
        <v>2041</v>
      </c>
      <c r="B24" s="10">
        <f t="shared" si="0"/>
        <v>1523.2402299384958</v>
      </c>
      <c r="C24" s="10">
        <f t="shared" si="1"/>
        <v>775.82968458192761</v>
      </c>
      <c r="J24" s="9">
        <v>2041</v>
      </c>
      <c r="K24" s="10">
        <f t="shared" si="2"/>
        <v>1037.4233754567265</v>
      </c>
      <c r="M24" s="9">
        <v>2041</v>
      </c>
      <c r="N24" s="9">
        <f>K24/Temperature!$G36</f>
        <v>1099.3730466345844</v>
      </c>
    </row>
    <row r="25" spans="1:14" x14ac:dyDescent="0.35">
      <c r="A25" s="9">
        <v>2042</v>
      </c>
      <c r="B25" s="10">
        <f t="shared" si="0"/>
        <v>1522.5665684018659</v>
      </c>
      <c r="C25" s="10">
        <f t="shared" si="1"/>
        <v>774.50522771254862</v>
      </c>
      <c r="E25" s="53" t="s">
        <v>101</v>
      </c>
      <c r="F25" s="53"/>
      <c r="G25" s="53"/>
      <c r="J25" s="9">
        <v>2042</v>
      </c>
      <c r="K25" s="10">
        <f t="shared" si="2"/>
        <v>1036.3266969538097</v>
      </c>
      <c r="M25" s="9">
        <v>2042</v>
      </c>
      <c r="N25" s="9">
        <f>K25/Temperature!$G37</f>
        <v>1101.3426231398303</v>
      </c>
    </row>
    <row r="26" spans="1:14" x14ac:dyDescent="0.35">
      <c r="A26" s="9">
        <v>2043</v>
      </c>
      <c r="B26" s="10">
        <f t="shared" si="0"/>
        <v>1521.892906865236</v>
      </c>
      <c r="C26" s="10">
        <f t="shared" si="1"/>
        <v>773.18077084316963</v>
      </c>
      <c r="E26" s="15" t="s">
        <v>102</v>
      </c>
      <c r="F26" s="15" t="s">
        <v>17</v>
      </c>
      <c r="G26" s="15" t="s">
        <v>18</v>
      </c>
      <c r="J26" s="9">
        <v>2043</v>
      </c>
      <c r="K26" s="10">
        <f t="shared" si="2"/>
        <v>1035.2300184508929</v>
      </c>
      <c r="M26" s="9">
        <v>2043</v>
      </c>
      <c r="N26" s="9">
        <f>K26/Temperature!$G38</f>
        <v>1103.3234649635597</v>
      </c>
    </row>
    <row r="27" spans="1:14" x14ac:dyDescent="0.35">
      <c r="A27" s="9">
        <v>2044</v>
      </c>
      <c r="B27" s="10">
        <f t="shared" si="0"/>
        <v>1521.2192453286061</v>
      </c>
      <c r="C27" s="10">
        <f t="shared" si="1"/>
        <v>771.85631397379063</v>
      </c>
      <c r="E27" s="15">
        <v>2020</v>
      </c>
      <c r="F27" s="17">
        <v>0.95</v>
      </c>
      <c r="G27" s="17">
        <v>0.05</v>
      </c>
      <c r="J27" s="9">
        <v>2044</v>
      </c>
      <c r="K27" s="10">
        <f t="shared" si="2"/>
        <v>1034.1333399479761</v>
      </c>
      <c r="M27" s="9">
        <v>2044</v>
      </c>
      <c r="N27" s="9">
        <f>K27/Temperature!$G39</f>
        <v>1105.3156690337485</v>
      </c>
    </row>
    <row r="28" spans="1:14" x14ac:dyDescent="0.35">
      <c r="A28" s="9">
        <v>2045</v>
      </c>
      <c r="B28" s="10">
        <f t="shared" si="0"/>
        <v>1520.5455837919762</v>
      </c>
      <c r="C28" s="10">
        <f t="shared" si="1"/>
        <v>770.53185710441164</v>
      </c>
      <c r="E28" s="15">
        <v>2021</v>
      </c>
      <c r="F28" s="17">
        <v>0.95</v>
      </c>
      <c r="G28" s="17">
        <v>0.05</v>
      </c>
      <c r="J28" s="9">
        <v>2045</v>
      </c>
      <c r="K28" s="10">
        <f t="shared" si="2"/>
        <v>1033.0366614450593</v>
      </c>
      <c r="M28" s="9">
        <v>2045</v>
      </c>
      <c r="N28" s="9">
        <f>K28/Temperature!$G40</f>
        <v>1107.3193333935417</v>
      </c>
    </row>
    <row r="29" spans="1:14" x14ac:dyDescent="0.35">
      <c r="A29" s="9">
        <v>2046</v>
      </c>
      <c r="B29" s="10">
        <f t="shared" si="0"/>
        <v>1519.8719222553464</v>
      </c>
      <c r="C29" s="10">
        <f t="shared" si="1"/>
        <v>769.20740023503265</v>
      </c>
      <c r="E29" s="15">
        <v>2022</v>
      </c>
      <c r="F29" s="17">
        <v>0.92500000000000004</v>
      </c>
      <c r="G29" s="17">
        <v>7.4999999999999997E-2</v>
      </c>
      <c r="J29" s="9">
        <v>2046</v>
      </c>
      <c r="K29" s="10">
        <f t="shared" si="2"/>
        <v>1031.9399829421425</v>
      </c>
      <c r="M29" s="9">
        <v>2046</v>
      </c>
      <c r="N29" s="9">
        <f>K29/Temperature!$G41</f>
        <v>1109.3345572173378</v>
      </c>
    </row>
    <row r="30" spans="1:14" x14ac:dyDescent="0.35">
      <c r="A30" s="9">
        <v>2047</v>
      </c>
      <c r="B30" s="10">
        <f t="shared" si="0"/>
        <v>1519.1982607187165</v>
      </c>
      <c r="C30" s="10">
        <f t="shared" si="1"/>
        <v>767.88294336565366</v>
      </c>
      <c r="E30" s="15">
        <v>2023</v>
      </c>
      <c r="F30" s="17">
        <v>0.7</v>
      </c>
      <c r="G30" s="17">
        <v>0.3</v>
      </c>
      <c r="J30" s="9">
        <v>2047</v>
      </c>
      <c r="K30" s="10">
        <f t="shared" si="2"/>
        <v>1030.8433044392257</v>
      </c>
      <c r="M30" s="9">
        <v>2047</v>
      </c>
      <c r="N30" s="9">
        <f>K30/Temperature!$G42</f>
        <v>1111.3614408271517</v>
      </c>
    </row>
    <row r="31" spans="1:14" x14ac:dyDescent="0.35">
      <c r="A31" s="9">
        <v>2048</v>
      </c>
      <c r="B31" s="10">
        <f t="shared" si="0"/>
        <v>1518.5245991820866</v>
      </c>
      <c r="C31" s="10">
        <f t="shared" si="1"/>
        <v>766.55848649627467</v>
      </c>
      <c r="E31" s="15">
        <v>2024</v>
      </c>
      <c r="F31" s="17">
        <v>0.35</v>
      </c>
      <c r="G31" s="17">
        <v>0.65</v>
      </c>
      <c r="J31" s="9">
        <v>2048</v>
      </c>
      <c r="K31" s="10">
        <f t="shared" si="2"/>
        <v>1029.7466259363089</v>
      </c>
      <c r="M31" s="9">
        <v>2048</v>
      </c>
      <c r="N31" s="9">
        <f>K31/Temperature!$G43</f>
        <v>1113.4000857092637</v>
      </c>
    </row>
    <row r="32" spans="1:14" x14ac:dyDescent="0.35">
      <c r="A32" s="9">
        <v>2049</v>
      </c>
      <c r="B32" s="10">
        <f t="shared" si="0"/>
        <v>1517.8509376454567</v>
      </c>
      <c r="C32" s="10">
        <f t="shared" si="1"/>
        <v>765.23402962689568</v>
      </c>
      <c r="J32" s="9">
        <v>2049</v>
      </c>
      <c r="K32" s="10">
        <f t="shared" si="2"/>
        <v>1028.6499474333921</v>
      </c>
      <c r="M32" s="9">
        <v>2049</v>
      </c>
      <c r="N32" s="9">
        <f>K32/Temperature!$G44</f>
        <v>1115.4505945311573</v>
      </c>
    </row>
    <row r="33" spans="1:14 16362:16366" x14ac:dyDescent="0.35">
      <c r="A33" s="9">
        <v>2050</v>
      </c>
      <c r="B33" s="10">
        <f>E21</f>
        <v>1517.1772761088287</v>
      </c>
      <c r="C33" s="9">
        <f>E22</f>
        <v>763.90957275751578</v>
      </c>
      <c r="J33" s="9">
        <v>2050</v>
      </c>
      <c r="K33" s="10">
        <f t="shared" si="2"/>
        <v>1027.5532689304753</v>
      </c>
      <c r="M33" s="9">
        <v>2050</v>
      </c>
      <c r="N33" s="9">
        <f>K33/Temperature!$G45</f>
        <v>1117.5130711587551</v>
      </c>
    </row>
    <row r="34" spans="1:14 16362:16366" x14ac:dyDescent="0.35">
      <c r="XEL34" s="19"/>
    </row>
    <row r="35" spans="1:14 16362:16366" x14ac:dyDescent="0.35">
      <c r="XEL35" s="19"/>
    </row>
    <row r="36" spans="1:14 16362:16366" x14ac:dyDescent="0.35">
      <c r="XEL36" s="19"/>
    </row>
    <row r="37" spans="1:14 16362:16366" x14ac:dyDescent="0.35">
      <c r="XEJ37" s="19"/>
      <c r="XEK37" s="19"/>
      <c r="XEL37" s="19"/>
    </row>
    <row r="38" spans="1:14 16362:16366" x14ac:dyDescent="0.35">
      <c r="XEH38" s="19"/>
      <c r="XEI38" s="19"/>
      <c r="XEJ38" s="19"/>
      <c r="XEK38" s="19"/>
      <c r="XEL38" s="19"/>
    </row>
    <row r="39" spans="1:14 16362:16366" x14ac:dyDescent="0.35">
      <c r="XEH39" s="19"/>
      <c r="XEI39" s="19"/>
      <c r="XEJ39" s="19"/>
      <c r="XEK39" s="19"/>
      <c r="XEL39" s="19"/>
    </row>
    <row r="40" spans="1:14 16362:16366" x14ac:dyDescent="0.35">
      <c r="XEH40" s="19"/>
      <c r="XEI40" s="19"/>
      <c r="XEJ40" s="19"/>
      <c r="XEK40" s="19"/>
      <c r="XEL40" s="19"/>
    </row>
    <row r="41" spans="1:14 16362:16366" x14ac:dyDescent="0.35">
      <c r="XEH41" s="19"/>
      <c r="XEI41" s="19"/>
      <c r="XEJ41" s="19"/>
      <c r="XEK41" s="19"/>
      <c r="XEL41" s="19"/>
    </row>
    <row r="42" spans="1:14 16362:16366" x14ac:dyDescent="0.35">
      <c r="XEH42" s="19"/>
      <c r="XEI42" s="19"/>
      <c r="XEJ42" s="19"/>
      <c r="XEK42" s="19"/>
      <c r="XEL42" s="19"/>
    </row>
    <row r="43" spans="1:14 16362:16366" x14ac:dyDescent="0.35">
      <c r="XEH43" s="19"/>
      <c r="XEI43" s="19"/>
      <c r="XEJ43" s="19"/>
      <c r="XEK43" s="19"/>
      <c r="XEL43" s="19"/>
    </row>
    <row r="44" spans="1:14 16362:16366" x14ac:dyDescent="0.35">
      <c r="XEH44" s="19"/>
      <c r="XEI44" s="19"/>
      <c r="XEJ44" s="19"/>
      <c r="XEK44" s="19"/>
      <c r="XEL44" s="19"/>
    </row>
    <row r="45" spans="1:14 16362:16366" x14ac:dyDescent="0.35">
      <c r="XEH45" s="19"/>
      <c r="XEI45" s="19"/>
      <c r="XEJ45" s="19"/>
      <c r="XEK45" s="19"/>
      <c r="XEL45" s="19"/>
    </row>
    <row r="46" spans="1:14 16362:16366" x14ac:dyDescent="0.35">
      <c r="XEH46" s="19"/>
      <c r="XEI46" s="19"/>
      <c r="XEJ46" s="19"/>
      <c r="XEK46" s="19"/>
      <c r="XEL46" s="19"/>
    </row>
    <row r="47" spans="1:14 16362:16366" x14ac:dyDescent="0.35">
      <c r="XEH47" s="19"/>
      <c r="XEI47" s="19"/>
      <c r="XEJ47" s="19"/>
      <c r="XEK47" s="19"/>
      <c r="XEL47" s="19"/>
    </row>
    <row r="48" spans="1:14 16362:16366" x14ac:dyDescent="0.35">
      <c r="XEH48" s="19"/>
      <c r="XEI48" s="19"/>
      <c r="XEJ48" s="19"/>
      <c r="XEK48" s="19"/>
      <c r="XEL48" s="19"/>
    </row>
    <row r="49" spans="16362:16366" x14ac:dyDescent="0.35">
      <c r="XEH49" s="19"/>
      <c r="XEI49" s="19"/>
      <c r="XEJ49" s="19"/>
      <c r="XEK49" s="19"/>
      <c r="XEL49" s="19"/>
    </row>
    <row r="50" spans="16362:16366" x14ac:dyDescent="0.35">
      <c r="XEH50" s="19"/>
      <c r="XEI50" s="19"/>
      <c r="XEJ50" s="19"/>
      <c r="XEK50" s="19"/>
      <c r="XEL50" s="19"/>
    </row>
    <row r="51" spans="16362:16366" x14ac:dyDescent="0.35">
      <c r="XEH51" s="19"/>
      <c r="XEI51" s="19"/>
      <c r="XEJ51" s="19"/>
      <c r="XEK51" s="19"/>
      <c r="XEL51" s="19"/>
    </row>
    <row r="52" spans="16362:16366" x14ac:dyDescent="0.35">
      <c r="XEH52" s="19"/>
      <c r="XEI52" s="19"/>
      <c r="XEJ52" s="19"/>
      <c r="XEK52" s="19"/>
      <c r="XEL52" s="19"/>
    </row>
    <row r="53" spans="16362:16366" x14ac:dyDescent="0.35">
      <c r="XEH53" s="19"/>
      <c r="XEI53" s="19"/>
      <c r="XEJ53" s="19"/>
      <c r="XEK53" s="19"/>
      <c r="XEL53" s="19"/>
    </row>
    <row r="54" spans="16362:16366" x14ac:dyDescent="0.35">
      <c r="XEH54" s="19"/>
      <c r="XEI54" s="19"/>
      <c r="XEJ54" s="19"/>
      <c r="XEK54" s="19"/>
      <c r="XEL54" s="19"/>
    </row>
    <row r="55" spans="16362:16366" x14ac:dyDescent="0.35">
      <c r="XEH55" s="19"/>
      <c r="XEI55" s="19"/>
      <c r="XEJ55" s="19"/>
      <c r="XEK55" s="19"/>
      <c r="XEL55" s="19"/>
    </row>
    <row r="56" spans="16362:16366" x14ac:dyDescent="0.35">
      <c r="XEH56" s="19"/>
      <c r="XEI56" s="19"/>
      <c r="XEJ56" s="19"/>
      <c r="XEK56" s="19"/>
      <c r="XEL56" s="19"/>
    </row>
    <row r="57" spans="16362:16366" x14ac:dyDescent="0.35">
      <c r="XEH57" s="19"/>
      <c r="XEI57" s="19"/>
      <c r="XEJ57" s="19"/>
      <c r="XEK57" s="19"/>
      <c r="XEL57" s="19"/>
    </row>
    <row r="58" spans="16362:16366" x14ac:dyDescent="0.35">
      <c r="XEH58" s="19"/>
      <c r="XEI58" s="19"/>
      <c r="XEJ58" s="19"/>
      <c r="XEK58" s="19"/>
      <c r="XEL58" s="19"/>
    </row>
    <row r="59" spans="16362:16366" x14ac:dyDescent="0.35">
      <c r="XEH59" s="19"/>
      <c r="XEI59" s="19"/>
      <c r="XEJ59" s="19"/>
      <c r="XEK59" s="19"/>
      <c r="XEL59" s="19"/>
    </row>
    <row r="60" spans="16362:16366" x14ac:dyDescent="0.35">
      <c r="XEH60" s="19"/>
      <c r="XEI60" s="19"/>
      <c r="XEJ60" s="19"/>
      <c r="XEK60" s="19"/>
      <c r="XEL60" s="19"/>
    </row>
    <row r="61" spans="16362:16366" x14ac:dyDescent="0.35">
      <c r="XEH61" s="19"/>
      <c r="XEI61" s="19"/>
      <c r="XEJ61" s="19"/>
      <c r="XEK61" s="19"/>
      <c r="XEL61" s="19"/>
    </row>
    <row r="62" spans="16362:16366" x14ac:dyDescent="0.35">
      <c r="XEH62" s="19"/>
      <c r="XEI62" s="19"/>
      <c r="XEJ62" s="19"/>
      <c r="XEK62" s="19"/>
      <c r="XEL62" s="19"/>
    </row>
    <row r="63" spans="16362:16366" x14ac:dyDescent="0.35">
      <c r="XEH63" s="19"/>
      <c r="XEI63" s="19"/>
      <c r="XEJ63" s="19"/>
      <c r="XEK63" s="19"/>
      <c r="XEL63" s="19"/>
    </row>
    <row r="64" spans="16362:16366" x14ac:dyDescent="0.35">
      <c r="XEH64" s="19"/>
      <c r="XEI64" s="19"/>
      <c r="XEJ64" s="19"/>
      <c r="XEK64" s="19"/>
      <c r="XEL64" s="19"/>
    </row>
    <row r="65" spans="16362:16366" x14ac:dyDescent="0.35">
      <c r="XEH65" s="19"/>
      <c r="XEI65" s="19"/>
      <c r="XEJ65" s="19"/>
      <c r="XEK65" s="19"/>
      <c r="XEL65" s="19"/>
    </row>
    <row r="66" spans="16362:16366" x14ac:dyDescent="0.35">
      <c r="XEH66" s="19"/>
      <c r="XEI66" s="19"/>
      <c r="XEJ66" s="19"/>
      <c r="XEK66" s="19"/>
      <c r="XEL66" s="19"/>
    </row>
    <row r="67" spans="16362:16366" x14ac:dyDescent="0.35">
      <c r="XEH67" s="19"/>
      <c r="XEI67" s="19"/>
      <c r="XEJ67" s="19"/>
      <c r="XEK67" s="19"/>
      <c r="XEL67" s="19"/>
    </row>
    <row r="68" spans="16362:16366" x14ac:dyDescent="0.35">
      <c r="XEH68" s="19"/>
      <c r="XEI68" s="19"/>
      <c r="XEJ68" s="19"/>
      <c r="XEK68" s="19"/>
      <c r="XEL68" s="19"/>
    </row>
    <row r="69" spans="16362:16366" x14ac:dyDescent="0.35">
      <c r="XEH69" s="19"/>
      <c r="XEI69" s="19"/>
      <c r="XEJ69" s="19"/>
      <c r="XEK69" s="19"/>
      <c r="XEL69" s="19"/>
    </row>
    <row r="70" spans="16362:16366" x14ac:dyDescent="0.35">
      <c r="XEJ70" s="19"/>
      <c r="XEK70" s="19"/>
      <c r="XEL70" s="19"/>
    </row>
  </sheetData>
  <mergeCells count="3">
    <mergeCell ref="X1:Z1"/>
    <mergeCell ref="E25:G25"/>
    <mergeCell ref="U1:W1"/>
  </mergeCells>
  <phoneticPr fontId="1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99CE-2EB8-4EBB-95CB-2B6E6A4CF208}">
  <dimension ref="A1:M33"/>
  <sheetViews>
    <sheetView workbookViewId="0">
      <selection activeCell="A3" sqref="A3:B33"/>
    </sheetView>
  </sheetViews>
  <sheetFormatPr defaultColWidth="8.83203125" defaultRowHeight="14" x14ac:dyDescent="0.3"/>
  <sheetData>
    <row r="1" spans="1:13" x14ac:dyDescent="0.3">
      <c r="K1" s="4" t="s">
        <v>111</v>
      </c>
    </row>
    <row r="2" spans="1:13" x14ac:dyDescent="0.3">
      <c r="F2" s="25" t="s">
        <v>1</v>
      </c>
      <c r="G2" s="25" t="s">
        <v>2</v>
      </c>
      <c r="H2" s="25" t="s">
        <v>3</v>
      </c>
      <c r="I2" s="25"/>
      <c r="K2" s="25" t="s">
        <v>1</v>
      </c>
      <c r="L2" s="25" t="s">
        <v>2</v>
      </c>
      <c r="M2" s="25" t="s">
        <v>3</v>
      </c>
    </row>
    <row r="3" spans="1:13" x14ac:dyDescent="0.3">
      <c r="A3">
        <v>2020</v>
      </c>
      <c r="B3">
        <v>1</v>
      </c>
      <c r="C3">
        <f>(B13-B3)/(A13-A3)</f>
        <v>1.9999999999999997E-2</v>
      </c>
      <c r="E3">
        <v>2020</v>
      </c>
      <c r="F3">
        <f>Baseline!D3/Speed!$B3</f>
        <v>1500.6999300392813</v>
      </c>
      <c r="G3">
        <f>Baseline!E3/Speed!$B3</f>
        <v>2137.030375862797</v>
      </c>
      <c r="H3">
        <f>Baseline!F3/Speed!$B3</f>
        <v>1182.9524901716807</v>
      </c>
      <c r="J3">
        <v>2020</v>
      </c>
      <c r="K3">
        <f>Speed!F3/Temperature!$G15</f>
        <v>1500.6999300392813</v>
      </c>
      <c r="L3">
        <f>Speed!G3/Temperature!$G15</f>
        <v>2137.030375862797</v>
      </c>
      <c r="M3">
        <f>Speed!H3/Temperature!$G15</f>
        <v>1182.9524901716807</v>
      </c>
    </row>
    <row r="4" spans="1:13" x14ac:dyDescent="0.3">
      <c r="A4">
        <v>2021</v>
      </c>
      <c r="B4">
        <f>B3+$C$3</f>
        <v>1.02</v>
      </c>
      <c r="E4">
        <v>2021</v>
      </c>
      <c r="F4">
        <f>Baseline!D4/Speed!$B4</f>
        <v>1471.2744412149816</v>
      </c>
      <c r="G4">
        <f>Baseline!E4/Speed!$B4</f>
        <v>2095.1278194733304</v>
      </c>
      <c r="H4">
        <f>Baseline!F4/Speed!$B4</f>
        <v>1159.7573433055693</v>
      </c>
      <c r="J4">
        <v>2021</v>
      </c>
      <c r="K4">
        <f>Speed!F4/Temperature!$G16</f>
        <v>1476.1210386251341</v>
      </c>
      <c r="L4">
        <f>Speed!G4/Temperature!$G16</f>
        <v>2102.0294829423242</v>
      </c>
      <c r="M4">
        <f>Speed!H4/Temperature!$G16</f>
        <v>1163.5777569408583</v>
      </c>
    </row>
    <row r="5" spans="1:13" x14ac:dyDescent="0.3">
      <c r="A5">
        <v>2022</v>
      </c>
      <c r="B5">
        <f t="shared" ref="B5:B12" si="0">B4+$C$3</f>
        <v>1.04</v>
      </c>
      <c r="E5">
        <v>2022</v>
      </c>
      <c r="F5">
        <f>Baseline!D5/Speed!$B5</f>
        <v>1425.3426288029427</v>
      </c>
      <c r="G5">
        <f>Baseline!E5/Speed!$B5</f>
        <v>2024.4501505434207</v>
      </c>
      <c r="H5">
        <f>Baseline!F5/Speed!$B5</f>
        <v>1125.5175456009572</v>
      </c>
      <c r="J5">
        <v>2022</v>
      </c>
      <c r="K5">
        <f>Speed!F5/Temperature!$G17</f>
        <v>1434.6920385877395</v>
      </c>
      <c r="L5">
        <f>Speed!G5/Temperature!$G17</f>
        <v>2037.7293534970429</v>
      </c>
      <c r="M5">
        <f>Speed!H5/Temperature!$G17</f>
        <v>1132.9002790863365</v>
      </c>
    </row>
    <row r="6" spans="1:13" x14ac:dyDescent="0.3">
      <c r="A6">
        <v>2023</v>
      </c>
      <c r="B6">
        <f t="shared" si="0"/>
        <v>1.06</v>
      </c>
      <c r="E6">
        <v>2023</v>
      </c>
      <c r="F6">
        <f>Baseline!D6/Speed!$B6</f>
        <v>1242.7018577330869</v>
      </c>
      <c r="G6">
        <f>Baseline!E6/Speed!$B6</f>
        <v>1717.9322480060373</v>
      </c>
      <c r="H6">
        <f>Baseline!F6/Speed!$B6</f>
        <v>998.87741764606233</v>
      </c>
      <c r="J6">
        <v>2023</v>
      </c>
      <c r="K6">
        <f>Speed!F6/Temperature!$G18</f>
        <v>1254.1142978434623</v>
      </c>
      <c r="L6">
        <f>Speed!G6/Temperature!$G18</f>
        <v>1733.7089999051741</v>
      </c>
      <c r="M6">
        <f>Speed!H6/Temperature!$G18</f>
        <v>1008.0506788233547</v>
      </c>
    </row>
    <row r="7" spans="1:13" x14ac:dyDescent="0.3">
      <c r="A7">
        <v>2024</v>
      </c>
      <c r="B7">
        <f t="shared" si="0"/>
        <v>1.08</v>
      </c>
      <c r="E7">
        <v>2024</v>
      </c>
      <c r="F7">
        <f>Baseline!D7/Speed!$B7</f>
        <v>981.90150372035123</v>
      </c>
      <c r="G7">
        <f>Baseline!E7/Speed!$B7</f>
        <v>1276.4602895550397</v>
      </c>
      <c r="H7">
        <f>Baseline!F7/Speed!$B7</f>
        <v>819.45431875113866</v>
      </c>
      <c r="J7">
        <v>2024</v>
      </c>
      <c r="K7">
        <f>Speed!F7/Temperature!$G19</f>
        <v>992.55492659918229</v>
      </c>
      <c r="L7">
        <f>Speed!G7/Temperature!$G19</f>
        <v>1290.3096127316931</v>
      </c>
      <c r="M7">
        <f>Speed!H7/Temperature!$G19</f>
        <v>828.34522415709125</v>
      </c>
    </row>
    <row r="8" spans="1:13" x14ac:dyDescent="0.3">
      <c r="A8">
        <v>2025</v>
      </c>
      <c r="B8">
        <f t="shared" si="0"/>
        <v>1.1000000000000001</v>
      </c>
      <c r="E8">
        <v>2025</v>
      </c>
      <c r="F8">
        <f>Baseline!D8/Speed!$B8</f>
        <v>964.04874910725391</v>
      </c>
      <c r="G8">
        <f>Baseline!E8/Speed!$B8</f>
        <v>1253.2519206540389</v>
      </c>
      <c r="H8">
        <f>Baseline!F8/Speed!$B8</f>
        <v>804.55514931929986</v>
      </c>
      <c r="J8">
        <v>2025</v>
      </c>
      <c r="K8">
        <f>Speed!F8/Temperature!$G20</f>
        <v>977.15896522400919</v>
      </c>
      <c r="L8">
        <f>Speed!G8/Temperature!$G20</f>
        <v>1270.2950458525606</v>
      </c>
      <c r="M8">
        <f>Speed!H8/Temperature!$G20</f>
        <v>815.496392586502</v>
      </c>
    </row>
    <row r="9" spans="1:13" x14ac:dyDescent="0.3">
      <c r="A9">
        <v>2026</v>
      </c>
      <c r="B9">
        <f t="shared" si="0"/>
        <v>1.1200000000000001</v>
      </c>
      <c r="E9">
        <v>2026</v>
      </c>
      <c r="F9">
        <f>Baseline!D9/Speed!$B9</f>
        <v>946.8335928731957</v>
      </c>
      <c r="G9">
        <f>Baseline!E9/Speed!$B9</f>
        <v>1230.8724220709312</v>
      </c>
      <c r="H9">
        <f>Baseline!F9/Speed!$B9</f>
        <v>790.18809308145512</v>
      </c>
      <c r="J9">
        <v>2026</v>
      </c>
      <c r="K9">
        <f>Speed!F9/Temperature!$G21</f>
        <v>962.3270585152917</v>
      </c>
      <c r="L9">
        <f>Speed!G9/Temperature!$G21</f>
        <v>1251.0137433386838</v>
      </c>
      <c r="M9">
        <f>Speed!H9/Temperature!$G21</f>
        <v>803.1182976740065</v>
      </c>
    </row>
    <row r="10" spans="1:13" x14ac:dyDescent="0.3">
      <c r="A10">
        <v>2027</v>
      </c>
      <c r="B10">
        <f t="shared" si="0"/>
        <v>1.1400000000000001</v>
      </c>
      <c r="E10">
        <v>2027</v>
      </c>
      <c r="F10">
        <f>Baseline!D10/Speed!$B10</f>
        <v>930.22247720875373</v>
      </c>
      <c r="G10">
        <f>Baseline!E10/Speed!$B10</f>
        <v>1209.2781690521429</v>
      </c>
      <c r="H10">
        <f>Baseline!F10/Speed!$B10</f>
        <v>776.32514408002612</v>
      </c>
      <c r="J10">
        <v>2027</v>
      </c>
      <c r="K10">
        <f>Speed!F10/Temperature!$G22</f>
        <v>948.02963383087683</v>
      </c>
      <c r="L10">
        <f>Speed!G10/Temperature!$G22</f>
        <v>1232.4272611065949</v>
      </c>
      <c r="M10">
        <f>Speed!H10/Temperature!$G22</f>
        <v>791.18625931754048</v>
      </c>
    </row>
    <row r="11" spans="1:13" x14ac:dyDescent="0.3">
      <c r="A11">
        <v>2028</v>
      </c>
      <c r="B11">
        <f t="shared" si="0"/>
        <v>1.1600000000000001</v>
      </c>
      <c r="E11">
        <v>2028</v>
      </c>
      <c r="F11">
        <f>Baseline!D11/Speed!$B11</f>
        <v>914.18415863618895</v>
      </c>
      <c r="G11">
        <f>Baseline!E11/Speed!$B11</f>
        <v>1188.4285454477956</v>
      </c>
      <c r="H11">
        <f>Baseline!F11/Speed!$B11</f>
        <v>762.94022780278431</v>
      </c>
      <c r="J11">
        <v>2028</v>
      </c>
      <c r="K11">
        <f>Speed!F11/Temperature!$G23</f>
        <v>934.2391592548596</v>
      </c>
      <c r="L11">
        <f>Speed!G11/Temperature!$G23</f>
        <v>1214.4998079927052</v>
      </c>
      <c r="M11">
        <f>Speed!H11/Temperature!$G23</f>
        <v>779.67730052062677</v>
      </c>
    </row>
    <row r="12" spans="1:13" x14ac:dyDescent="0.3">
      <c r="A12">
        <v>2029</v>
      </c>
      <c r="B12">
        <f t="shared" si="0"/>
        <v>1.1800000000000002</v>
      </c>
      <c r="E12">
        <v>2029</v>
      </c>
      <c r="F12">
        <f>Baseline!D12/Speed!$B12</f>
        <v>898.68951187964342</v>
      </c>
      <c r="G12">
        <f>Baseline!E12/Speed!$B12</f>
        <v>1168.2856887452906</v>
      </c>
      <c r="H12">
        <f>Baseline!F12/Speed!$B12</f>
        <v>750.00903750104214</v>
      </c>
      <c r="J12">
        <v>2029</v>
      </c>
      <c r="K12">
        <f>Speed!F12/Temperature!$G24</f>
        <v>920.92997067135639</v>
      </c>
      <c r="L12">
        <f>Speed!G12/Temperature!$G24</f>
        <v>1197.1980209512633</v>
      </c>
      <c r="M12">
        <f>Speed!H12/Temperature!$G24</f>
        <v>768.57000307531064</v>
      </c>
    </row>
    <row r="13" spans="1:13" x14ac:dyDescent="0.3">
      <c r="A13">
        <v>2030</v>
      </c>
      <c r="B13">
        <v>1.2</v>
      </c>
      <c r="E13">
        <v>2030</v>
      </c>
      <c r="F13">
        <f>Baseline!D13/Speed!$B13</f>
        <v>883.71135334831615</v>
      </c>
      <c r="G13">
        <f>Baseline!E13/Speed!$B13</f>
        <v>1148.8142605995358</v>
      </c>
      <c r="H13">
        <f>Baseline!F13/Speed!$B13</f>
        <v>737.50888687602492</v>
      </c>
      <c r="J13">
        <v>2030</v>
      </c>
      <c r="K13">
        <f>Speed!F13/Temperature!$G25</f>
        <v>908.07811613116894</v>
      </c>
      <c r="L13">
        <f>Speed!G13/Temperature!$G25</f>
        <v>1180.4907627328673</v>
      </c>
      <c r="M13">
        <f>Speed!H13/Temperature!$G25</f>
        <v>757.84437767702491</v>
      </c>
    </row>
    <row r="14" spans="1:13" x14ac:dyDescent="0.3">
      <c r="A14">
        <v>2031</v>
      </c>
      <c r="B14">
        <f>B13+$C$3</f>
        <v>1.22</v>
      </c>
      <c r="E14">
        <v>2031</v>
      </c>
      <c r="F14">
        <f>Baseline!D14/Speed!$B14</f>
        <v>869.2242819819503</v>
      </c>
      <c r="G14">
        <f>Baseline!E14/Speed!$B14</f>
        <v>1129.9812399339696</v>
      </c>
      <c r="H14">
        <f>Baseline!F14/Speed!$B14</f>
        <v>725.41857725510647</v>
      </c>
      <c r="J14">
        <v>2031</v>
      </c>
      <c r="K14">
        <f>Speed!F14/Temperature!$G26</f>
        <v>895.66121552691948</v>
      </c>
      <c r="L14">
        <f>Speed!G14/Temperature!$G26</f>
        <v>1164.3489394638091</v>
      </c>
      <c r="M14">
        <f>Speed!H14/Temperature!$G26</f>
        <v>747.48174681527018</v>
      </c>
    </row>
    <row r="15" spans="1:13" x14ac:dyDescent="0.3">
      <c r="A15">
        <v>2032</v>
      </c>
      <c r="B15">
        <f t="shared" ref="B15:B33" si="1">B14+$C$3</f>
        <v>1.24</v>
      </c>
      <c r="E15">
        <v>2032</v>
      </c>
      <c r="F15">
        <f>Baseline!D15/Speed!$B15</f>
        <v>855.20453549837043</v>
      </c>
      <c r="G15">
        <f>Baseline!E15/Speed!$B15</f>
        <v>1111.7557360640669</v>
      </c>
      <c r="H15">
        <f>Baseline!F15/Speed!$B15</f>
        <v>713.7182776219596</v>
      </c>
      <c r="J15">
        <v>2032</v>
      </c>
      <c r="K15">
        <f>Speed!F15/Temperature!$G27</f>
        <v>883.65833384828477</v>
      </c>
      <c r="L15">
        <f>Speed!G15/Temperature!$G27</f>
        <v>1148.7453358793825</v>
      </c>
      <c r="M15">
        <f>Speed!H15/Temperature!$G27</f>
        <v>737.46463899768469</v>
      </c>
    </row>
    <row r="16" spans="1:13" x14ac:dyDescent="0.3">
      <c r="A16">
        <v>2033</v>
      </c>
      <c r="B16">
        <f t="shared" si="1"/>
        <v>1.26</v>
      </c>
      <c r="E16">
        <v>2033</v>
      </c>
      <c r="F16">
        <f>Baseline!D16/Speed!$B16</f>
        <v>841.62986033172967</v>
      </c>
      <c r="G16">
        <f>Baseline!E16/Speed!$B16</f>
        <v>1094.1088196186056</v>
      </c>
      <c r="H16">
        <f>Baseline!F16/Speed!$B16</f>
        <v>702.38941607240463</v>
      </c>
      <c r="J16">
        <v>2033</v>
      </c>
      <c r="K16">
        <f>Speed!F16/Temperature!$G28</f>
        <v>872.04986650843182</v>
      </c>
      <c r="L16">
        <f>Speed!G16/Temperature!$G28</f>
        <v>1133.6544662496124</v>
      </c>
      <c r="M16">
        <f>Speed!H16/Temperature!$G28</f>
        <v>727.77669304823701</v>
      </c>
    </row>
    <row r="17" spans="1:13" x14ac:dyDescent="0.3">
      <c r="A17">
        <v>2034</v>
      </c>
      <c r="B17">
        <f t="shared" si="1"/>
        <v>1.28</v>
      </c>
      <c r="E17">
        <v>2034</v>
      </c>
      <c r="F17">
        <f>Baseline!D17/Speed!$B17</f>
        <v>828.47939376404634</v>
      </c>
      <c r="G17">
        <f>Baseline!E17/Speed!$B17</f>
        <v>1077.0133693120649</v>
      </c>
      <c r="H17">
        <f>Baseline!F17/Speed!$B17</f>
        <v>691.41458144627336</v>
      </c>
      <c r="J17">
        <v>2034</v>
      </c>
      <c r="K17">
        <f>Speed!F17/Temperature!$G29</f>
        <v>860.81743542137554</v>
      </c>
      <c r="L17">
        <f>Speed!G17/Temperature!$G29</f>
        <v>1119.052439281056</v>
      </c>
      <c r="M17">
        <f>Speed!H17/Temperature!$G29</f>
        <v>718.40257137769504</v>
      </c>
    </row>
    <row r="18" spans="1:13" x14ac:dyDescent="0.3">
      <c r="A18">
        <v>2035</v>
      </c>
      <c r="B18">
        <f t="shared" si="1"/>
        <v>1.3</v>
      </c>
      <c r="E18">
        <v>2035</v>
      </c>
      <c r="F18">
        <f>Baseline!D18/Speed!$B18</f>
        <v>815.73355693690712</v>
      </c>
      <c r="G18">
        <f>Baseline!E18/Speed!$B18</f>
        <v>1060.4439328611099</v>
      </c>
      <c r="H18">
        <f>Baseline!F18/Speed!$B18</f>
        <v>680.77743403940758</v>
      </c>
      <c r="J18">
        <v>2035</v>
      </c>
      <c r="K18">
        <f>Speed!F18/Temperature!$G30</f>
        <v>849.9437946724737</v>
      </c>
      <c r="L18">
        <f>Speed!G18/Temperature!$G30</f>
        <v>1104.9168354895644</v>
      </c>
      <c r="M18">
        <f>Speed!H18/Temperature!$G30</f>
        <v>709.32788126012736</v>
      </c>
    </row>
    <row r="19" spans="1:13" x14ac:dyDescent="0.3">
      <c r="A19">
        <v>2036</v>
      </c>
      <c r="B19">
        <f t="shared" si="1"/>
        <v>1.32</v>
      </c>
      <c r="E19">
        <v>2036</v>
      </c>
      <c r="F19">
        <f>Baseline!D19/Speed!$B19</f>
        <v>803.37395758937828</v>
      </c>
      <c r="G19">
        <f>Baseline!E19/Speed!$B19</f>
        <v>1044.3766005450325</v>
      </c>
      <c r="H19">
        <f>Baseline!F19/Speed!$B19</f>
        <v>670.46262443274986</v>
      </c>
      <c r="J19">
        <v>2036</v>
      </c>
      <c r="K19">
        <f>Speed!F19/Temperature!$G31</f>
        <v>839.41274476460489</v>
      </c>
      <c r="L19">
        <f>Speed!G19/Temperature!$G31</f>
        <v>1091.2265957213347</v>
      </c>
      <c r="M19">
        <f>Speed!H19/Temperature!$G31</f>
        <v>700.53910326631672</v>
      </c>
    </row>
    <row r="20" spans="1:13" x14ac:dyDescent="0.3">
      <c r="A20">
        <v>2037</v>
      </c>
      <c r="B20">
        <f t="shared" si="1"/>
        <v>1.34</v>
      </c>
      <c r="E20">
        <v>2037</v>
      </c>
      <c r="F20">
        <f>Baseline!D20/Speed!$B20</f>
        <v>791.38330150595471</v>
      </c>
      <c r="G20">
        <f>Baseline!E20/Speed!$B20</f>
        <v>1028.7888900891364</v>
      </c>
      <c r="H20">
        <f>Baseline!F20/Speed!$B20</f>
        <v>660.45571959047004</v>
      </c>
      <c r="J20">
        <v>2037</v>
      </c>
      <c r="K20">
        <f>Speed!F20/Temperature!$G32</f>
        <v>829.20905454407307</v>
      </c>
      <c r="L20">
        <f>Speed!G20/Temperature!$G32</f>
        <v>1077.9619196575127</v>
      </c>
      <c r="M20">
        <f>Speed!H20/Temperature!$G32</f>
        <v>692.02352610635455</v>
      </c>
    </row>
    <row r="21" spans="1:13" x14ac:dyDescent="0.3">
      <c r="A21">
        <v>2038</v>
      </c>
      <c r="B21">
        <f t="shared" si="1"/>
        <v>1.36</v>
      </c>
      <c r="E21">
        <v>2038</v>
      </c>
      <c r="F21">
        <f>Baseline!D21/Speed!$B21</f>
        <v>779.74531177792596</v>
      </c>
      <c r="G21">
        <f>Baseline!E21/Speed!$B21</f>
        <v>1013.6596417054727</v>
      </c>
      <c r="H21">
        <f>Baseline!F21/Speed!$B21</f>
        <v>650.74313547884549</v>
      </c>
      <c r="J21">
        <v>2038</v>
      </c>
      <c r="K21">
        <f>Speed!F21/Temperature!$G33</f>
        <v>819.31839001568289</v>
      </c>
      <c r="L21">
        <f>Speed!G21/Temperature!$G33</f>
        <v>1065.1041732746369</v>
      </c>
      <c r="M21">
        <f>Speed!H21/Temperature!$G33</f>
        <v>683.76918722165078</v>
      </c>
    </row>
    <row r="22" spans="1:13" x14ac:dyDescent="0.3">
      <c r="A22">
        <v>2039</v>
      </c>
      <c r="B22">
        <f t="shared" si="1"/>
        <v>1.3800000000000001</v>
      </c>
      <c r="E22">
        <v>2039</v>
      </c>
      <c r="F22">
        <f>Baseline!D22/Speed!$B22</f>
        <v>768.44465508549217</v>
      </c>
      <c r="G22">
        <f>Baseline!E22/Speed!$B22</f>
        <v>998.96892226046589</v>
      </c>
      <c r="H22">
        <f>Baseline!F22/Speed!$B22</f>
        <v>641.31207554436935</v>
      </c>
      <c r="J22">
        <v>2039</v>
      </c>
      <c r="K22">
        <f>Speed!F22/Temperature!$G34</f>
        <v>809.72724934808832</v>
      </c>
      <c r="L22">
        <f>Speed!G22/Temperature!$G34</f>
        <v>1052.6358043523633</v>
      </c>
      <c r="M22">
        <f>Speed!H22/Temperature!$G34</f>
        <v>675.76481854309088</v>
      </c>
    </row>
    <row r="23" spans="1:13" x14ac:dyDescent="0.3">
      <c r="A23">
        <v>2040</v>
      </c>
      <c r="B23">
        <f t="shared" si="1"/>
        <v>1.4000000000000001</v>
      </c>
      <c r="E23">
        <v>2040</v>
      </c>
      <c r="F23">
        <f>Baseline!D23/Speed!$B23</f>
        <v>757.4668742985566</v>
      </c>
      <c r="G23">
        <f>Baseline!E23/Speed!$B23</f>
        <v>984.6979376567449</v>
      </c>
      <c r="H23">
        <f>Baseline!F23/Speed!$B23</f>
        <v>632.15047446516417</v>
      </c>
      <c r="J23">
        <v>2040</v>
      </c>
      <c r="K23">
        <f>Speed!F23/Temperature!$G35</f>
        <v>800.42290345039385</v>
      </c>
      <c r="L23">
        <f>Speed!G23/Temperature!$G35</f>
        <v>1040.5402652237522</v>
      </c>
      <c r="M23">
        <f>Speed!H23/Temperature!$G35</f>
        <v>667.99979689872885</v>
      </c>
    </row>
    <row r="24" spans="1:13" x14ac:dyDescent="0.3">
      <c r="A24">
        <v>2041</v>
      </c>
      <c r="B24">
        <f t="shared" si="1"/>
        <v>1.4200000000000002</v>
      </c>
      <c r="E24">
        <v>2041</v>
      </c>
      <c r="F24">
        <f>Baseline!D24/Speed!$B24</f>
        <v>746.79832677322486</v>
      </c>
      <c r="G24">
        <f>Baseline!E24/Speed!$B24</f>
        <v>970.82895261932595</v>
      </c>
      <c r="H24">
        <f>Baseline!F24/Speed!$B24</f>
        <v>623.24694665579557</v>
      </c>
      <c r="J24">
        <v>2041</v>
      </c>
      <c r="K24">
        <f>Speed!F24/Temperature!$G36</f>
        <v>791.39334157073517</v>
      </c>
      <c r="L24">
        <f>Speed!G24/Temperature!$G36</f>
        <v>1028.801942054072</v>
      </c>
      <c r="M24">
        <f>Speed!H24/Temperature!$G36</f>
        <v>660.464098612616</v>
      </c>
    </row>
    <row r="25" spans="1:13" x14ac:dyDescent="0.3">
      <c r="A25">
        <v>2042</v>
      </c>
      <c r="B25">
        <f t="shared" si="1"/>
        <v>1.4400000000000002</v>
      </c>
      <c r="E25">
        <v>2042</v>
      </c>
      <c r="F25">
        <f>Baseline!D25/Speed!$B25</f>
        <v>736.42612779026331</v>
      </c>
      <c r="G25">
        <f>Baseline!E25/Speed!$B25</f>
        <v>957.34521716627978</v>
      </c>
      <c r="H25">
        <f>Baseline!F25/Speed!$B25</f>
        <v>614.59073906335402</v>
      </c>
      <c r="J25">
        <v>2042</v>
      </c>
      <c r="K25">
        <f>Speed!F25/Temperature!$G37</f>
        <v>782.62722142859764</v>
      </c>
      <c r="L25">
        <f>Speed!G25/Temperature!$G37</f>
        <v>1017.4060900134036</v>
      </c>
      <c r="M25">
        <f>Speed!H25/Temperature!$G37</f>
        <v>653.14825788730047</v>
      </c>
    </row>
    <row r="26" spans="1:13" x14ac:dyDescent="0.3">
      <c r="A26">
        <v>2043</v>
      </c>
      <c r="B26">
        <f t="shared" si="1"/>
        <v>1.4600000000000002</v>
      </c>
      <c r="E26">
        <v>2043</v>
      </c>
      <c r="F26">
        <f>Baseline!D26/Speed!$B26</f>
        <v>726.33809864245154</v>
      </c>
      <c r="G26">
        <f>Baseline!E26/Speed!$B26</f>
        <v>944.23089912290607</v>
      </c>
      <c r="H26">
        <f>Baseline!F26/Speed!$B26</f>
        <v>606.17168784330806</v>
      </c>
      <c r="J26">
        <v>2043</v>
      </c>
      <c r="K26">
        <f>Speed!F26/Temperature!$G38</f>
        <v>774.11382344613492</v>
      </c>
      <c r="L26">
        <f>Speed!G26/Temperature!$G38</f>
        <v>1006.3387737778978</v>
      </c>
      <c r="M26">
        <f>Speed!H26/Temperature!$G38</f>
        <v>646.04332860718068</v>
      </c>
    </row>
    <row r="27" spans="1:13" x14ac:dyDescent="0.3">
      <c r="A27">
        <v>2044</v>
      </c>
      <c r="B27">
        <f t="shared" si="1"/>
        <v>1.4800000000000002</v>
      </c>
      <c r="E27">
        <v>2044</v>
      </c>
      <c r="F27">
        <f>Baseline!D27/Speed!$B27</f>
        <v>716.52271893106706</v>
      </c>
      <c r="G27">
        <f>Baseline!E27/Speed!$B27</f>
        <v>931.47102210773164</v>
      </c>
      <c r="H27">
        <f>Baseline!F27/Speed!$B27</f>
        <v>597.98017854812815</v>
      </c>
      <c r="J27">
        <v>2044</v>
      </c>
      <c r="K27">
        <f>Speed!F27/Temperature!$G39</f>
        <v>765.84300869075071</v>
      </c>
      <c r="L27">
        <f>Speed!G27/Temperature!$G39</f>
        <v>995.58681285563353</v>
      </c>
      <c r="M27">
        <f>Speed!H27/Temperature!$G39</f>
        <v>639.14084923912742</v>
      </c>
    </row>
    <row r="28" spans="1:13" x14ac:dyDescent="0.3">
      <c r="A28">
        <v>2045</v>
      </c>
      <c r="B28">
        <f t="shared" si="1"/>
        <v>1.5000000000000002</v>
      </c>
      <c r="E28">
        <v>2045</v>
      </c>
      <c r="F28">
        <f>Baseline!D28/Speed!$B28</f>
        <v>706.96908267865274</v>
      </c>
      <c r="G28">
        <f>Baseline!E28/Speed!$B28</f>
        <v>919.05140847962855</v>
      </c>
      <c r="H28">
        <f>Baseline!F28/Speed!$B28</f>
        <v>590.00710950081987</v>
      </c>
      <c r="J28">
        <v>2045</v>
      </c>
      <c r="K28">
        <f>Speed!F28/Temperature!$G40</f>
        <v>757.80518018256589</v>
      </c>
      <c r="L28">
        <f>Speed!G28/Temperature!$G40</f>
        <v>985.1377312867827</v>
      </c>
      <c r="M28">
        <f>Speed!H28/Temperature!$G40</f>
        <v>632.43281054129807</v>
      </c>
    </row>
    <row r="29" spans="1:13" x14ac:dyDescent="0.3">
      <c r="A29">
        <v>2046</v>
      </c>
      <c r="B29">
        <f t="shared" si="1"/>
        <v>1.5200000000000002</v>
      </c>
      <c r="E29">
        <v>2046</v>
      </c>
      <c r="F29">
        <f>Baseline!D29/Speed!$B29</f>
        <v>697.66685790656527</v>
      </c>
      <c r="G29">
        <f>Baseline!E29/Speed!$B29</f>
        <v>906.95862678910714</v>
      </c>
      <c r="H29">
        <f>Baseline!F29/Speed!$B29</f>
        <v>582.24385806001953</v>
      </c>
      <c r="J29">
        <v>2046</v>
      </c>
      <c r="K29">
        <f>Speed!F29/Temperature!$G41</f>
        <v>749.99124725685101</v>
      </c>
      <c r="L29">
        <f>Speed!G29/Temperature!$G41</f>
        <v>974.9797113151966</v>
      </c>
      <c r="M29">
        <f>Speed!H29/Temperature!$G41</f>
        <v>625.91162582149889</v>
      </c>
    </row>
    <row r="30" spans="1:13" x14ac:dyDescent="0.3">
      <c r="A30">
        <v>2047</v>
      </c>
      <c r="B30">
        <f t="shared" si="1"/>
        <v>1.5400000000000003</v>
      </c>
      <c r="E30">
        <v>2047</v>
      </c>
      <c r="F30">
        <f>Baseline!D30/Speed!$B30</f>
        <v>688.60624936232409</v>
      </c>
      <c r="G30">
        <f>Baseline!E30/Speed!$B30</f>
        <v>895.17994332431351</v>
      </c>
      <c r="H30">
        <f>Baseline!F30/Speed!$B30</f>
        <v>574.68224951378556</v>
      </c>
      <c r="J30">
        <v>2047</v>
      </c>
      <c r="K30">
        <f>Speed!F30/Temperature!$G42</f>
        <v>742.3925927037069</v>
      </c>
      <c r="L30">
        <f>Speed!G30/Temperature!$G42</f>
        <v>965.1015506703817</v>
      </c>
      <c r="M30">
        <f>Speed!H30/Temperature!$G42</f>
        <v>619.57010351332542</v>
      </c>
    </row>
    <row r="31" spans="1:13" x14ac:dyDescent="0.3">
      <c r="A31">
        <v>2048</v>
      </c>
      <c r="B31">
        <f t="shared" si="1"/>
        <v>1.5600000000000003</v>
      </c>
      <c r="E31">
        <v>2048</v>
      </c>
      <c r="F31">
        <f>Baseline!D31/Speed!$B31</f>
        <v>679.77796411408917</v>
      </c>
      <c r="G31">
        <f>Baseline!E31/Speed!$B31</f>
        <v>883.70327738425817</v>
      </c>
      <c r="H31">
        <f>Baseline!F31/Speed!$B31</f>
        <v>567.31452836617291</v>
      </c>
      <c r="J31">
        <v>2048</v>
      </c>
      <c r="K31">
        <f>Speed!F31/Temperature!$G43</f>
        <v>735.00104243576209</v>
      </c>
      <c r="L31">
        <f>Speed!G31/Temperature!$G43</f>
        <v>955.4926231358653</v>
      </c>
      <c r="M31">
        <f>Speed!H31/Temperature!$G43</f>
        <v>613.40142186207629</v>
      </c>
    </row>
    <row r="32" spans="1:13" x14ac:dyDescent="0.3">
      <c r="A32">
        <v>2049</v>
      </c>
      <c r="B32">
        <f t="shared" si="1"/>
        <v>1.5800000000000003</v>
      </c>
      <c r="E32">
        <v>2049</v>
      </c>
      <c r="F32">
        <f>Baseline!D32/Speed!$B32</f>
        <v>671.1731797582147</v>
      </c>
      <c r="G32">
        <f>Baseline!E32/Speed!$B32</f>
        <v>872.5171599490144</v>
      </c>
      <c r="H32">
        <f>Baseline!F32/Speed!$B32</f>
        <v>560.13333180457573</v>
      </c>
      <c r="J32">
        <v>2049</v>
      </c>
      <c r="K32">
        <f>Speed!F32/Temperature!$G44</f>
        <v>727.80883745988399</v>
      </c>
      <c r="L32">
        <f>Speed!G32/Temperature!$G44</f>
        <v>946.14284211275435</v>
      </c>
      <c r="M32">
        <f>Speed!H32/Temperature!$G44</f>
        <v>607.39910553350762</v>
      </c>
    </row>
    <row r="33" spans="1:13" x14ac:dyDescent="0.3">
      <c r="A33">
        <v>2050</v>
      </c>
      <c r="B33">
        <f t="shared" si="1"/>
        <v>1.6000000000000003</v>
      </c>
      <c r="E33">
        <v>2050</v>
      </c>
      <c r="F33">
        <f>Baseline!D33/Speed!$B33</f>
        <v>662.783515011237</v>
      </c>
      <c r="G33">
        <f>Baseline!E33/Speed!$B33</f>
        <v>861.61069544965176</v>
      </c>
      <c r="H33">
        <f>Baseline!F33/Speed!$B33</f>
        <v>553.13166515701857</v>
      </c>
      <c r="J33">
        <v>2050</v>
      </c>
      <c r="K33">
        <f>Speed!F33/Temperature!$G45</f>
        <v>720.80860795131809</v>
      </c>
      <c r="L33">
        <f>Speed!G33/Temperature!$G45</f>
        <v>937.04262691642384</v>
      </c>
      <c r="M33">
        <f>Speed!H33/Temperature!$G45</f>
        <v>601.55700397718169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AA8E-57A7-4AB9-98E2-EFBF3BC979E4}">
  <dimension ref="A1:R41"/>
  <sheetViews>
    <sheetView workbookViewId="0">
      <selection activeCell="F4" sqref="F4"/>
    </sheetView>
  </sheetViews>
  <sheetFormatPr defaultColWidth="8.83203125" defaultRowHeight="14" x14ac:dyDescent="0.3"/>
  <cols>
    <col min="2" max="2" width="12.33203125" bestFit="1" customWidth="1"/>
  </cols>
  <sheetData>
    <row r="1" spans="1:18" x14ac:dyDescent="0.3">
      <c r="E1" s="57" t="s">
        <v>93</v>
      </c>
      <c r="F1" s="57"/>
      <c r="G1" s="57"/>
      <c r="H1" s="57" t="s">
        <v>94</v>
      </c>
      <c r="I1" s="57"/>
      <c r="J1" s="57"/>
      <c r="N1" s="52" t="s">
        <v>101</v>
      </c>
      <c r="O1" s="52"/>
      <c r="P1" s="52"/>
    </row>
    <row r="2" spans="1:18" x14ac:dyDescent="0.3"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N2" s="3" t="s">
        <v>102</v>
      </c>
      <c r="O2" s="3" t="s">
        <v>17</v>
      </c>
      <c r="P2" s="3" t="s">
        <v>18</v>
      </c>
    </row>
    <row r="3" spans="1:18" x14ac:dyDescent="0.3">
      <c r="D3" t="s">
        <v>125</v>
      </c>
      <c r="E3" s="7">
        <f>'Case (Ave)'!D29</f>
        <v>577.22834504918194</v>
      </c>
      <c r="F3" s="7">
        <f>'Case (Ave)'!J29</f>
        <v>869.02579474506376</v>
      </c>
      <c r="G3" s="7">
        <f>'Case (Ave)'!P29</f>
        <v>432.12980417817704</v>
      </c>
      <c r="H3" s="7">
        <f>'Case (Ave)'!D69</f>
        <v>238.07336201545527</v>
      </c>
      <c r="I3" s="7">
        <f>'Case (Ave)'!J69</f>
        <v>289.92741851911916</v>
      </c>
      <c r="J3" s="7">
        <f>'Case (Ave)'!P69</f>
        <v>201.95358821804919</v>
      </c>
      <c r="N3" s="3">
        <v>2020</v>
      </c>
      <c r="O3" s="1">
        <v>0.95</v>
      </c>
      <c r="P3" s="1">
        <v>0.05</v>
      </c>
    </row>
    <row r="4" spans="1:18" x14ac:dyDescent="0.3">
      <c r="D4" t="s">
        <v>99</v>
      </c>
      <c r="E4" s="7">
        <f>'Case (Ave)'!D30</f>
        <v>960.15877715854128</v>
      </c>
      <c r="F4" s="7">
        <f>'Case (Ave)'!J30</f>
        <v>1331.2090197130133</v>
      </c>
      <c r="G4" s="7">
        <f>'Case (Ave)'!P30</f>
        <v>775.65117148687477</v>
      </c>
      <c r="H4" s="7">
        <f>'Case (Ave)'!D70</f>
        <v>565.56991682343119</v>
      </c>
      <c r="I4" s="7">
        <f>'Case (Ave)'!J70</f>
        <v>646.21862403336718</v>
      </c>
      <c r="J4" s="7">
        <f>'Case (Ave)'!P70</f>
        <v>509.2576775795842</v>
      </c>
      <c r="N4" s="3">
        <v>2021</v>
      </c>
      <c r="O4" s="1">
        <v>0.95</v>
      </c>
      <c r="P4" s="1">
        <v>0.05</v>
      </c>
    </row>
    <row r="5" spans="1:18" x14ac:dyDescent="0.3">
      <c r="N5" s="3">
        <v>2022</v>
      </c>
      <c r="O5" s="1">
        <v>0.92500000000000004</v>
      </c>
      <c r="P5" s="1">
        <v>7.4999999999999997E-2</v>
      </c>
    </row>
    <row r="6" spans="1:18" x14ac:dyDescent="0.3">
      <c r="N6" s="3">
        <v>2023</v>
      </c>
      <c r="O6" s="1">
        <v>0.7</v>
      </c>
      <c r="P6" s="1">
        <v>0.3</v>
      </c>
    </row>
    <row r="7" spans="1:18" x14ac:dyDescent="0.3">
      <c r="N7" s="3">
        <v>2024</v>
      </c>
      <c r="O7" s="1">
        <v>0.35</v>
      </c>
      <c r="P7" s="1">
        <v>0.65</v>
      </c>
    </row>
    <row r="9" spans="1:18" x14ac:dyDescent="0.3">
      <c r="E9" s="57" t="s">
        <v>93</v>
      </c>
      <c r="F9" s="57"/>
      <c r="G9" s="57"/>
      <c r="H9" s="57" t="s">
        <v>94</v>
      </c>
      <c r="I9" s="57"/>
      <c r="J9" s="57"/>
      <c r="L9" s="57" t="s">
        <v>112</v>
      </c>
      <c r="M9" s="57"/>
      <c r="N9" s="57"/>
      <c r="P9" s="58" t="s">
        <v>114</v>
      </c>
      <c r="Q9" s="58"/>
      <c r="R9" s="58"/>
    </row>
    <row r="10" spans="1:18" x14ac:dyDescent="0.3">
      <c r="B10" t="s">
        <v>126</v>
      </c>
      <c r="E10" t="s">
        <v>1</v>
      </c>
      <c r="F10" t="s">
        <v>2</v>
      </c>
      <c r="G10" t="s">
        <v>3</v>
      </c>
      <c r="H10" t="s">
        <v>1</v>
      </c>
      <c r="I10" t="s">
        <v>2</v>
      </c>
      <c r="J10" t="s">
        <v>3</v>
      </c>
      <c r="L10" t="s">
        <v>1</v>
      </c>
      <c r="M10" t="s">
        <v>2</v>
      </c>
      <c r="N10" t="s">
        <v>3</v>
      </c>
      <c r="P10" t="s">
        <v>1</v>
      </c>
      <c r="Q10" t="s">
        <v>2</v>
      </c>
      <c r="R10" t="s">
        <v>3</v>
      </c>
    </row>
    <row r="11" spans="1:18" x14ac:dyDescent="0.3">
      <c r="A11">
        <v>2020</v>
      </c>
      <c r="B11">
        <v>1</v>
      </c>
      <c r="C11">
        <f>(B41-B11)/(A41-A11)</f>
        <v>1.6666666666666666E-2</v>
      </c>
      <c r="E11">
        <f t="shared" ref="E11:E41" si="0">E$3/$B11+E$4</f>
        <v>1537.3871222077232</v>
      </c>
      <c r="F11">
        <f t="shared" ref="F11:J26" si="1">F$3/$B11+F$4</f>
        <v>2200.2348144580769</v>
      </c>
      <c r="G11">
        <f t="shared" si="1"/>
        <v>1207.7809756650518</v>
      </c>
      <c r="H11">
        <f t="shared" si="1"/>
        <v>803.64327883888643</v>
      </c>
      <c r="I11">
        <f t="shared" si="1"/>
        <v>936.14604255248628</v>
      </c>
      <c r="J11">
        <f t="shared" si="1"/>
        <v>711.21126579763336</v>
      </c>
      <c r="L11">
        <f>E11*$O3+H11*$P3</f>
        <v>1500.6999300392813</v>
      </c>
      <c r="M11">
        <f t="shared" ref="M11:N14" si="2">F11*$O3+I11*$P3</f>
        <v>2137.030375862797</v>
      </c>
      <c r="N11">
        <f t="shared" si="2"/>
        <v>1182.9524901716807</v>
      </c>
      <c r="P11">
        <f>L11/Temperature!$G15</f>
        <v>1500.6999300392813</v>
      </c>
      <c r="Q11">
        <f>M11/Temperature!$G15</f>
        <v>2137.030375862797</v>
      </c>
      <c r="R11">
        <f>N11/Temperature!$G15</f>
        <v>1182.9524901716807</v>
      </c>
    </row>
    <row r="12" spans="1:18" x14ac:dyDescent="0.3">
      <c r="A12">
        <v>2021</v>
      </c>
      <c r="B12">
        <f t="shared" ref="B12:B40" si="3">B11+$C$11</f>
        <v>1.0166666666666666</v>
      </c>
      <c r="E12">
        <f t="shared" si="0"/>
        <v>1527.9243624528185</v>
      </c>
      <c r="F12">
        <f t="shared" si="1"/>
        <v>2185.9884899540598</v>
      </c>
      <c r="G12">
        <f t="shared" si="1"/>
        <v>1200.6968805145898</v>
      </c>
      <c r="H12">
        <f t="shared" si="1"/>
        <v>799.74043683863306</v>
      </c>
      <c r="I12">
        <f t="shared" si="1"/>
        <v>931.39313405217285</v>
      </c>
      <c r="J12">
        <f t="shared" si="1"/>
        <v>707.90055123668174</v>
      </c>
      <c r="L12">
        <f t="shared" ref="L12:L14" si="4">E12*$O4+H12*$P4</f>
        <v>1491.5151661721093</v>
      </c>
      <c r="M12">
        <f t="shared" si="2"/>
        <v>2123.2587221589652</v>
      </c>
      <c r="N12">
        <f t="shared" si="2"/>
        <v>1176.0570640506942</v>
      </c>
      <c r="P12">
        <f>L12/Temperature!$G16</f>
        <v>1496.4284395486272</v>
      </c>
      <c r="Q12">
        <f>M12/Temperature!$G16</f>
        <v>2130.253053016369</v>
      </c>
      <c r="R12">
        <f>N12/Temperature!$G16</f>
        <v>1179.9311713967802</v>
      </c>
    </row>
    <row r="13" spans="1:18" x14ac:dyDescent="0.3">
      <c r="A13">
        <v>2022</v>
      </c>
      <c r="B13">
        <f t="shared" si="3"/>
        <v>1.0333333333333332</v>
      </c>
      <c r="E13">
        <f t="shared" si="0"/>
        <v>1518.7668530125884</v>
      </c>
      <c r="F13">
        <f t="shared" si="1"/>
        <v>2172.2017243050104</v>
      </c>
      <c r="G13">
        <f t="shared" si="1"/>
        <v>1193.84130456253</v>
      </c>
      <c r="H13">
        <f t="shared" si="1"/>
        <v>795.96349296742017</v>
      </c>
      <c r="I13">
        <f t="shared" si="1"/>
        <v>926.7935451809019</v>
      </c>
      <c r="J13">
        <f t="shared" si="1"/>
        <v>704.69663391963184</v>
      </c>
      <c r="L13">
        <f t="shared" si="4"/>
        <v>1464.5566010092009</v>
      </c>
      <c r="M13">
        <f t="shared" si="2"/>
        <v>2078.7961108707023</v>
      </c>
      <c r="N13">
        <f t="shared" si="2"/>
        <v>1157.1554542643128</v>
      </c>
      <c r="P13">
        <f>L13/Temperature!$G17</f>
        <v>1474.1632314004939</v>
      </c>
      <c r="Q13">
        <f>M13/Temperature!$G17</f>
        <v>2092.4317913778477</v>
      </c>
      <c r="R13">
        <f>N13/Temperature!$G17</f>
        <v>1164.7457138327898</v>
      </c>
    </row>
    <row r="14" spans="1:18" x14ac:dyDescent="0.3">
      <c r="A14">
        <v>2023</v>
      </c>
      <c r="B14">
        <f t="shared" si="3"/>
        <v>1.0499999999999998</v>
      </c>
      <c r="E14">
        <f t="shared" si="0"/>
        <v>1509.9000581577623</v>
      </c>
      <c r="F14">
        <f t="shared" si="1"/>
        <v>2158.8526337559315</v>
      </c>
      <c r="G14">
        <f t="shared" si="1"/>
        <v>1187.2033659422816</v>
      </c>
      <c r="H14">
        <f t="shared" si="1"/>
        <v>792.30645207624571</v>
      </c>
      <c r="I14">
        <f t="shared" si="1"/>
        <v>922.33997500395685</v>
      </c>
      <c r="J14">
        <f t="shared" si="1"/>
        <v>701.59442826344059</v>
      </c>
      <c r="L14">
        <f t="shared" si="4"/>
        <v>1294.6219763333072</v>
      </c>
      <c r="M14">
        <f t="shared" si="2"/>
        <v>1787.8988361303391</v>
      </c>
      <c r="N14">
        <f t="shared" si="2"/>
        <v>1041.5206846386293</v>
      </c>
      <c r="P14">
        <f>L14/Temperature!$G18</f>
        <v>1306.5112285127732</v>
      </c>
      <c r="Q14">
        <f>M14/Temperature!$G18</f>
        <v>1804.3181311235633</v>
      </c>
      <c r="R14">
        <f>N14/Temperature!$G18</f>
        <v>1051.0855632643347</v>
      </c>
    </row>
    <row r="15" spans="1:18" x14ac:dyDescent="0.3">
      <c r="A15">
        <v>2024</v>
      </c>
      <c r="B15">
        <f t="shared" si="3"/>
        <v>1.0666666666666664</v>
      </c>
      <c r="E15">
        <f t="shared" si="0"/>
        <v>1501.3103506421494</v>
      </c>
      <c r="F15">
        <f t="shared" si="1"/>
        <v>2145.9207022865107</v>
      </c>
      <c r="G15">
        <f t="shared" si="1"/>
        <v>1180.7728629039159</v>
      </c>
      <c r="H15">
        <f t="shared" si="1"/>
        <v>788.76369371292049</v>
      </c>
      <c r="I15">
        <f t="shared" si="1"/>
        <v>918.02557889504146</v>
      </c>
      <c r="J15">
        <f t="shared" si="1"/>
        <v>698.58916653400536</v>
      </c>
      <c r="L15">
        <f>E15*$O$7+H15*$P$7</f>
        <v>1038.1550236381504</v>
      </c>
      <c r="M15">
        <f t="shared" ref="M15:N15" si="5">F15*$O$7+I15*$P$7</f>
        <v>1347.7888720820556</v>
      </c>
      <c r="N15">
        <f t="shared" si="5"/>
        <v>867.35346026347406</v>
      </c>
      <c r="P15">
        <f>L15/Temperature!$G19</f>
        <v>1049.4187852666792</v>
      </c>
      <c r="Q15">
        <f>M15/Temperature!$G19</f>
        <v>1362.4120952376056</v>
      </c>
      <c r="R15">
        <f>N15/Temperature!$G19</f>
        <v>876.76406118687976</v>
      </c>
    </row>
    <row r="16" spans="1:18" x14ac:dyDescent="0.3">
      <c r="A16">
        <v>2025</v>
      </c>
      <c r="B16">
        <f t="shared" si="3"/>
        <v>1.083333333333333</v>
      </c>
      <c r="E16">
        <f t="shared" si="0"/>
        <v>1492.9849418193248</v>
      </c>
      <c r="F16">
        <f t="shared" si="1"/>
        <v>2133.3866764007648</v>
      </c>
      <c r="G16">
        <f t="shared" si="1"/>
        <v>1174.5402214974997</v>
      </c>
      <c r="H16">
        <f t="shared" si="1"/>
        <v>785.32994329923611</v>
      </c>
      <c r="I16">
        <f t="shared" si="1"/>
        <v>913.84393343563102</v>
      </c>
      <c r="J16">
        <f t="shared" si="1"/>
        <v>695.67637439624502</v>
      </c>
      <c r="L16">
        <f t="shared" ref="L16:L41" si="6">E16*$O$7+H16*$P$7</f>
        <v>1033.0091927812673</v>
      </c>
      <c r="M16">
        <f t="shared" ref="M16:M41" si="7">F16*$O$7+I16*$P$7</f>
        <v>1340.6838934734278</v>
      </c>
      <c r="N16">
        <f t="shared" ref="N16:N41" si="8">G16*$O$7+J16*$P$7</f>
        <v>863.27872088168419</v>
      </c>
      <c r="P16">
        <f>L16/Temperature!$G20</f>
        <v>1047.0572103535101</v>
      </c>
      <c r="Q16">
        <f>M16/Temperature!$G20</f>
        <v>1358.9160166974518</v>
      </c>
      <c r="R16">
        <f>N16/Temperature!$G20</f>
        <v>875.0185531362622</v>
      </c>
    </row>
    <row r="17" spans="1:18" x14ac:dyDescent="0.3">
      <c r="A17">
        <v>2026</v>
      </c>
      <c r="B17">
        <f t="shared" si="3"/>
        <v>1.0999999999999996</v>
      </c>
      <c r="E17">
        <f t="shared" si="0"/>
        <v>1484.9118181123431</v>
      </c>
      <c r="F17">
        <f t="shared" si="1"/>
        <v>2121.2324694812532</v>
      </c>
      <c r="G17">
        <f t="shared" si="1"/>
        <v>1168.4964480124904</v>
      </c>
      <c r="H17">
        <f t="shared" si="1"/>
        <v>782.00024592839054</v>
      </c>
      <c r="I17">
        <f t="shared" si="1"/>
        <v>909.78900450529375</v>
      </c>
      <c r="J17">
        <f t="shared" si="1"/>
        <v>692.85184868690169</v>
      </c>
      <c r="L17">
        <f t="shared" si="6"/>
        <v>1028.0192961927739</v>
      </c>
      <c r="M17">
        <f t="shared" si="7"/>
        <v>1333.7942172468795</v>
      </c>
      <c r="N17">
        <f t="shared" si="8"/>
        <v>859.32745845085776</v>
      </c>
      <c r="P17">
        <f>L17/Temperature!$G21</f>
        <v>1044.8412401593391</v>
      </c>
      <c r="Q17">
        <f>M17/Temperature!$G21</f>
        <v>1355.6196943255202</v>
      </c>
      <c r="R17">
        <f>N17/Temperature!$G21</f>
        <v>873.3890217002313</v>
      </c>
    </row>
    <row r="18" spans="1:18" x14ac:dyDescent="0.3">
      <c r="A18">
        <v>2027</v>
      </c>
      <c r="B18">
        <f t="shared" si="3"/>
        <v>1.1166666666666663</v>
      </c>
      <c r="E18">
        <f t="shared" si="0"/>
        <v>1477.0796831727343</v>
      </c>
      <c r="F18">
        <f t="shared" si="1"/>
        <v>2109.4410747085931</v>
      </c>
      <c r="G18">
        <f t="shared" si="1"/>
        <v>1162.6330856762872</v>
      </c>
      <c r="H18">
        <f t="shared" si="1"/>
        <v>778.76994250891357</v>
      </c>
      <c r="I18">
        <f t="shared" si="1"/>
        <v>905.85511822959336</v>
      </c>
      <c r="J18">
        <f t="shared" si="1"/>
        <v>690.11163717783734</v>
      </c>
      <c r="L18">
        <f t="shared" si="6"/>
        <v>1023.1783517412508</v>
      </c>
      <c r="M18">
        <f t="shared" si="7"/>
        <v>1327.1102029972433</v>
      </c>
      <c r="N18">
        <f t="shared" si="8"/>
        <v>855.49414415229478</v>
      </c>
      <c r="P18">
        <f>L18/Temperature!$G22</f>
        <v>1042.7649534502241</v>
      </c>
      <c r="Q18">
        <f>M18/Temperature!$G22</f>
        <v>1352.5149419909735</v>
      </c>
      <c r="R18">
        <f>N18/Temperature!$G22</f>
        <v>871.87078370624351</v>
      </c>
    </row>
    <row r="19" spans="1:18" x14ac:dyDescent="0.3">
      <c r="A19">
        <v>2028</v>
      </c>
      <c r="B19">
        <f t="shared" si="3"/>
        <v>1.1333333333333329</v>
      </c>
      <c r="E19">
        <f t="shared" si="0"/>
        <v>1469.4779051431137</v>
      </c>
      <c r="F19">
        <f t="shared" si="1"/>
        <v>2097.9964856645406</v>
      </c>
      <c r="G19">
        <f t="shared" si="1"/>
        <v>1156.9421751735017</v>
      </c>
      <c r="H19">
        <f t="shared" si="1"/>
        <v>775.63464801353894</v>
      </c>
      <c r="I19">
        <f t="shared" si="1"/>
        <v>902.0369344914136</v>
      </c>
      <c r="J19">
        <f t="shared" si="1"/>
        <v>687.45202012492177</v>
      </c>
      <c r="L19">
        <f t="shared" si="6"/>
        <v>1018.4797880088902</v>
      </c>
      <c r="M19">
        <f t="shared" si="7"/>
        <v>1320.6227774020081</v>
      </c>
      <c r="N19">
        <f t="shared" si="8"/>
        <v>851.77357439192474</v>
      </c>
      <c r="P19">
        <f>L19/Temperature!$G23</f>
        <v>1040.82278376709</v>
      </c>
      <c r="Q19">
        <f>M19/Temperature!$G23</f>
        <v>1349.5940632940533</v>
      </c>
      <c r="R19">
        <f>N19/Temperature!$G23</f>
        <v>870.45943697226232</v>
      </c>
    </row>
    <row r="20" spans="1:18" x14ac:dyDescent="0.3">
      <c r="A20">
        <v>2029</v>
      </c>
      <c r="B20">
        <f t="shared" si="3"/>
        <v>1.1499999999999995</v>
      </c>
      <c r="E20">
        <f t="shared" si="0"/>
        <v>1462.0964685056563</v>
      </c>
      <c r="F20">
        <f t="shared" si="1"/>
        <v>2086.8836238391559</v>
      </c>
      <c r="G20">
        <f t="shared" si="1"/>
        <v>1151.4162185983332</v>
      </c>
      <c r="H20">
        <f t="shared" si="1"/>
        <v>772.59023161947937</v>
      </c>
      <c r="I20">
        <f t="shared" si="1"/>
        <v>898.32942274564482</v>
      </c>
      <c r="J20">
        <f t="shared" si="1"/>
        <v>684.8694934213662</v>
      </c>
      <c r="L20">
        <f t="shared" si="6"/>
        <v>1013.9174145296413</v>
      </c>
      <c r="M20">
        <f t="shared" si="7"/>
        <v>1314.3233931283737</v>
      </c>
      <c r="N20">
        <f t="shared" si="8"/>
        <v>848.16084723330459</v>
      </c>
      <c r="P20">
        <f>L20/Temperature!$G24</f>
        <v>1039.0094938050324</v>
      </c>
      <c r="Q20">
        <f>M20/Temperature!$G24</f>
        <v>1346.849816189346</v>
      </c>
      <c r="R20">
        <f>N20/Temperature!$G24</f>
        <v>869.15084001978209</v>
      </c>
    </row>
    <row r="21" spans="1:18" x14ac:dyDescent="0.3">
      <c r="A21">
        <v>2030</v>
      </c>
      <c r="B21">
        <f t="shared" si="3"/>
        <v>1.1666666666666661</v>
      </c>
      <c r="E21">
        <f t="shared" si="0"/>
        <v>1454.9259300578403</v>
      </c>
      <c r="F21">
        <f t="shared" si="1"/>
        <v>2076.0882723516397</v>
      </c>
      <c r="G21">
        <f t="shared" si="1"/>
        <v>1146.0481464967411</v>
      </c>
      <c r="H21">
        <f t="shared" si="1"/>
        <v>769.63279855096437</v>
      </c>
      <c r="I21">
        <f t="shared" si="1"/>
        <v>894.727839906898</v>
      </c>
      <c r="J21">
        <f t="shared" si="1"/>
        <v>682.36075319505505</v>
      </c>
      <c r="L21">
        <f t="shared" si="6"/>
        <v>1009.4853945783709</v>
      </c>
      <c r="M21">
        <f t="shared" si="7"/>
        <v>1308.2039912625576</v>
      </c>
      <c r="N21">
        <f t="shared" si="8"/>
        <v>844.65134085064517</v>
      </c>
      <c r="P21">
        <f>L21/Temperature!$G25</f>
        <v>1037.3201519901052</v>
      </c>
      <c r="Q21">
        <f>M21/Temperature!$G25</f>
        <v>1344.2753806431483</v>
      </c>
      <c r="R21">
        <f>N21/Temperature!$G25</f>
        <v>867.94109352695148</v>
      </c>
    </row>
    <row r="22" spans="1:18" x14ac:dyDescent="0.3">
      <c r="A22">
        <v>2031</v>
      </c>
      <c r="B22">
        <f t="shared" si="3"/>
        <v>1.1833333333333327</v>
      </c>
      <c r="E22">
        <f t="shared" si="0"/>
        <v>1447.9573786085543</v>
      </c>
      <c r="F22">
        <f t="shared" si="1"/>
        <v>2065.5970152722225</v>
      </c>
      <c r="G22">
        <f t="shared" si="1"/>
        <v>1140.8312876937853</v>
      </c>
      <c r="H22">
        <f t="shared" si="1"/>
        <v>766.75867345621043</v>
      </c>
      <c r="I22">
        <f t="shared" si="1"/>
        <v>891.22771010586234</v>
      </c>
      <c r="J22">
        <f t="shared" si="1"/>
        <v>679.92268170751322</v>
      </c>
      <c r="L22">
        <f t="shared" si="6"/>
        <v>1005.1782202595308</v>
      </c>
      <c r="M22">
        <f t="shared" si="7"/>
        <v>1302.2569669140885</v>
      </c>
      <c r="N22">
        <f t="shared" si="8"/>
        <v>841.24069380270839</v>
      </c>
      <c r="P22">
        <f>L22/Temperature!$G26</f>
        <v>1035.7501110369717</v>
      </c>
      <c r="Q22">
        <f>M22/Temperature!$G26</f>
        <v>1341.8643290258337</v>
      </c>
      <c r="R22">
        <f>N22/Temperature!$G26</f>
        <v>866.8265233502633</v>
      </c>
    </row>
    <row r="23" spans="1:18" x14ac:dyDescent="0.3">
      <c r="A23">
        <v>2032</v>
      </c>
      <c r="B23">
        <f t="shared" si="3"/>
        <v>1.1999999999999993</v>
      </c>
      <c r="E23">
        <f t="shared" si="0"/>
        <v>1441.18239803286</v>
      </c>
      <c r="F23">
        <f t="shared" si="1"/>
        <v>2055.3971820005668</v>
      </c>
      <c r="G23">
        <f t="shared" si="1"/>
        <v>1135.7593416353559</v>
      </c>
      <c r="H23">
        <f t="shared" si="1"/>
        <v>763.96438516964406</v>
      </c>
      <c r="I23">
        <f t="shared" si="1"/>
        <v>887.82480613263328</v>
      </c>
      <c r="J23">
        <f t="shared" si="1"/>
        <v>677.55233442795861</v>
      </c>
      <c r="L23">
        <f t="shared" si="6"/>
        <v>1000.9906896717696</v>
      </c>
      <c r="M23">
        <f t="shared" si="7"/>
        <v>1296.4751376864101</v>
      </c>
      <c r="N23">
        <f t="shared" si="8"/>
        <v>837.92478695054774</v>
      </c>
      <c r="P23">
        <f>L23/Temperature!$G27</f>
        <v>1034.2949882948637</v>
      </c>
      <c r="Q23">
        <f>M23/Temperature!$G27</f>
        <v>1339.6105989733514</v>
      </c>
      <c r="R23">
        <f>N23/Temperature!$G27</f>
        <v>865.80366496233455</v>
      </c>
    </row>
    <row r="24" spans="1:18" x14ac:dyDescent="0.3">
      <c r="A24">
        <v>2033</v>
      </c>
      <c r="B24">
        <f t="shared" si="3"/>
        <v>1.2166666666666659</v>
      </c>
      <c r="E24">
        <f t="shared" si="0"/>
        <v>1434.5930333633487</v>
      </c>
      <c r="F24">
        <f t="shared" si="1"/>
        <v>2045.4767962158057</v>
      </c>
      <c r="G24">
        <f t="shared" si="1"/>
        <v>1130.826353003185</v>
      </c>
      <c r="H24">
        <f t="shared" si="1"/>
        <v>761.24665272654522</v>
      </c>
      <c r="I24">
        <f t="shared" si="1"/>
        <v>884.51513240524605</v>
      </c>
      <c r="J24">
        <f t="shared" si="1"/>
        <v>675.24692816976176</v>
      </c>
      <c r="L24">
        <f t="shared" si="6"/>
        <v>996.91788594942636</v>
      </c>
      <c r="M24">
        <f t="shared" si="7"/>
        <v>1290.8517147389421</v>
      </c>
      <c r="N24">
        <f t="shared" si="8"/>
        <v>834.69972686145991</v>
      </c>
      <c r="P24">
        <f>L24/Temperature!$G28</f>
        <v>1032.9506477103901</v>
      </c>
      <c r="Q24">
        <f>M24/Temperature!$G28</f>
        <v>1337.5084684811247</v>
      </c>
      <c r="R24">
        <f>N24/Temperature!$G28</f>
        <v>864.86924917000658</v>
      </c>
    </row>
    <row r="25" spans="1:18" x14ac:dyDescent="0.3">
      <c r="A25">
        <v>2034</v>
      </c>
      <c r="B25">
        <f t="shared" si="3"/>
        <v>1.2333333333333325</v>
      </c>
      <c r="E25">
        <f t="shared" si="0"/>
        <v>1428.1817596308513</v>
      </c>
      <c r="F25">
        <f t="shared" si="1"/>
        <v>2035.8245289657682</v>
      </c>
      <c r="G25">
        <f t="shared" si="1"/>
        <v>1126.0266883880995</v>
      </c>
      <c r="H25">
        <f t="shared" si="1"/>
        <v>758.60237251163835</v>
      </c>
      <c r="I25">
        <f t="shared" si="1"/>
        <v>881.29490931913961</v>
      </c>
      <c r="J25">
        <f t="shared" si="1"/>
        <v>673.00383018881337</v>
      </c>
      <c r="L25">
        <f t="shared" si="6"/>
        <v>992.95515800336284</v>
      </c>
      <c r="M25">
        <f t="shared" si="7"/>
        <v>1285.3802761954596</v>
      </c>
      <c r="N25">
        <f t="shared" si="8"/>
        <v>831.56183055856354</v>
      </c>
      <c r="P25">
        <f>L25/Temperature!$G29</f>
        <v>1031.7131832542814</v>
      </c>
      <c r="Q25">
        <f>M25/Temperature!$G29</f>
        <v>1335.552533019214</v>
      </c>
      <c r="R25">
        <f>N25/Temperature!$G29</f>
        <v>864.02018899168399</v>
      </c>
    </row>
    <row r="26" spans="1:18" x14ac:dyDescent="0.3">
      <c r="A26">
        <v>2035</v>
      </c>
      <c r="B26">
        <f t="shared" si="3"/>
        <v>1.2499999999999991</v>
      </c>
      <c r="E26">
        <f t="shared" si="0"/>
        <v>1421.9414531978871</v>
      </c>
      <c r="F26">
        <f t="shared" si="1"/>
        <v>2026.4296555090648</v>
      </c>
      <c r="G26">
        <f t="shared" si="1"/>
        <v>1121.3550148294166</v>
      </c>
      <c r="H26">
        <f t="shared" si="1"/>
        <v>756.02860643579561</v>
      </c>
      <c r="I26">
        <f t="shared" si="1"/>
        <v>878.16055884866273</v>
      </c>
      <c r="J26">
        <f t="shared" si="1"/>
        <v>670.82054815402364</v>
      </c>
      <c r="L26">
        <f t="shared" si="6"/>
        <v>989.09810280252759</v>
      </c>
      <c r="M26">
        <f t="shared" si="7"/>
        <v>1280.0547426798034</v>
      </c>
      <c r="N26">
        <f t="shared" si="8"/>
        <v>828.50761149041114</v>
      </c>
      <c r="P26">
        <f>L26/Temperature!$G30</f>
        <v>1030.5789036754645</v>
      </c>
      <c r="Q26">
        <f>M26/Temperature!$G30</f>
        <v>1333.7376844801279</v>
      </c>
      <c r="R26">
        <f>N26/Temperature!$G30</f>
        <v>863.2535675857365</v>
      </c>
    </row>
    <row r="27" spans="1:18" x14ac:dyDescent="0.3">
      <c r="A27">
        <v>2036</v>
      </c>
      <c r="B27">
        <f t="shared" si="3"/>
        <v>1.2666666666666657</v>
      </c>
      <c r="E27">
        <f t="shared" si="0"/>
        <v>1415.8653653552642</v>
      </c>
      <c r="F27">
        <f t="shared" ref="F27:J41" si="9">F$3/$B27+F$4</f>
        <v>2017.2820155643799</v>
      </c>
      <c r="G27">
        <f t="shared" si="9"/>
        <v>1116.8062800485936</v>
      </c>
      <c r="H27">
        <f t="shared" si="9"/>
        <v>753.52257104615921</v>
      </c>
      <c r="I27">
        <f t="shared" si="9"/>
        <v>875.10869128530351</v>
      </c>
      <c r="J27">
        <f t="shared" si="9"/>
        <v>668.69472090962313</v>
      </c>
      <c r="L27">
        <f t="shared" si="6"/>
        <v>985.34254905434591</v>
      </c>
      <c r="M27">
        <f t="shared" si="7"/>
        <v>1274.8693547829803</v>
      </c>
      <c r="N27">
        <f t="shared" si="8"/>
        <v>825.53376660826279</v>
      </c>
      <c r="P27">
        <f>L27/Temperature!$G31</f>
        <v>1029.5443184602382</v>
      </c>
      <c r="Q27">
        <f>M27/Temperature!$G31</f>
        <v>1332.0590917905192</v>
      </c>
      <c r="R27">
        <f>N27/Temperature!$G31</f>
        <v>862.56662713318019</v>
      </c>
    </row>
    <row r="28" spans="1:18" x14ac:dyDescent="0.3">
      <c r="A28">
        <v>2037</v>
      </c>
      <c r="B28">
        <f t="shared" si="3"/>
        <v>1.2833333333333323</v>
      </c>
      <c r="E28">
        <f t="shared" si="0"/>
        <v>1409.9470979760861</v>
      </c>
      <c r="F28">
        <f t="shared" si="9"/>
        <v>2008.3719766572194</v>
      </c>
      <c r="G28">
        <f t="shared" si="9"/>
        <v>1112.3756942231169</v>
      </c>
      <c r="H28">
        <f t="shared" si="9"/>
        <v>751.08162748482505</v>
      </c>
      <c r="I28">
        <f t="shared" si="9"/>
        <v>872.13609300930443</v>
      </c>
      <c r="J28">
        <f t="shared" si="9"/>
        <v>666.62410995728499</v>
      </c>
      <c r="L28">
        <f t="shared" si="6"/>
        <v>981.68454215676638</v>
      </c>
      <c r="M28">
        <f t="shared" si="7"/>
        <v>1269.8186522860747</v>
      </c>
      <c r="N28">
        <f t="shared" si="8"/>
        <v>822.63716445032605</v>
      </c>
      <c r="P28">
        <f>L28/Temperature!$G32</f>
        <v>1028.6061248870292</v>
      </c>
      <c r="Q28">
        <f>M28/Temperature!$G32</f>
        <v>1330.5121830355454</v>
      </c>
      <c r="R28">
        <f>N28/Temperature!$G32</f>
        <v>861.95675858791071</v>
      </c>
    </row>
    <row r="29" spans="1:18" x14ac:dyDescent="0.3">
      <c r="A29">
        <v>2038</v>
      </c>
      <c r="B29">
        <f t="shared" si="3"/>
        <v>1.2999999999999989</v>
      </c>
      <c r="E29">
        <f t="shared" si="0"/>
        <v>1404.1805810425278</v>
      </c>
      <c r="F29">
        <f t="shared" si="9"/>
        <v>1999.6904002861397</v>
      </c>
      <c r="G29">
        <f t="shared" si="9"/>
        <v>1108.0587131623959</v>
      </c>
      <c r="H29">
        <f t="shared" si="9"/>
        <v>748.70327221993534</v>
      </c>
      <c r="I29">
        <f t="shared" si="9"/>
        <v>869.23971520192049</v>
      </c>
      <c r="J29">
        <f t="shared" si="9"/>
        <v>664.60659159346835</v>
      </c>
      <c r="L29">
        <f t="shared" si="6"/>
        <v>978.12033030784266</v>
      </c>
      <c r="M29">
        <f t="shared" si="7"/>
        <v>1264.897454981397</v>
      </c>
      <c r="N29">
        <f t="shared" si="8"/>
        <v>819.81483414259299</v>
      </c>
      <c r="P29">
        <f>L29/Temperature!$G33</f>
        <v>1027.7611960784302</v>
      </c>
      <c r="Q29">
        <f>M29/Temperature!$G33</f>
        <v>1329.0926289601725</v>
      </c>
      <c r="R29">
        <f>N29/Temperature!$G33</f>
        <v>861.42149221665693</v>
      </c>
    </row>
    <row r="30" spans="1:18" x14ac:dyDescent="0.3">
      <c r="A30">
        <v>2039</v>
      </c>
      <c r="B30">
        <f t="shared" si="3"/>
        <v>1.3166666666666655</v>
      </c>
      <c r="E30">
        <f t="shared" si="0"/>
        <v>1398.5600518794395</v>
      </c>
      <c r="F30">
        <f t="shared" si="9"/>
        <v>1991.2286106586319</v>
      </c>
      <c r="G30">
        <f t="shared" si="9"/>
        <v>1103.8510227614399</v>
      </c>
      <c r="H30">
        <f t="shared" si="9"/>
        <v>746.38512848073913</v>
      </c>
      <c r="I30">
        <f t="shared" si="9"/>
        <v>866.41666341497682</v>
      </c>
      <c r="J30">
        <f t="shared" si="9"/>
        <v>662.6401496439255</v>
      </c>
      <c r="L30">
        <f t="shared" si="6"/>
        <v>974.64635167028428</v>
      </c>
      <c r="M30">
        <f t="shared" si="7"/>
        <v>1260.100844950256</v>
      </c>
      <c r="N30">
        <f t="shared" si="8"/>
        <v>817.06395523505557</v>
      </c>
      <c r="P30">
        <f>L30/Temperature!$G34</f>
        <v>1027.0065699621894</v>
      </c>
      <c r="Q30">
        <f>M30/Temperature!$G34</f>
        <v>1327.7963277254582</v>
      </c>
      <c r="R30">
        <f>N30/Temperature!$G34</f>
        <v>860.95848885870112</v>
      </c>
    </row>
    <row r="31" spans="1:18" x14ac:dyDescent="0.3">
      <c r="A31">
        <v>2040</v>
      </c>
      <c r="B31">
        <f t="shared" si="3"/>
        <v>1.3333333333333321</v>
      </c>
      <c r="E31">
        <f t="shared" si="0"/>
        <v>1393.0800359454281</v>
      </c>
      <c r="F31">
        <f t="shared" si="9"/>
        <v>1982.9783657718117</v>
      </c>
      <c r="G31">
        <f t="shared" si="9"/>
        <v>1099.7485246205079</v>
      </c>
      <c r="H31">
        <f t="shared" si="9"/>
        <v>744.12493833502276</v>
      </c>
      <c r="I31">
        <f t="shared" si="9"/>
        <v>863.66418792270679</v>
      </c>
      <c r="J31">
        <f t="shared" si="9"/>
        <v>660.72286874312124</v>
      </c>
      <c r="L31">
        <f t="shared" si="6"/>
        <v>971.2592224986646</v>
      </c>
      <c r="M31">
        <f t="shared" si="7"/>
        <v>1255.4241501698934</v>
      </c>
      <c r="N31">
        <f t="shared" si="8"/>
        <v>814.38184830020657</v>
      </c>
      <c r="P31">
        <f>L31/Temperature!$G35</f>
        <v>1026.3394390616386</v>
      </c>
      <c r="Q31">
        <f>M31/Temperature!$G35</f>
        <v>1326.6193908100308</v>
      </c>
      <c r="R31">
        <f>N31/Temperature!$G35</f>
        <v>860.56553184241557</v>
      </c>
    </row>
    <row r="32" spans="1:18" x14ac:dyDescent="0.3">
      <c r="A32">
        <v>2041</v>
      </c>
      <c r="B32">
        <f t="shared" si="3"/>
        <v>1.3499999999999988</v>
      </c>
      <c r="E32">
        <f t="shared" si="0"/>
        <v>1387.7353290468245</v>
      </c>
      <c r="F32">
        <f t="shared" si="9"/>
        <v>1974.9318306352834</v>
      </c>
      <c r="G32">
        <f t="shared" si="9"/>
        <v>1095.7473227299693</v>
      </c>
      <c r="H32">
        <f t="shared" si="9"/>
        <v>741.92055535339819</v>
      </c>
      <c r="I32">
        <f t="shared" si="9"/>
        <v>860.97967478827047</v>
      </c>
      <c r="J32">
        <f t="shared" si="9"/>
        <v>658.85292811147269</v>
      </c>
      <c r="L32">
        <f t="shared" si="6"/>
        <v>967.95572614609739</v>
      </c>
      <c r="M32">
        <f t="shared" si="7"/>
        <v>1250.8629293347249</v>
      </c>
      <c r="N32">
        <f t="shared" si="8"/>
        <v>811.76596622794648</v>
      </c>
      <c r="P32">
        <f>L32/Temperature!$G36</f>
        <v>1025.7571410439216</v>
      </c>
      <c r="Q32">
        <f>M32/Temperature!$G36</f>
        <v>1325.5581299578487</v>
      </c>
      <c r="R32">
        <f>N32/Temperature!$G36</f>
        <v>860.24051950187652</v>
      </c>
    </row>
    <row r="33" spans="1:18" x14ac:dyDescent="0.3">
      <c r="A33">
        <v>2042</v>
      </c>
      <c r="B33">
        <f t="shared" si="3"/>
        <v>1.3666666666666654</v>
      </c>
      <c r="E33">
        <f t="shared" si="0"/>
        <v>1382.5209808530651</v>
      </c>
      <c r="F33">
        <f t="shared" si="9"/>
        <v>1967.0815524533045</v>
      </c>
      <c r="G33">
        <f t="shared" si="9"/>
        <v>1091.8437111294436</v>
      </c>
      <c r="H33">
        <f t="shared" si="9"/>
        <v>739.7699378103498</v>
      </c>
      <c r="I33">
        <f t="shared" si="9"/>
        <v>858.36063758394243</v>
      </c>
      <c r="J33">
        <f t="shared" si="9"/>
        <v>657.02859578791299</v>
      </c>
      <c r="L33">
        <f t="shared" si="6"/>
        <v>964.73280287530019</v>
      </c>
      <c r="M33">
        <f t="shared" si="7"/>
        <v>1246.412957788219</v>
      </c>
      <c r="N33">
        <f t="shared" si="8"/>
        <v>809.21388615744877</v>
      </c>
      <c r="P33">
        <f>L33/Temperature!$G37</f>
        <v>1025.2571499613512</v>
      </c>
      <c r="Q33">
        <f>M33/Temperature!$G37</f>
        <v>1324.6090450829481</v>
      </c>
      <c r="R33">
        <f>N33/Temperature!$G37</f>
        <v>859.98145824235519</v>
      </c>
    </row>
    <row r="34" spans="1:18" x14ac:dyDescent="0.3">
      <c r="A34">
        <v>2043</v>
      </c>
      <c r="B34">
        <f t="shared" si="3"/>
        <v>1.383333333333332</v>
      </c>
      <c r="E34">
        <f t="shared" si="0"/>
        <v>1377.4322796037334</v>
      </c>
      <c r="F34">
        <f t="shared" si="9"/>
        <v>1959.4204376010118</v>
      </c>
      <c r="G34">
        <f t="shared" si="9"/>
        <v>1088.0341624590512</v>
      </c>
      <c r="H34">
        <f t="shared" si="9"/>
        <v>737.67114237677254</v>
      </c>
      <c r="I34">
        <f t="shared" si="9"/>
        <v>855.80470970983902</v>
      </c>
      <c r="J34">
        <f t="shared" si="9"/>
        <v>655.24822327937898</v>
      </c>
      <c r="L34">
        <f t="shared" si="6"/>
        <v>961.58754040620875</v>
      </c>
      <c r="M34">
        <f t="shared" si="7"/>
        <v>1242.0702144717495</v>
      </c>
      <c r="N34">
        <f t="shared" si="8"/>
        <v>806.72330199226428</v>
      </c>
      <c r="P34">
        <f>L34/Temperature!$G38</f>
        <v>1024.8370681274753</v>
      </c>
      <c r="Q34">
        <f>M34/Temperature!$G38</f>
        <v>1323.7688130505162</v>
      </c>
      <c r="R34">
        <f>N34/Temperature!$G38</f>
        <v>859.7864561084217</v>
      </c>
    </row>
    <row r="35" spans="1:18" x14ac:dyDescent="0.3">
      <c r="A35">
        <v>2044</v>
      </c>
      <c r="B35">
        <f t="shared" si="3"/>
        <v>1.3999999999999986</v>
      </c>
      <c r="E35">
        <f t="shared" si="0"/>
        <v>1372.4647379079574</v>
      </c>
      <c r="F35">
        <f t="shared" si="9"/>
        <v>1951.9417302452023</v>
      </c>
      <c r="G35">
        <f t="shared" si="9"/>
        <v>1084.3153173284302</v>
      </c>
      <c r="H35">
        <f t="shared" si="9"/>
        <v>735.6223182630423</v>
      </c>
      <c r="I35">
        <f t="shared" si="9"/>
        <v>853.3096372613096</v>
      </c>
      <c r="J35">
        <f t="shared" si="9"/>
        <v>653.51024059247663</v>
      </c>
      <c r="L35">
        <f t="shared" si="6"/>
        <v>958.51716513876261</v>
      </c>
      <c r="M35">
        <f t="shared" si="7"/>
        <v>1237.8308698056721</v>
      </c>
      <c r="N35">
        <f t="shared" si="8"/>
        <v>804.29201745006037</v>
      </c>
      <c r="P35">
        <f>L35/Temperature!$G39</f>
        <v>1024.4946185749911</v>
      </c>
      <c r="Q35">
        <f>M35/Temperature!$G39</f>
        <v>1323.0342772612987</v>
      </c>
      <c r="R35">
        <f>N35/Temperature!$G39</f>
        <v>859.65371681280419</v>
      </c>
    </row>
    <row r="36" spans="1:18" x14ac:dyDescent="0.3">
      <c r="A36">
        <v>2045</v>
      </c>
      <c r="B36">
        <f t="shared" si="3"/>
        <v>1.4166666666666652</v>
      </c>
      <c r="E36">
        <f t="shared" si="0"/>
        <v>1367.6140795461995</v>
      </c>
      <c r="F36">
        <f t="shared" si="9"/>
        <v>1944.6389924742352</v>
      </c>
      <c r="G36">
        <f t="shared" si="9"/>
        <v>1080.6839744361764</v>
      </c>
      <c r="H36">
        <f t="shared" si="9"/>
        <v>733.62170177551741</v>
      </c>
      <c r="I36">
        <f t="shared" si="9"/>
        <v>850.87327239980448</v>
      </c>
      <c r="J36">
        <f t="shared" si="9"/>
        <v>651.81315161585439</v>
      </c>
      <c r="L36">
        <f t="shared" si="6"/>
        <v>955.51903399525611</v>
      </c>
      <c r="M36">
        <f t="shared" si="7"/>
        <v>1233.6912744258552</v>
      </c>
      <c r="N36">
        <f t="shared" si="8"/>
        <v>801.91793960296718</v>
      </c>
      <c r="P36">
        <f>L36/Temperature!$G40</f>
        <v>1024.2276380476162</v>
      </c>
      <c r="Q36">
        <f>M36/Temperature!$G40</f>
        <v>1322.4024379732246</v>
      </c>
      <c r="R36">
        <f>N36/Temperature!$G40</f>
        <v>859.58153418808377</v>
      </c>
    </row>
    <row r="37" spans="1:18" x14ac:dyDescent="0.3">
      <c r="A37">
        <v>2046</v>
      </c>
      <c r="B37">
        <f t="shared" si="3"/>
        <v>1.4333333333333318</v>
      </c>
      <c r="E37">
        <f t="shared" si="0"/>
        <v>1362.8762271928547</v>
      </c>
      <c r="F37">
        <f t="shared" si="9"/>
        <v>1937.5060858142213</v>
      </c>
      <c r="G37">
        <f t="shared" si="9"/>
        <v>1077.1370813786266</v>
      </c>
      <c r="H37">
        <f t="shared" si="9"/>
        <v>731.6676112528188</v>
      </c>
      <c r="I37">
        <f t="shared" si="9"/>
        <v>848.49356718624119</v>
      </c>
      <c r="J37">
        <f t="shared" si="9"/>
        <v>650.15552982473491</v>
      </c>
      <c r="L37">
        <f t="shared" si="6"/>
        <v>952.59062683183129</v>
      </c>
      <c r="M37">
        <f t="shared" si="7"/>
        <v>1229.6479487060342</v>
      </c>
      <c r="N37">
        <f t="shared" si="8"/>
        <v>799.59907286859698</v>
      </c>
      <c r="P37">
        <f>L37/Temperature!$G41</f>
        <v>1024.0340704824923</v>
      </c>
      <c r="Q37">
        <f>M37/Temperature!$G41</f>
        <v>1321.8704433002829</v>
      </c>
      <c r="R37">
        <f>N37/Temperature!$G41</f>
        <v>859.56828702683515</v>
      </c>
    </row>
    <row r="38" spans="1:18" x14ac:dyDescent="0.3">
      <c r="A38">
        <v>2047</v>
      </c>
      <c r="B38">
        <f t="shared" si="3"/>
        <v>1.4499999999999984</v>
      </c>
      <c r="E38">
        <f t="shared" si="0"/>
        <v>1358.2472909855637</v>
      </c>
      <c r="F38">
        <f t="shared" si="9"/>
        <v>1930.5371540199544</v>
      </c>
      <c r="G38">
        <f t="shared" si="9"/>
        <v>1073.6717260925145</v>
      </c>
      <c r="H38">
        <f t="shared" si="9"/>
        <v>729.7584423513315</v>
      </c>
      <c r="I38">
        <f t="shared" si="9"/>
        <v>846.16856783965648</v>
      </c>
      <c r="J38">
        <f t="shared" si="9"/>
        <v>648.53601428168724</v>
      </c>
      <c r="L38">
        <f t="shared" si="6"/>
        <v>949.72953937331272</v>
      </c>
      <c r="M38">
        <f t="shared" si="7"/>
        <v>1225.6975730027607</v>
      </c>
      <c r="N38">
        <f t="shared" si="8"/>
        <v>797.33351341547677</v>
      </c>
      <c r="P38">
        <f>L38/Temperature!$G42</f>
        <v>1023.9119609436814</v>
      </c>
      <c r="Q38">
        <f>M38/Temperature!$G42</f>
        <v>1321.435580834197</v>
      </c>
      <c r="R38">
        <f>N38/Temperature!$G42</f>
        <v>859.61243427898864</v>
      </c>
    </row>
    <row r="39" spans="1:18" x14ac:dyDescent="0.3">
      <c r="A39">
        <v>2048</v>
      </c>
      <c r="B39">
        <f t="shared" si="3"/>
        <v>1.466666666666665</v>
      </c>
      <c r="E39">
        <f t="shared" si="0"/>
        <v>1353.723557873893</v>
      </c>
      <c r="F39">
        <f t="shared" si="9"/>
        <v>1923.7266070391938</v>
      </c>
      <c r="G39">
        <f t="shared" si="9"/>
        <v>1070.2851288810866</v>
      </c>
      <c r="H39">
        <f t="shared" si="9"/>
        <v>727.89266365215087</v>
      </c>
      <c r="I39">
        <f t="shared" si="9"/>
        <v>843.89640938731225</v>
      </c>
      <c r="J39">
        <f t="shared" si="9"/>
        <v>646.95330591007246</v>
      </c>
      <c r="L39">
        <f t="shared" si="6"/>
        <v>946.93347662976066</v>
      </c>
      <c r="M39">
        <f t="shared" si="7"/>
        <v>1221.8369785654709</v>
      </c>
      <c r="N39">
        <f t="shared" si="8"/>
        <v>795.11944394992747</v>
      </c>
      <c r="P39">
        <f>L39/Temperature!$G43</f>
        <v>1023.8594499709072</v>
      </c>
      <c r="Q39">
        <f>M39/Temperature!$G43</f>
        <v>1321.0952698394035</v>
      </c>
      <c r="R39">
        <f>N39/Temperature!$G43</f>
        <v>859.71251057802203</v>
      </c>
    </row>
    <row r="40" spans="1:18" x14ac:dyDescent="0.3">
      <c r="A40">
        <v>2049</v>
      </c>
      <c r="B40">
        <f t="shared" si="3"/>
        <v>1.4833333333333316</v>
      </c>
      <c r="E40">
        <f t="shared" si="0"/>
        <v>1349.30148168608</v>
      </c>
      <c r="F40">
        <f t="shared" si="9"/>
        <v>1917.0691060580007</v>
      </c>
      <c r="G40">
        <f t="shared" si="9"/>
        <v>1066.9746349777811</v>
      </c>
      <c r="H40">
        <f t="shared" si="9"/>
        <v>726.06881256418774</v>
      </c>
      <c r="I40">
        <f t="shared" si="9"/>
        <v>841.6753106754702</v>
      </c>
      <c r="J40">
        <f t="shared" si="9"/>
        <v>645.40616401871864</v>
      </c>
      <c r="L40">
        <f t="shared" si="6"/>
        <v>944.20024675684999</v>
      </c>
      <c r="M40">
        <f t="shared" si="7"/>
        <v>1218.0631390593558</v>
      </c>
      <c r="N40">
        <f t="shared" si="8"/>
        <v>792.95512885439052</v>
      </c>
      <c r="P40">
        <f>L40/Temperature!$G44</f>
        <v>1023.8747683109096</v>
      </c>
      <c r="Q40">
        <f>M40/Temperature!$G44</f>
        <v>1320.847053976275</v>
      </c>
      <c r="R40">
        <f>N40/Temperature!$G44</f>
        <v>859.86712207014841</v>
      </c>
    </row>
    <row r="41" spans="1:18" x14ac:dyDescent="0.3">
      <c r="A41">
        <v>2050</v>
      </c>
      <c r="B41">
        <v>1.5</v>
      </c>
      <c r="E41">
        <f t="shared" si="0"/>
        <v>1344.9776738579958</v>
      </c>
      <c r="F41">
        <f t="shared" si="9"/>
        <v>1910.5595495430557</v>
      </c>
      <c r="G41">
        <f t="shared" si="9"/>
        <v>1063.7377076056596</v>
      </c>
      <c r="H41">
        <f t="shared" si="9"/>
        <v>724.28549150040135</v>
      </c>
      <c r="I41">
        <f t="shared" si="9"/>
        <v>839.50356971277995</v>
      </c>
      <c r="J41">
        <f t="shared" si="9"/>
        <v>643.89340305828364</v>
      </c>
      <c r="L41">
        <f t="shared" si="6"/>
        <v>941.52775532555938</v>
      </c>
      <c r="M41">
        <f t="shared" si="7"/>
        <v>1214.3731626533763</v>
      </c>
      <c r="N41">
        <f t="shared" si="8"/>
        <v>790.83890964986517</v>
      </c>
      <c r="P41">
        <f>L41/Temperature!$G45</f>
        <v>1023.9562320016959</v>
      </c>
      <c r="Q41">
        <f>M41/Temperature!$G45</f>
        <v>1320.6885945115566</v>
      </c>
      <c r="R41">
        <f>N41/Temperature!$G45</f>
        <v>860.07494252296374</v>
      </c>
    </row>
  </sheetData>
  <mergeCells count="7">
    <mergeCell ref="E1:G1"/>
    <mergeCell ref="H1:J1"/>
    <mergeCell ref="N1:P1"/>
    <mergeCell ref="E9:G9"/>
    <mergeCell ref="H9:J9"/>
    <mergeCell ref="L9:N9"/>
    <mergeCell ref="P9:R9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7592-A9C7-43F2-AB60-A73D193BFD7A}">
  <dimension ref="A1:AS129"/>
  <sheetViews>
    <sheetView tabSelected="1" topLeftCell="L1" zoomScale="85" zoomScaleNormal="85" workbookViewId="0">
      <selection activeCell="AA11" sqref="AA11"/>
    </sheetView>
  </sheetViews>
  <sheetFormatPr defaultColWidth="8.83203125" defaultRowHeight="14" x14ac:dyDescent="0.3"/>
  <cols>
    <col min="1" max="1" width="8.33203125" customWidth="1"/>
    <col min="9" max="9" width="16.1640625" bestFit="1" customWidth="1"/>
    <col min="28" max="28" width="24.1640625" bestFit="1" customWidth="1"/>
    <col min="29" max="29" width="11.6640625" bestFit="1" customWidth="1"/>
  </cols>
  <sheetData>
    <row r="1" spans="1:40" ht="14.5" x14ac:dyDescent="0.3">
      <c r="A1" s="8" t="s">
        <v>131</v>
      </c>
      <c r="B1" s="7"/>
      <c r="C1" s="7"/>
      <c r="D1" s="7"/>
      <c r="E1" s="7"/>
      <c r="F1" s="7"/>
      <c r="G1" s="7"/>
      <c r="H1" s="7"/>
      <c r="J1" s="52" t="s">
        <v>101</v>
      </c>
      <c r="K1" s="52"/>
      <c r="L1" s="52"/>
    </row>
    <row r="2" spans="1:40" ht="14.5" x14ac:dyDescent="0.3">
      <c r="A2" s="7"/>
      <c r="B2" s="8" t="s">
        <v>93</v>
      </c>
      <c r="C2" s="8" t="s">
        <v>94</v>
      </c>
      <c r="D2" s="8" t="s">
        <v>134</v>
      </c>
      <c r="E2" s="7"/>
      <c r="F2" s="7"/>
      <c r="G2" s="7"/>
      <c r="H2" s="7"/>
      <c r="J2" s="3" t="s">
        <v>102</v>
      </c>
      <c r="K2" s="3" t="s">
        <v>17</v>
      </c>
      <c r="L2" s="3" t="s">
        <v>18</v>
      </c>
    </row>
    <row r="3" spans="1:40" x14ac:dyDescent="0.3">
      <c r="A3" s="7" t="s">
        <v>30</v>
      </c>
      <c r="B3" s="7">
        <v>2.53E-2</v>
      </c>
      <c r="C3" s="7">
        <v>1.2999999999999999E-2</v>
      </c>
      <c r="D3" s="7">
        <v>1.3049087166807499E-2</v>
      </c>
      <c r="E3" s="7">
        <f t="shared" ref="E3:E8" si="0">D3/$D$9</f>
        <v>0.56511661357754239</v>
      </c>
      <c r="F3" s="6">
        <f>E3/SUM($E$3:$E$7)</f>
        <v>0.56551799378548517</v>
      </c>
      <c r="G3" s="7"/>
      <c r="H3" s="7"/>
      <c r="J3" s="3">
        <v>2020</v>
      </c>
      <c r="K3" s="1">
        <v>0.95</v>
      </c>
      <c r="L3" s="1">
        <v>0.05</v>
      </c>
    </row>
    <row r="4" spans="1:40" x14ac:dyDescent="0.3">
      <c r="A4" s="7" t="s">
        <v>35</v>
      </c>
      <c r="B4" s="7">
        <v>1.4400000000000001E-3</v>
      </c>
      <c r="C4" s="7">
        <v>4.8999999999999998E-3</v>
      </c>
      <c r="D4" s="7">
        <v>4.8985817518885097E-3</v>
      </c>
      <c r="E4" s="7">
        <f t="shared" si="0"/>
        <v>0.21214280321473594</v>
      </c>
      <c r="F4" s="6">
        <f t="shared" ref="F4:F7" si="1">E4/SUM($E$3:$E$7)</f>
        <v>0.21229347994308204</v>
      </c>
      <c r="G4" s="7"/>
      <c r="H4" s="7"/>
      <c r="J4" s="3">
        <v>2021</v>
      </c>
      <c r="K4" s="1">
        <v>0.95</v>
      </c>
      <c r="L4" s="1">
        <v>0.05</v>
      </c>
    </row>
    <row r="5" spans="1:40" x14ac:dyDescent="0.3">
      <c r="A5" s="7" t="s">
        <v>24</v>
      </c>
      <c r="B5" s="7">
        <v>1.09E-2</v>
      </c>
      <c r="C5" s="7">
        <v>4.5227308317221998E-3</v>
      </c>
      <c r="D5" s="7">
        <v>4.5227308317221998E-3</v>
      </c>
      <c r="E5" s="7">
        <f t="shared" si="0"/>
        <v>0.19586583330111151</v>
      </c>
      <c r="F5" s="6">
        <f t="shared" si="1"/>
        <v>0.19600494913492428</v>
      </c>
      <c r="G5" s="7"/>
      <c r="H5" s="7"/>
      <c r="J5" s="3">
        <v>2022</v>
      </c>
      <c r="K5" s="1">
        <v>0.92500000000000004</v>
      </c>
      <c r="L5" s="1">
        <v>7.4999999999999997E-2</v>
      </c>
    </row>
    <row r="6" spans="1:40" x14ac:dyDescent="0.3">
      <c r="A6" s="7" t="s">
        <v>45</v>
      </c>
      <c r="B6" s="7">
        <v>1.75E-4</v>
      </c>
      <c r="C6" s="7">
        <v>6.02E-4</v>
      </c>
      <c r="D6" s="7">
        <v>6.0240654924349204E-4</v>
      </c>
      <c r="E6" s="7">
        <f t="shared" si="0"/>
        <v>2.6088410994092738E-2</v>
      </c>
      <c r="F6" s="6">
        <f t="shared" si="1"/>
        <v>2.6106940571135988E-2</v>
      </c>
      <c r="G6" s="7"/>
      <c r="H6" s="7"/>
      <c r="J6" s="3">
        <v>2023</v>
      </c>
      <c r="K6" s="1">
        <v>0.7</v>
      </c>
      <c r="L6" s="1">
        <v>0.3</v>
      </c>
    </row>
    <row r="7" spans="1:40" x14ac:dyDescent="0.3">
      <c r="A7" s="7" t="s">
        <v>27</v>
      </c>
      <c r="B7" s="7" t="s">
        <v>128</v>
      </c>
      <c r="C7" s="7">
        <v>1.77E-6</v>
      </c>
      <c r="D7" s="7">
        <v>1.7683561490521299E-6</v>
      </c>
      <c r="E7" s="7">
        <f t="shared" si="0"/>
        <v>7.6582172053637376E-5</v>
      </c>
      <c r="F7" s="6">
        <f t="shared" si="1"/>
        <v>7.6636565372476472E-5</v>
      </c>
      <c r="G7" s="7"/>
      <c r="H7" s="7"/>
      <c r="J7" s="3">
        <v>2024</v>
      </c>
      <c r="K7" s="1">
        <v>0.35</v>
      </c>
      <c r="L7" s="1">
        <v>0.65</v>
      </c>
      <c r="AK7">
        <f>(AK17-AK11)/($AJ$17-$AJ$11)*5</f>
        <v>-5.7510605011275773E-4</v>
      </c>
      <c r="AL7">
        <f t="shared" ref="AL7:AN7" si="2">(AL17-AL11)/($AJ$17-$AJ$11)*5</f>
        <v>-6.6872600223838832E-4</v>
      </c>
      <c r="AM7">
        <f t="shared" si="2"/>
        <v>-5.1853185466494529E-4</v>
      </c>
      <c r="AN7">
        <f t="shared" si="2"/>
        <v>1.7623639070160901E-3</v>
      </c>
    </row>
    <row r="8" spans="1:40" x14ac:dyDescent="0.3">
      <c r="A8" s="7" t="s">
        <v>129</v>
      </c>
      <c r="B8" s="7" t="s">
        <v>128</v>
      </c>
      <c r="C8" s="7">
        <v>1.6399999999999999E-5</v>
      </c>
      <c r="D8" s="7">
        <v>1.6388967075115801E-5</v>
      </c>
      <c r="E8" s="7">
        <f t="shared" si="0"/>
        <v>7.0975674046241965E-4</v>
      </c>
      <c r="F8" s="7"/>
      <c r="G8" s="7"/>
      <c r="H8" s="7"/>
    </row>
    <row r="9" spans="1:40" x14ac:dyDescent="0.3">
      <c r="A9" s="7" t="s">
        <v>130</v>
      </c>
      <c r="B9" s="7">
        <v>2.5000000000000001E-2</v>
      </c>
      <c r="C9" s="7">
        <v>2.30429008317222E-2</v>
      </c>
      <c r="D9" s="7">
        <v>2.3090963622885902E-2</v>
      </c>
      <c r="E9" s="7"/>
      <c r="F9" s="7"/>
      <c r="G9" s="7"/>
      <c r="H9" s="7"/>
      <c r="AJ9" t="s">
        <v>156</v>
      </c>
    </row>
    <row r="10" spans="1:40" ht="14.5" x14ac:dyDescent="0.3">
      <c r="A10" s="7"/>
      <c r="B10" s="7"/>
      <c r="C10" s="7"/>
      <c r="D10" s="7"/>
      <c r="E10" s="7"/>
      <c r="F10" s="7"/>
      <c r="G10" s="7"/>
      <c r="H10" s="7"/>
      <c r="AK10" s="7" t="s">
        <v>24</v>
      </c>
      <c r="AL10" s="7" t="s">
        <v>27</v>
      </c>
      <c r="AM10" s="5" t="s">
        <v>132</v>
      </c>
      <c r="AN10" s="7" t="s">
        <v>45</v>
      </c>
    </row>
    <row r="11" spans="1:40" x14ac:dyDescent="0.3">
      <c r="A11" s="7"/>
      <c r="B11" s="7"/>
      <c r="C11" s="7"/>
      <c r="D11" s="7"/>
      <c r="E11" s="7"/>
      <c r="F11" s="7"/>
      <c r="G11" s="7"/>
      <c r="H11" s="7"/>
      <c r="AJ11">
        <v>20</v>
      </c>
      <c r="AK11">
        <f>W15</f>
        <v>0.65725192652317688</v>
      </c>
      <c r="AL11">
        <f>W16</f>
        <v>1.5144737485604583E-2</v>
      </c>
      <c r="AM11">
        <f>W17</f>
        <v>1.3431720766001264E-2</v>
      </c>
      <c r="AN11">
        <f>W19</f>
        <v>0.31417161522521736</v>
      </c>
    </row>
    <row r="12" spans="1:40" ht="14.5" x14ac:dyDescent="0.3">
      <c r="A12" s="8" t="s">
        <v>135</v>
      </c>
      <c r="I12" s="8">
        <v>2050</v>
      </c>
      <c r="AJ12">
        <v>25</v>
      </c>
      <c r="AK12">
        <f>AK11+AK$7</f>
        <v>0.65667682047306408</v>
      </c>
      <c r="AL12">
        <f t="shared" ref="AL12:AN16" si="3">AL11+AL$7</f>
        <v>1.4476011483366195E-2</v>
      </c>
      <c r="AM12">
        <f t="shared" si="3"/>
        <v>1.2913188911336318E-2</v>
      </c>
      <c r="AN12">
        <f t="shared" si="3"/>
        <v>0.31593397913223342</v>
      </c>
    </row>
    <row r="13" spans="1:40" ht="14.5" x14ac:dyDescent="0.3">
      <c r="A13" s="7"/>
      <c r="B13" s="57" t="s">
        <v>93</v>
      </c>
      <c r="C13" s="57"/>
      <c r="D13" s="57"/>
      <c r="E13" s="57" t="s">
        <v>94</v>
      </c>
      <c r="F13" s="57"/>
      <c r="G13" s="57"/>
      <c r="I13" s="7"/>
      <c r="J13" s="57" t="s">
        <v>93</v>
      </c>
      <c r="K13" s="57"/>
      <c r="L13" s="57"/>
      <c r="M13" s="57" t="s">
        <v>94</v>
      </c>
      <c r="N13" s="57"/>
      <c r="O13" s="57"/>
      <c r="R13" s="8" t="s">
        <v>135</v>
      </c>
      <c r="Y13" s="8">
        <v>2050</v>
      </c>
      <c r="AJ13">
        <v>30</v>
      </c>
      <c r="AK13">
        <f t="shared" ref="AK13:AK16" si="4">AK12+AK$7</f>
        <v>0.65610171442295129</v>
      </c>
      <c r="AL13">
        <f t="shared" si="3"/>
        <v>1.3807285481127807E-2</v>
      </c>
      <c r="AM13">
        <f t="shared" si="3"/>
        <v>1.2394657056671372E-2</v>
      </c>
      <c r="AN13">
        <f t="shared" si="3"/>
        <v>0.31769634303924954</v>
      </c>
    </row>
    <row r="14" spans="1:40" x14ac:dyDescent="0.3">
      <c r="A14" s="7"/>
      <c r="B14" t="s">
        <v>1</v>
      </c>
      <c r="C14" t="s">
        <v>2</v>
      </c>
      <c r="D14" t="s">
        <v>3</v>
      </c>
      <c r="E14" t="s">
        <v>1</v>
      </c>
      <c r="F14" t="s">
        <v>2</v>
      </c>
      <c r="G14" t="s">
        <v>3</v>
      </c>
      <c r="I14" s="7"/>
      <c r="J14" t="s">
        <v>1</v>
      </c>
      <c r="K14" t="s">
        <v>2</v>
      </c>
      <c r="L14" t="s">
        <v>3</v>
      </c>
      <c r="M14" t="s">
        <v>1</v>
      </c>
      <c r="N14" t="s">
        <v>2</v>
      </c>
      <c r="O14" t="s">
        <v>3</v>
      </c>
      <c r="S14" t="s">
        <v>1</v>
      </c>
      <c r="T14" t="s">
        <v>253</v>
      </c>
      <c r="U14" t="s">
        <v>1</v>
      </c>
      <c r="V14" t="s">
        <v>253</v>
      </c>
      <c r="W14" t="s">
        <v>155</v>
      </c>
      <c r="Z14" t="s">
        <v>1</v>
      </c>
      <c r="AA14" t="s">
        <v>253</v>
      </c>
      <c r="AJ14">
        <v>35</v>
      </c>
      <c r="AK14">
        <f t="shared" si="4"/>
        <v>0.65552660837283849</v>
      </c>
      <c r="AL14">
        <f t="shared" si="3"/>
        <v>1.3138559478889419E-2</v>
      </c>
      <c r="AM14">
        <f t="shared" si="3"/>
        <v>1.1876125202006427E-2</v>
      </c>
      <c r="AN14">
        <f t="shared" si="3"/>
        <v>0.31945870694626566</v>
      </c>
    </row>
    <row r="15" spans="1:40" x14ac:dyDescent="0.3">
      <c r="A15" s="7" t="s">
        <v>24</v>
      </c>
      <c r="B15" s="7">
        <f>'Case (Ave)'!E2+'Case (Ave)'!D19*D9*F5</f>
        <v>289.32455744755845</v>
      </c>
      <c r="C15" s="7">
        <f>'Case (Ave)'!K2+'Case (Ave)'!J19*D9*F5</f>
        <v>368.42138328961562</v>
      </c>
      <c r="D15" s="7">
        <f>'Case (Ave)'!Q2+'Case (Ave)'!P19*D9*F5</f>
        <v>249.99304845331676</v>
      </c>
      <c r="E15" s="7">
        <f>'Case (Ave)'!E40+'Case (Ave)'!D58*D9*F5</f>
        <v>210.15748319602767</v>
      </c>
      <c r="F15" s="7">
        <f>'Case (Ave)'!K40+'Case (Ave)'!J58*D9*F5</f>
        <v>226.99414475322897</v>
      </c>
      <c r="G15" s="7">
        <f>'Case (Ave)'!Q40+'Case (Ave)'!P58*D9*F5</f>
        <v>198.42963685276939</v>
      </c>
      <c r="I15" s="7" t="s">
        <v>24</v>
      </c>
      <c r="J15" s="7">
        <f>'Case (Mode2050)'!E2+'Case (Mode2050)'!D19*D9*F5</f>
        <v>277.90377743541717</v>
      </c>
      <c r="K15" s="7" t="e">
        <f>'Case (Mode2050)'!#REF!+'Case (Mode2050)'!#REF!*D9*F5</f>
        <v>#REF!</v>
      </c>
      <c r="L15" s="7" t="e">
        <f>'Case (Mode2050)'!#REF!+'Case (Mode2050)'!#REF!*D9*F5</f>
        <v>#REF!</v>
      </c>
      <c r="M15" s="7">
        <f>'Case (Mode2050)'!E40+'Case (Mode2050)'!D58*D9*F5</f>
        <v>204.51520359439468</v>
      </c>
      <c r="N15" s="7" t="e">
        <f>'Case (Mode2050)'!#REF!+'Case (Mode2050)'!#REF!*D9*F5</f>
        <v>#REF!</v>
      </c>
      <c r="O15" s="7" t="e">
        <f>'Case (Mode2050)'!#REF!+'Case (Mode2050)'!#REF!*D9*F5</f>
        <v>#REF!</v>
      </c>
      <c r="R15" s="7" t="s">
        <v>24</v>
      </c>
      <c r="S15">
        <f>B15*$K$3+$L$3*E15</f>
        <v>285.36620373498187</v>
      </c>
      <c r="T15">
        <f>S15/$S$21</f>
        <v>0.6504757542515196</v>
      </c>
      <c r="U15">
        <f>$K$7*B15+$L$7*E15</f>
        <v>237.86595918406346</v>
      </c>
      <c r="V15">
        <f>U15/$U$21</f>
        <v>0.66402809879483404</v>
      </c>
      <c r="W15" s="4">
        <f>AVERAGE(T15,V15)</f>
        <v>0.65725192652317688</v>
      </c>
      <c r="Y15" s="7" t="s">
        <v>24</v>
      </c>
      <c r="Z15">
        <f>$K$7*J15+M15*$L$7</f>
        <v>230.20120443875254</v>
      </c>
      <c r="AA15">
        <f>Z15/$Z$21</f>
        <v>0.65380129022250033</v>
      </c>
      <c r="AJ15">
        <v>40</v>
      </c>
      <c r="AK15">
        <f t="shared" si="4"/>
        <v>0.6549515023227257</v>
      </c>
      <c r="AL15">
        <f t="shared" si="3"/>
        <v>1.2469833476651031E-2</v>
      </c>
      <c r="AM15">
        <f t="shared" si="3"/>
        <v>1.1357593347341481E-2</v>
      </c>
      <c r="AN15">
        <f t="shared" si="3"/>
        <v>0.32122107085328178</v>
      </c>
    </row>
    <row r="16" spans="1:40" x14ac:dyDescent="0.3">
      <c r="A16" s="7" t="s">
        <v>27</v>
      </c>
      <c r="B16" s="7">
        <f>'Case (Ave)'!E3+'Case (Ave)'!D19*D9*F7</f>
        <v>7.4529834827831047</v>
      </c>
      <c r="C16" s="7">
        <f>'Case (Ave)'!K3+'Case (Ave)'!J19*D9*F7</f>
        <v>11.22057665722498</v>
      </c>
      <c r="D16" s="7">
        <f>'Case (Ave)'!Q3+'Case (Ave)'!P19*D9*F7</f>
        <v>5.579518609197625</v>
      </c>
      <c r="E16" s="7">
        <f>'Case (Ave)'!E41+'Case (Ave)'!D58*D9*F7</f>
        <v>3.5614086267786966</v>
      </c>
      <c r="F16" s="7">
        <f>'Case (Ave)'!K41+'Case (Ave)'!J58*D9*F7</f>
        <v>4.3371085312208919</v>
      </c>
      <c r="G16" s="7">
        <f>'Case (Ave)'!Q41+'Case (Ave)'!P58*D9*F7</f>
        <v>3.0210824310616458</v>
      </c>
      <c r="I16" s="7" t="s">
        <v>27</v>
      </c>
      <c r="J16" s="7">
        <f>'Case (Mode2050)'!E3+'Case (Mode2050)'!D19*D9*F7</f>
        <v>5.5445681018147885</v>
      </c>
      <c r="K16" s="7" t="e">
        <f>'Case (Mode2050)'!#REF!+'Case (Mode2050)'!#REF!*D9*F7</f>
        <v>#REF!</v>
      </c>
      <c r="L16" s="7" t="e">
        <f>'Case (Mode2050)'!#REF!+'Case (Mode2050)'!#REF!*D9*F7</f>
        <v>#REF!</v>
      </c>
      <c r="M16" s="7">
        <f>'Case (Mode2050)'!E41+'Case (Mode2050)'!D58*D9*F7</f>
        <v>3.0447303272628243</v>
      </c>
      <c r="N16" s="7" t="e">
        <f>'Case (Mode2050)'!#REF!+'Case (Mode2050)'!#REF!*D9*F7</f>
        <v>#REF!</v>
      </c>
      <c r="O16" s="7" t="e">
        <f>'Case (Mode2050)'!#REF!+'Case (Mode2050)'!#REF!*D9*F7</f>
        <v>#REF!</v>
      </c>
      <c r="R16" s="7" t="s">
        <v>27</v>
      </c>
      <c r="S16">
        <f t="shared" ref="S16:S21" si="5">B16*$K$3+$L$3*E16</f>
        <v>7.2584047399828844</v>
      </c>
      <c r="T16">
        <f t="shared" ref="T16:T19" si="6">S16/$S$21</f>
        <v>1.6545113738443699E-2</v>
      </c>
      <c r="U16">
        <f>$K$7*B16+$L$7*E16</f>
        <v>4.92345982638024</v>
      </c>
      <c r="V16">
        <f>U16/$U$21</f>
        <v>1.3744361232765467E-2</v>
      </c>
      <c r="W16" s="4">
        <f t="shared" ref="W16:W19" si="7">AVERAGE(T16,V16)</f>
        <v>1.5144737485604583E-2</v>
      </c>
      <c r="Y16" s="7" t="s">
        <v>27</v>
      </c>
      <c r="Z16">
        <f>$K$7*J16+M16*$L$7</f>
        <v>3.9196735483560117</v>
      </c>
      <c r="AA16">
        <f>Z16/$Z$21</f>
        <v>1.1132381472174253E-2</v>
      </c>
      <c r="AJ16">
        <v>45</v>
      </c>
      <c r="AK16">
        <f t="shared" si="4"/>
        <v>0.6543763962726129</v>
      </c>
      <c r="AL16">
        <f t="shared" si="3"/>
        <v>1.1801107474412643E-2</v>
      </c>
      <c r="AM16">
        <f t="shared" si="3"/>
        <v>1.0839061492676536E-2</v>
      </c>
      <c r="AN16">
        <f t="shared" si="3"/>
        <v>0.32298343476029789</v>
      </c>
    </row>
    <row r="17" spans="1:40" ht="14.5" x14ac:dyDescent="0.3">
      <c r="A17" s="5" t="s">
        <v>132</v>
      </c>
      <c r="B17" s="7">
        <f>'Case (Ave)'!E4</f>
        <v>7.3350406200117497</v>
      </c>
      <c r="C17" s="7">
        <f>'Case (Ave)'!K4</f>
        <v>11.043011936203399</v>
      </c>
      <c r="D17" s="7">
        <f>'Case (Ave)'!Q4</f>
        <v>5.4912231770159901</v>
      </c>
      <c r="E17" s="7">
        <f>'Case (Ave)'!E42</f>
        <v>1.9770847635982756</v>
      </c>
      <c r="F17" s="7">
        <f>'Case (Ave)'!K42</f>
        <v>2.4077077622246499</v>
      </c>
      <c r="G17" s="7">
        <f>'Case (Ave)'!Q42</f>
        <v>1.67712741501078</v>
      </c>
      <c r="I17" s="5" t="s">
        <v>132</v>
      </c>
      <c r="J17" s="7">
        <f>'Case (Mode2050)'!E4</f>
        <v>7.5373944970273987</v>
      </c>
      <c r="K17" s="7" t="e">
        <f>'Case (Mode2050)'!#REF!</f>
        <v>#REF!</v>
      </c>
      <c r="L17" s="7" t="e">
        <f>'Case (Mode2050)'!#REF!</f>
        <v>#REF!</v>
      </c>
      <c r="M17" s="7">
        <f>'Case (Mode2050)'!E42</f>
        <v>1.5319003268954634</v>
      </c>
      <c r="N17" s="7" t="e">
        <f>'Case (Mode2050)'!#REF!</f>
        <v>#REF!</v>
      </c>
      <c r="O17" s="7" t="e">
        <f>'Case (Mode2050)'!#REF!</f>
        <v>#REF!</v>
      </c>
      <c r="R17" s="5" t="s">
        <v>132</v>
      </c>
      <c r="S17">
        <f t="shared" si="5"/>
        <v>7.0671428271910752</v>
      </c>
      <c r="T17">
        <f t="shared" si="6"/>
        <v>1.6109143271883543E-2</v>
      </c>
      <c r="U17">
        <f>$K$7*B17+$L$7*E17</f>
        <v>3.8523693133429915</v>
      </c>
      <c r="V17">
        <f>U17/$U$21</f>
        <v>1.0754298260118984E-2</v>
      </c>
      <c r="W17" s="4">
        <f t="shared" si="7"/>
        <v>1.3431720766001264E-2</v>
      </c>
      <c r="Y17" s="5" t="s">
        <v>132</v>
      </c>
      <c r="Z17">
        <f>$K$7*J17+M17*$L$7</f>
        <v>3.6338232864416407</v>
      </c>
      <c r="AA17">
        <f>Z17/$Z$21</f>
        <v>1.0320529638011592E-2</v>
      </c>
      <c r="AJ17">
        <v>50</v>
      </c>
      <c r="AK17">
        <f>AA15</f>
        <v>0.65380129022250033</v>
      </c>
      <c r="AL17">
        <f>AA16</f>
        <v>1.1132381472174253E-2</v>
      </c>
      <c r="AM17">
        <f>AA17</f>
        <v>1.0320529638011592E-2</v>
      </c>
      <c r="AN17">
        <f>AA19</f>
        <v>0.3247457986673139</v>
      </c>
    </row>
    <row r="18" spans="1:40" x14ac:dyDescent="0.3">
      <c r="A18" s="7" t="s">
        <v>35</v>
      </c>
      <c r="B18" s="7">
        <f>'Case (Ave)'!D29</f>
        <v>577.22834504918194</v>
      </c>
      <c r="C18" s="7">
        <f>'Case (Ave)'!J29</f>
        <v>869.02579474506376</v>
      </c>
      <c r="D18" s="7">
        <f>'Case (Ave)'!P29</f>
        <v>432.12980417817704</v>
      </c>
      <c r="E18" s="7">
        <f>'Case (Ave)'!D69</f>
        <v>238.07336201545527</v>
      </c>
      <c r="F18" s="7">
        <f>'Case (Ave)'!J69</f>
        <v>289.92741851911916</v>
      </c>
      <c r="G18" s="7">
        <f>'Case (Ave)'!P69</f>
        <v>201.95358821804919</v>
      </c>
      <c r="I18" s="7" t="s">
        <v>35</v>
      </c>
      <c r="J18" s="7">
        <f>'Case (Mode2050)'!D29</f>
        <v>604.73813081329627</v>
      </c>
      <c r="K18" s="7" t="e">
        <f>'Case (Mode2050)'!#REF!</f>
        <v>#REF!</v>
      </c>
      <c r="L18" s="7" t="e">
        <f>'Case (Mode2050)'!#REF!</f>
        <v>#REF!</v>
      </c>
      <c r="M18" s="7">
        <f>'Case (Mode2050)'!D69</f>
        <v>213.66195569165876</v>
      </c>
      <c r="N18" s="7" t="e">
        <f>'Case (Mode2050)'!#REF!</f>
        <v>#REF!</v>
      </c>
      <c r="O18" s="7" t="e">
        <f>'Case (Mode2050)'!#REF!</f>
        <v>#REF!</v>
      </c>
      <c r="R18" s="7" t="s">
        <v>35</v>
      </c>
      <c r="W18" s="4"/>
      <c r="Y18" s="7" t="s">
        <v>35</v>
      </c>
    </row>
    <row r="19" spans="1:40" x14ac:dyDescent="0.3">
      <c r="A19" s="7" t="s">
        <v>45</v>
      </c>
      <c r="B19" s="7">
        <f>SUM('Case (Ave)'!E15:E18)+'Case (Ave)'!D19*D9*F6</f>
        <v>141.29850703708044</v>
      </c>
      <c r="C19" s="7">
        <f>SUM('Case (Ave)'!K15:K18)+'Case (Ave)'!J19*D9*F6</f>
        <v>165.56380377684999</v>
      </c>
      <c r="D19" s="7">
        <f>SUM('Case (Ave)'!Q15:Q18)+'Case (Ave)'!P19*D9*F6</f>
        <v>129.23240037846506</v>
      </c>
      <c r="E19" s="7">
        <f>SUM('Case (Ave)'!E54:E57)+'Case (Ave)'!D58*D9*F6</f>
        <v>95.569910203623081</v>
      </c>
      <c r="F19" s="7">
        <f>SUM('Case (Ave)'!K54:K57)+'Case (Ave)'!J58*D9*F6</f>
        <v>102.78642254004914</v>
      </c>
      <c r="G19" s="7">
        <f>SUM('Case (Ave)'!Q54:Q57)+'Case (Ave)'!P58*D9*F6</f>
        <v>90.408042736202944</v>
      </c>
      <c r="I19" s="7" t="s">
        <v>45</v>
      </c>
      <c r="J19" s="7">
        <f>SUM('Case (Mode2050)'!E15:E18)+'Case (Mode2050)'!D19*D9*F6</f>
        <v>136.24844698721574</v>
      </c>
      <c r="K19" s="7" t="e">
        <f>SUM('Case (Mode2050)'!#REF!)+'Case (Mode2050)'!#REF!*D9*F6</f>
        <v>#REF!</v>
      </c>
      <c r="L19" s="7" t="e">
        <f>SUM('Case (Mode2050)'!#REF!)+'Case (Mode2050)'!#REF!*D9*F6</f>
        <v>#REF!</v>
      </c>
      <c r="M19" s="7">
        <f>SUM('Case (Mode2050)'!E54:E57)+'Case (Mode2050)'!D58*D9*F6</f>
        <v>102.54604875421539</v>
      </c>
      <c r="N19" s="7" t="e">
        <f>SUM('Case (Mode2050)'!#REF!)+'Case (Mode2050)'!#REF!*D9*F6</f>
        <v>#REF!</v>
      </c>
      <c r="O19" s="7" t="e">
        <f>SUM('Case (Mode2050)'!#REF!)+'Case (Mode2050)'!#REF!*D9*E6</f>
        <v>#REF!</v>
      </c>
      <c r="R19" s="7" t="s">
        <v>45</v>
      </c>
      <c r="S19">
        <f t="shared" si="5"/>
        <v>139.01207719540758</v>
      </c>
      <c r="T19">
        <f t="shared" si="6"/>
        <v>0.31686998873815314</v>
      </c>
      <c r="U19">
        <f>$K$7*B19+$L$7*E19</f>
        <v>111.57491909533316</v>
      </c>
      <c r="V19">
        <f>U19/$U$21</f>
        <v>0.31147324171228158</v>
      </c>
      <c r="W19" s="4">
        <f t="shared" si="7"/>
        <v>0.31417161522521736</v>
      </c>
      <c r="Y19" s="7" t="s">
        <v>45</v>
      </c>
      <c r="Z19">
        <f>$K$7*J19+M19*$L$7</f>
        <v>114.34188813576552</v>
      </c>
      <c r="AA19">
        <f>Z19/$Z$21</f>
        <v>0.3247457986673139</v>
      </c>
    </row>
    <row r="20" spans="1:40" ht="14.5" x14ac:dyDescent="0.3">
      <c r="A20" s="5" t="s">
        <v>133</v>
      </c>
      <c r="B20" s="7">
        <f>'Case (Ave)'!C27</f>
        <v>805.5625591733766</v>
      </c>
      <c r="C20" s="7">
        <f>'Case (Ave)'!I27</f>
        <v>1212.7863248691724</v>
      </c>
      <c r="D20" s="7">
        <f>'Case (Ave)'!O27</f>
        <v>603.06738907494719</v>
      </c>
      <c r="E20" s="7">
        <f>'Case (Ave)'!C67</f>
        <v>397.97712508525888</v>
      </c>
      <c r="F20" s="7">
        <f>'Case (Ave)'!I67</f>
        <v>484.65934839925148</v>
      </c>
      <c r="G20" s="7">
        <f>'Case (Ave)'!O67</f>
        <v>337.59723372350095</v>
      </c>
      <c r="I20" s="5" t="s">
        <v>133</v>
      </c>
      <c r="J20" s="7">
        <f>'Case (Mode2050)'!C27</f>
        <v>775.90789691955183</v>
      </c>
      <c r="K20" s="7" t="e">
        <f>'Case (Mode2050)'!#REF!</f>
        <v>#REF!</v>
      </c>
      <c r="L20" s="7" t="e">
        <f>'Case (Mode2050)'!#REF!</f>
        <v>#REF!</v>
      </c>
      <c r="M20" s="7">
        <f>'Case (Mode2050)'!C67</f>
        <v>383.32664624316624</v>
      </c>
      <c r="N20" s="7" t="e">
        <f>'Case (Mode2050)'!#REF!</f>
        <v>#REF!</v>
      </c>
      <c r="O20" s="7" t="e">
        <f>'Case (Mode2050)'!#REF!</f>
        <v>#REF!</v>
      </c>
      <c r="R20" s="5" t="s">
        <v>133</v>
      </c>
      <c r="Y20" s="5" t="s">
        <v>133</v>
      </c>
    </row>
    <row r="21" spans="1:40" x14ac:dyDescent="0.3">
      <c r="A21" s="7" t="s">
        <v>136</v>
      </c>
      <c r="B21">
        <f>B15+B16+B17+B19</f>
        <v>445.41108858743371</v>
      </c>
      <c r="C21">
        <f t="shared" ref="C21:G21" si="8">C15+C16+C17+C19</f>
        <v>556.24877565989402</v>
      </c>
      <c r="D21">
        <f t="shared" si="8"/>
        <v>390.29619061799542</v>
      </c>
      <c r="E21">
        <f t="shared" si="8"/>
        <v>311.26588679002771</v>
      </c>
      <c r="F21">
        <f t="shared" si="8"/>
        <v>336.52538358672365</v>
      </c>
      <c r="G21">
        <f t="shared" si="8"/>
        <v>293.53588943504474</v>
      </c>
      <c r="I21" s="7" t="s">
        <v>136</v>
      </c>
      <c r="J21">
        <f>J15+J16+J17+J19</f>
        <v>427.23418702147507</v>
      </c>
      <c r="K21" t="e">
        <f t="shared" ref="K21:O21" si="9">K15+K16+K17+K19</f>
        <v>#REF!</v>
      </c>
      <c r="L21" t="e">
        <f t="shared" si="9"/>
        <v>#REF!</v>
      </c>
      <c r="M21">
        <f t="shared" si="9"/>
        <v>311.63788300276832</v>
      </c>
      <c r="N21" t="e">
        <f t="shared" si="9"/>
        <v>#REF!</v>
      </c>
      <c r="O21" t="e">
        <f t="shared" si="9"/>
        <v>#REF!</v>
      </c>
      <c r="R21" s="7" t="s">
        <v>136</v>
      </c>
      <c r="S21">
        <f t="shared" si="5"/>
        <v>438.70382849756339</v>
      </c>
      <c r="U21">
        <f>$K$7*B21+$L$7*E21</f>
        <v>358.21670741911981</v>
      </c>
      <c r="Y21" s="7" t="s">
        <v>136</v>
      </c>
      <c r="Z21">
        <f>$K$7*J21+M21*$L$7</f>
        <v>352.0965894093157</v>
      </c>
    </row>
    <row r="24" spans="1:40" x14ac:dyDescent="0.3">
      <c r="I24">
        <f t="shared" ref="I24:N24" si="10">(I59-I29)/($P$59-$P$29)</f>
        <v>0.91699285880381087</v>
      </c>
      <c r="J24" t="e">
        <f t="shared" si="10"/>
        <v>#REF!</v>
      </c>
      <c r="K24" t="e">
        <f t="shared" si="10"/>
        <v>#REF!</v>
      </c>
      <c r="L24">
        <f t="shared" si="10"/>
        <v>-0.81371354412655039</v>
      </c>
      <c r="M24" t="e">
        <f t="shared" si="10"/>
        <v>#REF!</v>
      </c>
      <c r="N24" t="e">
        <f t="shared" si="10"/>
        <v>#REF!</v>
      </c>
      <c r="Q24">
        <f t="shared" ref="Q24:V24" si="11">(B59-B29)/($A$59-$A$29)</f>
        <v>-0.98848874179415891</v>
      </c>
      <c r="R24" t="e">
        <f t="shared" si="11"/>
        <v>#REF!</v>
      </c>
      <c r="S24" t="e">
        <f t="shared" si="11"/>
        <v>#REF!</v>
      </c>
      <c r="T24">
        <f t="shared" si="11"/>
        <v>-0.4883492947364213</v>
      </c>
      <c r="U24" t="e">
        <f t="shared" si="11"/>
        <v>#REF!</v>
      </c>
      <c r="V24" t="e">
        <f t="shared" si="11"/>
        <v>#REF!</v>
      </c>
      <c r="AC24">
        <f t="shared" ref="AC24:AH24" si="12">(AC59-AC29)/($P$59-$P$29)</f>
        <v>-0.60589671886528818</v>
      </c>
      <c r="AD24" t="e">
        <f t="shared" si="12"/>
        <v>#REF!</v>
      </c>
      <c r="AE24" t="e">
        <f t="shared" si="12"/>
        <v>#REF!</v>
      </c>
      <c r="AF24">
        <f t="shared" si="12"/>
        <v>1.23998737580204E-2</v>
      </c>
      <c r="AG24" t="e">
        <f t="shared" si="12"/>
        <v>#REF!</v>
      </c>
      <c r="AH24" t="e">
        <f t="shared" si="12"/>
        <v>#REF!</v>
      </c>
    </row>
    <row r="26" spans="1:40" x14ac:dyDescent="0.3">
      <c r="B26" s="57" t="s">
        <v>98</v>
      </c>
      <c r="C26" s="57"/>
      <c r="D26" s="57"/>
      <c r="E26" s="57"/>
      <c r="F26" s="57"/>
      <c r="G26" s="57"/>
      <c r="I26" s="57" t="s">
        <v>137</v>
      </c>
      <c r="J26" s="57"/>
      <c r="K26" s="57"/>
      <c r="L26" s="57"/>
      <c r="M26" s="57"/>
      <c r="N26" s="57"/>
      <c r="Q26" s="57" t="s">
        <v>90</v>
      </c>
      <c r="R26" s="57"/>
      <c r="S26" s="57"/>
      <c r="T26" s="57"/>
      <c r="U26" s="57"/>
      <c r="V26" s="57"/>
      <c r="W26" s="57" t="s">
        <v>124</v>
      </c>
      <c r="X26" s="57"/>
      <c r="Y26" s="57"/>
      <c r="Z26" s="57"/>
      <c r="AA26" s="57"/>
      <c r="AB26" s="57"/>
      <c r="AC26" s="57" t="s">
        <v>100</v>
      </c>
      <c r="AD26" s="57"/>
      <c r="AE26" s="57"/>
      <c r="AF26" s="57"/>
      <c r="AG26" s="57"/>
      <c r="AH26" s="57"/>
    </row>
    <row r="27" spans="1:40" x14ac:dyDescent="0.3">
      <c r="B27" s="57" t="s">
        <v>93</v>
      </c>
      <c r="C27" s="57"/>
      <c r="D27" s="57"/>
      <c r="E27" s="57" t="s">
        <v>94</v>
      </c>
      <c r="F27" s="57"/>
      <c r="G27" s="57"/>
      <c r="I27" s="57" t="s">
        <v>93</v>
      </c>
      <c r="J27" s="57"/>
      <c r="K27" s="57"/>
      <c r="L27" s="57" t="s">
        <v>94</v>
      </c>
      <c r="M27" s="57"/>
      <c r="N27" s="57"/>
      <c r="Q27" s="57" t="s">
        <v>93</v>
      </c>
      <c r="R27" s="57"/>
      <c r="S27" s="57"/>
      <c r="T27" s="57" t="s">
        <v>94</v>
      </c>
      <c r="U27" s="57"/>
      <c r="V27" s="57"/>
      <c r="W27" s="57" t="s">
        <v>93</v>
      </c>
      <c r="X27" s="57"/>
      <c r="Y27" s="57"/>
      <c r="Z27" s="57" t="s">
        <v>94</v>
      </c>
      <c r="AA27" s="57"/>
      <c r="AB27" s="57"/>
      <c r="AC27" s="57" t="s">
        <v>93</v>
      </c>
      <c r="AD27" s="57"/>
      <c r="AE27" s="57"/>
      <c r="AF27" s="57" t="s">
        <v>94</v>
      </c>
      <c r="AG27" s="57"/>
      <c r="AH27" s="57"/>
    </row>
    <row r="28" spans="1:40" x14ac:dyDescent="0.3">
      <c r="B28" t="s">
        <v>1</v>
      </c>
      <c r="C28" t="s">
        <v>2</v>
      </c>
      <c r="D28" t="s">
        <v>3</v>
      </c>
      <c r="E28" t="s">
        <v>1</v>
      </c>
      <c r="F28" t="s">
        <v>2</v>
      </c>
      <c r="G28" t="s">
        <v>3</v>
      </c>
      <c r="I28" t="s">
        <v>1</v>
      </c>
      <c r="J28" t="s">
        <v>2</v>
      </c>
      <c r="K28" t="s">
        <v>3</v>
      </c>
      <c r="L28" t="s">
        <v>1</v>
      </c>
      <c r="M28" t="s">
        <v>2</v>
      </c>
      <c r="N28" t="s">
        <v>3</v>
      </c>
      <c r="Q28" t="s">
        <v>1</v>
      </c>
      <c r="R28" t="s">
        <v>2</v>
      </c>
      <c r="S28" t="s">
        <v>3</v>
      </c>
      <c r="T28" t="s">
        <v>1</v>
      </c>
      <c r="U28" t="s">
        <v>2</v>
      </c>
      <c r="V28" t="s">
        <v>3</v>
      </c>
      <c r="W28" t="s">
        <v>1</v>
      </c>
      <c r="X28" t="s">
        <v>2</v>
      </c>
      <c r="Y28" t="s">
        <v>3</v>
      </c>
      <c r="Z28" t="s">
        <v>1</v>
      </c>
      <c r="AA28" t="s">
        <v>2</v>
      </c>
      <c r="AB28" t="s">
        <v>3</v>
      </c>
      <c r="AC28" t="s">
        <v>1</v>
      </c>
      <c r="AD28" t="s">
        <v>2</v>
      </c>
      <c r="AE28" t="s">
        <v>3</v>
      </c>
      <c r="AF28" t="s">
        <v>1</v>
      </c>
      <c r="AG28" t="s">
        <v>2</v>
      </c>
      <c r="AH28" t="s">
        <v>3</v>
      </c>
    </row>
    <row r="29" spans="1:40" x14ac:dyDescent="0.3">
      <c r="A29">
        <v>2020</v>
      </c>
      <c r="B29">
        <f>B20</f>
        <v>805.5625591733766</v>
      </c>
      <c r="C29">
        <f t="shared" ref="C29:G29" si="13">C20</f>
        <v>1212.7863248691724</v>
      </c>
      <c r="D29">
        <f t="shared" si="13"/>
        <v>603.06738907494719</v>
      </c>
      <c r="E29">
        <f t="shared" si="13"/>
        <v>397.97712508525888</v>
      </c>
      <c r="F29">
        <f t="shared" si="13"/>
        <v>484.65934839925148</v>
      </c>
      <c r="G29">
        <f t="shared" si="13"/>
        <v>337.59723372350095</v>
      </c>
      <c r="I29">
        <f t="shared" ref="I29:N29" si="14">B18</f>
        <v>577.22834504918194</v>
      </c>
      <c r="J29">
        <f t="shared" si="14"/>
        <v>869.02579474506376</v>
      </c>
      <c r="K29">
        <f t="shared" si="14"/>
        <v>432.12980417817704</v>
      </c>
      <c r="L29">
        <f t="shared" si="14"/>
        <v>238.07336201545527</v>
      </c>
      <c r="M29">
        <f t="shared" si="14"/>
        <v>289.92741851911916</v>
      </c>
      <c r="N29">
        <f t="shared" si="14"/>
        <v>201.95358821804919</v>
      </c>
      <c r="P29" s="34">
        <v>2020</v>
      </c>
      <c r="Q29" s="34">
        <f>B29*'Elec str'!$I3</f>
        <v>514.74768857110769</v>
      </c>
      <c r="R29" s="36">
        <f>C29*'Elec str'!$I3</f>
        <v>774.96024405311891</v>
      </c>
      <c r="S29" s="36">
        <f>D29*'Elec str'!$I3</f>
        <v>385.35498086887924</v>
      </c>
      <c r="T29" s="34">
        <f>E29*'Elec str'!$I3</f>
        <v>254.30403003340331</v>
      </c>
      <c r="U29" s="36">
        <f>F29*'Elec str'!$I3</f>
        <v>309.6932404466433</v>
      </c>
      <c r="V29" s="36">
        <f>G29*'Elec str'!$I3</f>
        <v>215.72178814453937</v>
      </c>
      <c r="W29" s="34">
        <f>I29/Infrastructure!$B11</f>
        <v>577.22834504918194</v>
      </c>
      <c r="X29" s="36">
        <f>J29/Infrastructure!$B11</f>
        <v>869.02579474506376</v>
      </c>
      <c r="Y29" s="36">
        <f>K29/Infrastructure!$B11</f>
        <v>432.12980417817704</v>
      </c>
      <c r="Z29" s="34">
        <f>L29/Infrastructure!$B11</f>
        <v>238.07336201545527</v>
      </c>
      <c r="AA29" s="36">
        <f>M29/Infrastructure!$B11</f>
        <v>289.92741851911916</v>
      </c>
      <c r="AB29" s="36">
        <f>N29/Infrastructure!$B11</f>
        <v>201.95358821804919</v>
      </c>
      <c r="AC29" s="34">
        <f t="shared" ref="AC29:AH29" si="15">B21</f>
        <v>445.41108858743371</v>
      </c>
      <c r="AD29" s="36">
        <f t="shared" si="15"/>
        <v>556.24877565989402</v>
      </c>
      <c r="AE29" s="36">
        <f t="shared" si="15"/>
        <v>390.29619061799542</v>
      </c>
      <c r="AF29" s="34">
        <f t="shared" si="15"/>
        <v>311.26588679002771</v>
      </c>
      <c r="AG29" s="36">
        <f t="shared" si="15"/>
        <v>336.52538358672365</v>
      </c>
      <c r="AH29" s="36">
        <f t="shared" si="15"/>
        <v>293.53588943504474</v>
      </c>
    </row>
    <row r="30" spans="1:40" x14ac:dyDescent="0.3">
      <c r="A30">
        <v>2021</v>
      </c>
      <c r="B30">
        <f t="shared" ref="B30:B58" si="16">B29+Q$24</f>
        <v>804.57407043158241</v>
      </c>
      <c r="C30" t="e">
        <f t="shared" ref="C30:C58" si="17">C29+R$24</f>
        <v>#REF!</v>
      </c>
      <c r="D30" t="e">
        <f t="shared" ref="D30:D58" si="18">D29+S$24</f>
        <v>#REF!</v>
      </c>
      <c r="E30">
        <f t="shared" ref="E30:E58" si="19">E29+T$24</f>
        <v>397.48877579052248</v>
      </c>
      <c r="F30" t="e">
        <f t="shared" ref="F30:F58" si="20">F29+U$24</f>
        <v>#REF!</v>
      </c>
      <c r="G30" t="e">
        <f t="shared" ref="G30:G58" si="21">G29+V$24</f>
        <v>#REF!</v>
      </c>
      <c r="I30">
        <f t="shared" ref="I30:I58" si="22">I29+I$24</f>
        <v>578.14533790798578</v>
      </c>
      <c r="J30" t="e">
        <f t="shared" ref="J30:J58" si="23">J29+J$24</f>
        <v>#REF!</v>
      </c>
      <c r="K30" t="e">
        <f t="shared" ref="K30:K58" si="24">K29+K$24</f>
        <v>#REF!</v>
      </c>
      <c r="L30">
        <f t="shared" ref="L30:L58" si="25">L29+L$24</f>
        <v>237.25964847132872</v>
      </c>
      <c r="M30" t="e">
        <f t="shared" ref="M30:M58" si="26">M29+M$24</f>
        <v>#REF!</v>
      </c>
      <c r="N30" t="e">
        <f t="shared" ref="N30:N58" si="27">N29+N$24</f>
        <v>#REF!</v>
      </c>
      <c r="P30">
        <v>2021</v>
      </c>
      <c r="Q30">
        <f>B30*'Elec str'!$I4</f>
        <v>514.11605259296675</v>
      </c>
      <c r="R30" s="36" t="e">
        <f>C30*'Elec str'!$I4</f>
        <v>#REF!</v>
      </c>
      <c r="S30" s="36" t="e">
        <f>D30*'Elec str'!$I4</f>
        <v>#REF!</v>
      </c>
      <c r="T30">
        <f>E30*'Elec str'!$I4</f>
        <v>253.99197894833446</v>
      </c>
      <c r="U30" s="36" t="e">
        <f>F30*'Elec str'!$I4</f>
        <v>#REF!</v>
      </c>
      <c r="V30" s="36" t="e">
        <f>G30*'Elec str'!$I4</f>
        <v>#REF!</v>
      </c>
      <c r="W30">
        <f>I30/Infrastructure!$B12</f>
        <v>568.66754548326469</v>
      </c>
      <c r="X30" s="36" t="e">
        <f>J30/Infrastructure!$B12</f>
        <v>#REF!</v>
      </c>
      <c r="Y30" s="36" t="e">
        <f>K30/Infrastructure!$B12</f>
        <v>#REF!</v>
      </c>
      <c r="Z30">
        <f>L30/Infrastructure!$B12</f>
        <v>233.37014603737254</v>
      </c>
      <c r="AA30" s="36" t="e">
        <f>M30/Infrastructure!$B12</f>
        <v>#REF!</v>
      </c>
      <c r="AB30" s="36" t="e">
        <f>N30/Infrastructure!$B12</f>
        <v>#REF!</v>
      </c>
      <c r="AC30">
        <f t="shared" ref="AC30:AC58" si="28">AC29+AC$24</f>
        <v>444.80519186856844</v>
      </c>
      <c r="AD30" s="36" t="e">
        <f t="shared" ref="AD30:AD58" si="29">AD29+AD$24</f>
        <v>#REF!</v>
      </c>
      <c r="AE30" s="36" t="e">
        <f t="shared" ref="AE30:AE58" si="30">AE29+AE$24</f>
        <v>#REF!</v>
      </c>
      <c r="AF30">
        <f t="shared" ref="AF30:AF58" si="31">AF29+AF$24</f>
        <v>311.27828666378571</v>
      </c>
      <c r="AG30" s="36" t="e">
        <f t="shared" ref="AG30:AG58" si="32">AG29+AG$24</f>
        <v>#REF!</v>
      </c>
      <c r="AH30" s="36" t="e">
        <f t="shared" ref="AH30:AH58" si="33">AH29+AH$24</f>
        <v>#REF!</v>
      </c>
    </row>
    <row r="31" spans="1:40" x14ac:dyDescent="0.3">
      <c r="A31">
        <v>2022</v>
      </c>
      <c r="B31">
        <f t="shared" si="16"/>
        <v>803.58558168978823</v>
      </c>
      <c r="C31" t="e">
        <f t="shared" si="17"/>
        <v>#REF!</v>
      </c>
      <c r="D31" t="e">
        <f t="shared" si="18"/>
        <v>#REF!</v>
      </c>
      <c r="E31">
        <f t="shared" si="19"/>
        <v>397.00042649578609</v>
      </c>
      <c r="F31" t="e">
        <f t="shared" si="20"/>
        <v>#REF!</v>
      </c>
      <c r="G31" t="e">
        <f t="shared" si="21"/>
        <v>#REF!</v>
      </c>
      <c r="I31">
        <f t="shared" si="22"/>
        <v>579.06233076678961</v>
      </c>
      <c r="J31" t="e">
        <f t="shared" si="23"/>
        <v>#REF!</v>
      </c>
      <c r="K31" t="e">
        <f t="shared" si="24"/>
        <v>#REF!</v>
      </c>
      <c r="L31">
        <f t="shared" si="25"/>
        <v>236.44593492720216</v>
      </c>
      <c r="M31" t="e">
        <f t="shared" si="26"/>
        <v>#REF!</v>
      </c>
      <c r="N31" t="e">
        <f t="shared" si="27"/>
        <v>#REF!</v>
      </c>
      <c r="P31">
        <v>2022</v>
      </c>
      <c r="Q31">
        <f>B31*'Elec str'!$I5</f>
        <v>513.48441661482593</v>
      </c>
      <c r="R31" s="36" t="e">
        <f>C31*'Elec str'!$I5</f>
        <v>#REF!</v>
      </c>
      <c r="S31" s="36" t="e">
        <f>D31*'Elec str'!$I5</f>
        <v>#REF!</v>
      </c>
      <c r="T31">
        <f>E31*'Elec str'!$I5</f>
        <v>253.67992786326562</v>
      </c>
      <c r="U31" s="36" t="e">
        <f>F31*'Elec str'!$I5</f>
        <v>#REF!</v>
      </c>
      <c r="V31" s="36" t="e">
        <f>G31*'Elec str'!$I5</f>
        <v>#REF!</v>
      </c>
      <c r="W31">
        <f>I31/Infrastructure!$B13</f>
        <v>560.38290074205452</v>
      </c>
      <c r="X31" s="36" t="e">
        <f>J31/Infrastructure!$B13</f>
        <v>#REF!</v>
      </c>
      <c r="Y31" s="36" t="e">
        <f>K31/Infrastructure!$B13</f>
        <v>#REF!</v>
      </c>
      <c r="Z31">
        <f>L31/Infrastructure!$B13</f>
        <v>228.81864670374407</v>
      </c>
      <c r="AA31" s="36" t="e">
        <f>M31/Infrastructure!$B13</f>
        <v>#REF!</v>
      </c>
      <c r="AB31" s="36" t="e">
        <f>N31/Infrastructure!$B13</f>
        <v>#REF!</v>
      </c>
      <c r="AC31">
        <f t="shared" si="28"/>
        <v>444.19929514970318</v>
      </c>
      <c r="AD31" s="36" t="e">
        <f t="shared" si="29"/>
        <v>#REF!</v>
      </c>
      <c r="AE31" s="36" t="e">
        <f t="shared" si="30"/>
        <v>#REF!</v>
      </c>
      <c r="AF31">
        <f t="shared" si="31"/>
        <v>311.29068653754371</v>
      </c>
      <c r="AG31" s="36" t="e">
        <f t="shared" si="32"/>
        <v>#REF!</v>
      </c>
      <c r="AH31" s="36" t="e">
        <f t="shared" si="33"/>
        <v>#REF!</v>
      </c>
    </row>
    <row r="32" spans="1:40" x14ac:dyDescent="0.3">
      <c r="A32">
        <v>2023</v>
      </c>
      <c r="B32">
        <f t="shared" si="16"/>
        <v>802.59709294799404</v>
      </c>
      <c r="C32" t="e">
        <f t="shared" si="17"/>
        <v>#REF!</v>
      </c>
      <c r="D32" t="e">
        <f t="shared" si="18"/>
        <v>#REF!</v>
      </c>
      <c r="E32">
        <f t="shared" si="19"/>
        <v>396.51207720104969</v>
      </c>
      <c r="F32" t="e">
        <f t="shared" si="20"/>
        <v>#REF!</v>
      </c>
      <c r="G32" t="e">
        <f t="shared" si="21"/>
        <v>#REF!</v>
      </c>
      <c r="I32">
        <f t="shared" si="22"/>
        <v>579.97932362559345</v>
      </c>
      <c r="J32" t="e">
        <f t="shared" si="23"/>
        <v>#REF!</v>
      </c>
      <c r="K32" t="e">
        <f t="shared" si="24"/>
        <v>#REF!</v>
      </c>
      <c r="L32">
        <f t="shared" si="25"/>
        <v>235.6322213830756</v>
      </c>
      <c r="M32" t="e">
        <f t="shared" si="26"/>
        <v>#REF!</v>
      </c>
      <c r="N32" t="e">
        <f t="shared" si="27"/>
        <v>#REF!</v>
      </c>
      <c r="P32">
        <v>2023</v>
      </c>
      <c r="Q32">
        <f>B32*'Elec str'!$I6</f>
        <v>498.01149617423033</v>
      </c>
      <c r="R32" s="36" t="e">
        <f>C32*'Elec str'!$I6</f>
        <v>#REF!</v>
      </c>
      <c r="S32" s="36" t="e">
        <f>D32*'Elec str'!$I6</f>
        <v>#REF!</v>
      </c>
      <c r="T32">
        <f>E32*'Elec str'!$I6</f>
        <v>246.03574390325136</v>
      </c>
      <c r="U32" s="36" t="e">
        <f>F32*'Elec str'!$I6</f>
        <v>#REF!</v>
      </c>
      <c r="V32" s="36" t="e">
        <f>G32*'Elec str'!$I6</f>
        <v>#REF!</v>
      </c>
      <c r="W32">
        <f>I32/Infrastructure!$B14</f>
        <v>552.3612605958034</v>
      </c>
      <c r="X32" s="36" t="e">
        <f>J32/Infrastructure!$B14</f>
        <v>#REF!</v>
      </c>
      <c r="Y32" s="36" t="e">
        <f>K32/Infrastructure!$B14</f>
        <v>#REF!</v>
      </c>
      <c r="Z32">
        <f>L32/Infrastructure!$B14</f>
        <v>224.41163941245298</v>
      </c>
      <c r="AA32" s="36" t="e">
        <f>M32/Infrastructure!$B14</f>
        <v>#REF!</v>
      </c>
      <c r="AB32" s="36" t="e">
        <f>N32/Infrastructure!$B14</f>
        <v>#REF!</v>
      </c>
      <c r="AC32">
        <f t="shared" si="28"/>
        <v>443.59339843083791</v>
      </c>
      <c r="AD32" s="36" t="e">
        <f t="shared" si="29"/>
        <v>#REF!</v>
      </c>
      <c r="AE32" s="36" t="e">
        <f t="shared" si="30"/>
        <v>#REF!</v>
      </c>
      <c r="AF32">
        <f t="shared" si="31"/>
        <v>311.30308641130171</v>
      </c>
      <c r="AG32" s="36" t="e">
        <f t="shared" si="32"/>
        <v>#REF!</v>
      </c>
      <c r="AH32" s="36" t="e">
        <f t="shared" si="33"/>
        <v>#REF!</v>
      </c>
    </row>
    <row r="33" spans="1:34" x14ac:dyDescent="0.3">
      <c r="A33">
        <v>2024</v>
      </c>
      <c r="B33">
        <f t="shared" si="16"/>
        <v>801.60860420619986</v>
      </c>
      <c r="C33" t="e">
        <f t="shared" si="17"/>
        <v>#REF!</v>
      </c>
      <c r="D33" t="e">
        <f t="shared" si="18"/>
        <v>#REF!</v>
      </c>
      <c r="E33">
        <f t="shared" si="19"/>
        <v>396.0237279063133</v>
      </c>
      <c r="F33" t="e">
        <f t="shared" si="20"/>
        <v>#REF!</v>
      </c>
      <c r="G33" t="e">
        <f t="shared" si="21"/>
        <v>#REF!</v>
      </c>
      <c r="I33">
        <f t="shared" si="22"/>
        <v>580.89631648439729</v>
      </c>
      <c r="J33" t="e">
        <f t="shared" si="23"/>
        <v>#REF!</v>
      </c>
      <c r="K33" t="e">
        <f t="shared" si="24"/>
        <v>#REF!</v>
      </c>
      <c r="L33">
        <f t="shared" si="25"/>
        <v>234.81850783894905</v>
      </c>
      <c r="M33" t="e">
        <f t="shared" si="26"/>
        <v>#REF!</v>
      </c>
      <c r="N33" t="e">
        <f t="shared" si="27"/>
        <v>#REF!</v>
      </c>
      <c r="P33">
        <v>2024</v>
      </c>
      <c r="Q33">
        <f>B33*'Elec str'!$I7</f>
        <v>474.84350001270201</v>
      </c>
      <c r="R33" s="36" t="e">
        <f>C33*'Elec str'!$I7</f>
        <v>#REF!</v>
      </c>
      <c r="S33" s="36" t="e">
        <f>D33*'Elec str'!$I7</f>
        <v>#REF!</v>
      </c>
      <c r="T33">
        <f>E33*'Elec str'!$I7</f>
        <v>234.58991340709136</v>
      </c>
      <c r="U33" s="36" t="e">
        <f>F33*'Elec str'!$I7</f>
        <v>#REF!</v>
      </c>
      <c r="V33" s="36" t="e">
        <f>G33*'Elec str'!$I7</f>
        <v>#REF!</v>
      </c>
      <c r="W33">
        <f>I33/Infrastructure!$B15</f>
        <v>544.59029670412258</v>
      </c>
      <c r="X33" s="36" t="e">
        <f>J33/Infrastructure!$B15</f>
        <v>#REF!</v>
      </c>
      <c r="Y33" s="36" t="e">
        <f>K33/Infrastructure!$B15</f>
        <v>#REF!</v>
      </c>
      <c r="Z33">
        <f>L33/Infrastructure!$B15</f>
        <v>220.14235109901477</v>
      </c>
      <c r="AA33" s="36" t="e">
        <f>M33/Infrastructure!$B15</f>
        <v>#REF!</v>
      </c>
      <c r="AB33" s="36" t="e">
        <f>N33/Infrastructure!$B15</f>
        <v>#REF!</v>
      </c>
      <c r="AC33">
        <f t="shared" si="28"/>
        <v>442.98750171197264</v>
      </c>
      <c r="AD33" s="36" t="e">
        <f t="shared" si="29"/>
        <v>#REF!</v>
      </c>
      <c r="AE33" s="36" t="e">
        <f t="shared" si="30"/>
        <v>#REF!</v>
      </c>
      <c r="AF33">
        <f t="shared" si="31"/>
        <v>311.31548628505971</v>
      </c>
      <c r="AG33" s="36" t="e">
        <f t="shared" si="32"/>
        <v>#REF!</v>
      </c>
      <c r="AH33" s="36" t="e">
        <f t="shared" si="33"/>
        <v>#REF!</v>
      </c>
    </row>
    <row r="34" spans="1:34" x14ac:dyDescent="0.3">
      <c r="A34">
        <v>2025</v>
      </c>
      <c r="B34">
        <f t="shared" si="16"/>
        <v>800.62011546440567</v>
      </c>
      <c r="C34" t="e">
        <f t="shared" si="17"/>
        <v>#REF!</v>
      </c>
      <c r="D34" t="e">
        <f t="shared" si="18"/>
        <v>#REF!</v>
      </c>
      <c r="E34">
        <f t="shared" si="19"/>
        <v>395.5353786115769</v>
      </c>
      <c r="F34" t="e">
        <f t="shared" si="20"/>
        <v>#REF!</v>
      </c>
      <c r="G34" t="e">
        <f t="shared" si="21"/>
        <v>#REF!</v>
      </c>
      <c r="I34">
        <f t="shared" si="22"/>
        <v>581.81330934320113</v>
      </c>
      <c r="J34" t="e">
        <f t="shared" si="23"/>
        <v>#REF!</v>
      </c>
      <c r="K34" t="e">
        <f t="shared" si="24"/>
        <v>#REF!</v>
      </c>
      <c r="L34">
        <f t="shared" si="25"/>
        <v>234.00479429482249</v>
      </c>
      <c r="M34" t="e">
        <f t="shared" si="26"/>
        <v>#REF!</v>
      </c>
      <c r="N34" t="e">
        <f t="shared" si="27"/>
        <v>#REF!</v>
      </c>
      <c r="P34" s="38">
        <v>2025</v>
      </c>
      <c r="Q34" s="38">
        <f>B34*'Elec str'!$I8</f>
        <v>452.29515772417693</v>
      </c>
      <c r="R34" s="36" t="e">
        <f>C34*'Elec str'!$I8</f>
        <v>#REF!</v>
      </c>
      <c r="S34" s="36" t="e">
        <f>D34*'Elec str'!$I8</f>
        <v>#REF!</v>
      </c>
      <c r="T34" s="38">
        <f>E34*'Elec str'!$I8</f>
        <v>223.45021440142517</v>
      </c>
      <c r="U34" s="36" t="e">
        <f>F34*'Elec str'!$I8</f>
        <v>#REF!</v>
      </c>
      <c r="V34" s="36" t="e">
        <f>G34*'Elec str'!$I8</f>
        <v>#REF!</v>
      </c>
      <c r="W34" s="38">
        <f>I34/Infrastructure!$B16</f>
        <v>537.05843939372426</v>
      </c>
      <c r="X34" s="36" t="e">
        <f>J34/Infrastructure!$B16</f>
        <v>#REF!</v>
      </c>
      <c r="Y34" s="36" t="e">
        <f>K34/Infrastructure!$B16</f>
        <v>#REF!</v>
      </c>
      <c r="Z34" s="38">
        <f>L34/Infrastructure!$B16</f>
        <v>216.00442550291314</v>
      </c>
      <c r="AA34" s="36" t="e">
        <f>M34/Infrastructure!$B16</f>
        <v>#REF!</v>
      </c>
      <c r="AB34" s="36" t="e">
        <f>N34/Infrastructure!$B16</f>
        <v>#REF!</v>
      </c>
      <c r="AC34" s="38">
        <f t="shared" si="28"/>
        <v>442.38160499310737</v>
      </c>
      <c r="AD34" s="36" t="e">
        <f t="shared" si="29"/>
        <v>#REF!</v>
      </c>
      <c r="AE34" s="36" t="e">
        <f t="shared" si="30"/>
        <v>#REF!</v>
      </c>
      <c r="AF34" s="38">
        <f t="shared" si="31"/>
        <v>311.32788615881771</v>
      </c>
      <c r="AG34" s="36" t="e">
        <f t="shared" si="32"/>
        <v>#REF!</v>
      </c>
      <c r="AH34" s="36" t="e">
        <f t="shared" si="33"/>
        <v>#REF!</v>
      </c>
    </row>
    <row r="35" spans="1:34" x14ac:dyDescent="0.3">
      <c r="A35">
        <v>2026</v>
      </c>
      <c r="B35">
        <f t="shared" si="16"/>
        <v>799.63162672261149</v>
      </c>
      <c r="C35" t="e">
        <f t="shared" si="17"/>
        <v>#REF!</v>
      </c>
      <c r="D35" t="e">
        <f t="shared" si="18"/>
        <v>#REF!</v>
      </c>
      <c r="E35">
        <f t="shared" si="19"/>
        <v>395.04702931684051</v>
      </c>
      <c r="F35" t="e">
        <f t="shared" si="20"/>
        <v>#REF!</v>
      </c>
      <c r="G35" t="e">
        <f t="shared" si="21"/>
        <v>#REF!</v>
      </c>
      <c r="I35">
        <f t="shared" si="22"/>
        <v>582.73030220200496</v>
      </c>
      <c r="J35" t="e">
        <f t="shared" si="23"/>
        <v>#REF!</v>
      </c>
      <c r="K35" t="e">
        <f t="shared" si="24"/>
        <v>#REF!</v>
      </c>
      <c r="L35">
        <f t="shared" si="25"/>
        <v>233.19108075069593</v>
      </c>
      <c r="M35" t="e">
        <f t="shared" si="26"/>
        <v>#REF!</v>
      </c>
      <c r="N35" t="e">
        <f t="shared" si="27"/>
        <v>#REF!</v>
      </c>
      <c r="P35">
        <v>2026</v>
      </c>
      <c r="Q35">
        <f>B35*'Elec str'!$I9</f>
        <v>430.35254249297952</v>
      </c>
      <c r="R35" s="36" t="e">
        <f>C35*'Elec str'!$I9</f>
        <v>#REF!</v>
      </c>
      <c r="S35" s="36" t="e">
        <f>D35*'Elec str'!$I9</f>
        <v>#REF!</v>
      </c>
      <c r="T35">
        <f>E35*'Elec str'!$I9</f>
        <v>212.60976653412988</v>
      </c>
      <c r="U35" s="36" t="e">
        <f>F35*'Elec str'!$I9</f>
        <v>#REF!</v>
      </c>
      <c r="V35" s="36" t="e">
        <f>G35*'Elec str'!$I9</f>
        <v>#REF!</v>
      </c>
      <c r="W35">
        <f>I35/Infrastructure!$B17</f>
        <v>529.75482018364107</v>
      </c>
      <c r="X35" s="36" t="e">
        <f>J35/Infrastructure!$B17</f>
        <v>#REF!</v>
      </c>
      <c r="Y35" s="36" t="e">
        <f>K35/Infrastructure!$B17</f>
        <v>#REF!</v>
      </c>
      <c r="Z35">
        <f>L35/Infrastructure!$B17</f>
        <v>211.99189159154182</v>
      </c>
      <c r="AA35" s="36" t="e">
        <f>M35/Infrastructure!$B17</f>
        <v>#REF!</v>
      </c>
      <c r="AB35" s="36" t="e">
        <f>N35/Infrastructure!$B17</f>
        <v>#REF!</v>
      </c>
      <c r="AC35">
        <f t="shared" si="28"/>
        <v>441.77570827424211</v>
      </c>
      <c r="AD35" s="36" t="e">
        <f t="shared" si="29"/>
        <v>#REF!</v>
      </c>
      <c r="AE35" s="36" t="e">
        <f t="shared" si="30"/>
        <v>#REF!</v>
      </c>
      <c r="AF35">
        <f t="shared" si="31"/>
        <v>311.3402860325757</v>
      </c>
      <c r="AG35" s="36" t="e">
        <f t="shared" si="32"/>
        <v>#REF!</v>
      </c>
      <c r="AH35" s="36" t="e">
        <f t="shared" si="33"/>
        <v>#REF!</v>
      </c>
    </row>
    <row r="36" spans="1:34" x14ac:dyDescent="0.3">
      <c r="A36">
        <v>2027</v>
      </c>
      <c r="B36">
        <f t="shared" si="16"/>
        <v>798.6431379808173</v>
      </c>
      <c r="C36" t="e">
        <f t="shared" si="17"/>
        <v>#REF!</v>
      </c>
      <c r="D36" t="e">
        <f t="shared" si="18"/>
        <v>#REF!</v>
      </c>
      <c r="E36">
        <f t="shared" si="19"/>
        <v>394.55868002210411</v>
      </c>
      <c r="F36" t="e">
        <f t="shared" si="20"/>
        <v>#REF!</v>
      </c>
      <c r="G36" t="e">
        <f t="shared" si="21"/>
        <v>#REF!</v>
      </c>
      <c r="I36">
        <f t="shared" si="22"/>
        <v>583.6472950608088</v>
      </c>
      <c r="J36" t="e">
        <f t="shared" si="23"/>
        <v>#REF!</v>
      </c>
      <c r="K36" t="e">
        <f t="shared" si="24"/>
        <v>#REF!</v>
      </c>
      <c r="L36">
        <f t="shared" si="25"/>
        <v>232.37736720656937</v>
      </c>
      <c r="M36" t="e">
        <f t="shared" si="26"/>
        <v>#REF!</v>
      </c>
      <c r="N36" t="e">
        <f t="shared" si="27"/>
        <v>#REF!</v>
      </c>
      <c r="P36">
        <v>2027</v>
      </c>
      <c r="Q36">
        <f>B36*'Elec str'!$I10</f>
        <v>409.00201413576195</v>
      </c>
      <c r="R36" s="36" t="e">
        <f>C36*'Elec str'!$I10</f>
        <v>#REF!</v>
      </c>
      <c r="S36" s="36" t="e">
        <f>D36*'Elec str'!$I10</f>
        <v>#REF!</v>
      </c>
      <c r="T36">
        <f>E36*'Elec str'!$I10</f>
        <v>202.06183105984979</v>
      </c>
      <c r="U36" s="36" t="e">
        <f>F36*'Elec str'!$I10</f>
        <v>#REF!</v>
      </c>
      <c r="V36" s="36" t="e">
        <f>G36*'Elec str'!$I10</f>
        <v>#REF!</v>
      </c>
      <c r="W36">
        <f>I36/Infrastructure!$B18</f>
        <v>522.66921945744093</v>
      </c>
      <c r="X36" s="36" t="e">
        <f>J36/Infrastructure!$B18</f>
        <v>#REF!</v>
      </c>
      <c r="Y36" s="36" t="e">
        <f>K36/Infrastructure!$B18</f>
        <v>#REF!</v>
      </c>
      <c r="Z36">
        <f>L36/Infrastructure!$B18</f>
        <v>208.09913481185325</v>
      </c>
      <c r="AA36" s="36" t="e">
        <f>M36/Infrastructure!$B18</f>
        <v>#REF!</v>
      </c>
      <c r="AB36" s="36" t="e">
        <f>N36/Infrastructure!$B18</f>
        <v>#REF!</v>
      </c>
      <c r="AC36">
        <f t="shared" si="28"/>
        <v>441.16981155537684</v>
      </c>
      <c r="AD36" s="36" t="e">
        <f t="shared" si="29"/>
        <v>#REF!</v>
      </c>
      <c r="AE36" s="36" t="e">
        <f t="shared" si="30"/>
        <v>#REF!</v>
      </c>
      <c r="AF36">
        <f t="shared" si="31"/>
        <v>311.3526859063337</v>
      </c>
      <c r="AG36" s="36" t="e">
        <f t="shared" si="32"/>
        <v>#REF!</v>
      </c>
      <c r="AH36" s="36" t="e">
        <f t="shared" si="33"/>
        <v>#REF!</v>
      </c>
    </row>
    <row r="37" spans="1:34" x14ac:dyDescent="0.3">
      <c r="A37">
        <v>2028</v>
      </c>
      <c r="B37">
        <f t="shared" si="16"/>
        <v>797.65464923902312</v>
      </c>
      <c r="C37" t="e">
        <f t="shared" si="17"/>
        <v>#REF!</v>
      </c>
      <c r="D37" t="e">
        <f t="shared" si="18"/>
        <v>#REF!</v>
      </c>
      <c r="E37">
        <f t="shared" si="19"/>
        <v>394.07033072736772</v>
      </c>
      <c r="F37" t="e">
        <f t="shared" si="20"/>
        <v>#REF!</v>
      </c>
      <c r="G37" t="e">
        <f t="shared" si="21"/>
        <v>#REF!</v>
      </c>
      <c r="I37">
        <f t="shared" si="22"/>
        <v>584.56428791961264</v>
      </c>
      <c r="J37" t="e">
        <f t="shared" si="23"/>
        <v>#REF!</v>
      </c>
      <c r="K37" t="e">
        <f t="shared" si="24"/>
        <v>#REF!</v>
      </c>
      <c r="L37">
        <f t="shared" si="25"/>
        <v>231.56365366244282</v>
      </c>
      <c r="M37" t="e">
        <f t="shared" si="26"/>
        <v>#REF!</v>
      </c>
      <c r="N37" t="e">
        <f t="shared" si="27"/>
        <v>#REF!</v>
      </c>
      <c r="P37">
        <v>2028</v>
      </c>
      <c r="Q37">
        <f>B37*'Elec str'!$I11</f>
        <v>388.23021351231921</v>
      </c>
      <c r="R37" s="36" t="e">
        <f>C37*'Elec str'!$I11</f>
        <v>#REF!</v>
      </c>
      <c r="S37" s="36" t="e">
        <f>D37*'Elec str'!$I11</f>
        <v>#REF!</v>
      </c>
      <c r="T37">
        <f>E37*'Elec str'!$I11</f>
        <v>191.79980807873613</v>
      </c>
      <c r="U37" s="36" t="e">
        <f>F37*'Elec str'!$I11</f>
        <v>#REF!</v>
      </c>
      <c r="V37" s="36" t="e">
        <f>G37*'Elec str'!$I11</f>
        <v>#REF!</v>
      </c>
      <c r="W37">
        <f>I37/Infrastructure!$B19</f>
        <v>515.79201875259957</v>
      </c>
      <c r="X37" s="36" t="e">
        <f>J37/Infrastructure!$B19</f>
        <v>#REF!</v>
      </c>
      <c r="Y37" s="36" t="e">
        <f>K37/Infrastructure!$B19</f>
        <v>#REF!</v>
      </c>
      <c r="Z37">
        <f>L37/Infrastructure!$B19</f>
        <v>204.3208708786261</v>
      </c>
      <c r="AA37" s="36" t="e">
        <f>M37/Infrastructure!$B19</f>
        <v>#REF!</v>
      </c>
      <c r="AB37" s="36" t="e">
        <f>N37/Infrastructure!$B19</f>
        <v>#REF!</v>
      </c>
      <c r="AC37">
        <f t="shared" si="28"/>
        <v>440.56391483651157</v>
      </c>
      <c r="AD37" s="36" t="e">
        <f t="shared" si="29"/>
        <v>#REF!</v>
      </c>
      <c r="AE37" s="36" t="e">
        <f t="shared" si="30"/>
        <v>#REF!</v>
      </c>
      <c r="AF37">
        <f t="shared" si="31"/>
        <v>311.3650857800917</v>
      </c>
      <c r="AG37" s="36" t="e">
        <f t="shared" si="32"/>
        <v>#REF!</v>
      </c>
      <c r="AH37" s="36" t="e">
        <f t="shared" si="33"/>
        <v>#REF!</v>
      </c>
    </row>
    <row r="38" spans="1:34" x14ac:dyDescent="0.3">
      <c r="A38">
        <v>2029</v>
      </c>
      <c r="B38">
        <f t="shared" si="16"/>
        <v>796.66616049722893</v>
      </c>
      <c r="C38" t="e">
        <f t="shared" si="17"/>
        <v>#REF!</v>
      </c>
      <c r="D38" t="e">
        <f t="shared" si="18"/>
        <v>#REF!</v>
      </c>
      <c r="E38">
        <f t="shared" si="19"/>
        <v>393.58198143263132</v>
      </c>
      <c r="F38" t="e">
        <f t="shared" si="20"/>
        <v>#REF!</v>
      </c>
      <c r="G38" t="e">
        <f t="shared" si="21"/>
        <v>#REF!</v>
      </c>
      <c r="I38">
        <f t="shared" si="22"/>
        <v>585.48128077841648</v>
      </c>
      <c r="J38" t="e">
        <f t="shared" si="23"/>
        <v>#REF!</v>
      </c>
      <c r="K38" t="e">
        <f t="shared" si="24"/>
        <v>#REF!</v>
      </c>
      <c r="L38">
        <f t="shared" si="25"/>
        <v>230.74994011831626</v>
      </c>
      <c r="M38" t="e">
        <f t="shared" si="26"/>
        <v>#REF!</v>
      </c>
      <c r="N38" t="e">
        <f t="shared" si="27"/>
        <v>#REF!</v>
      </c>
      <c r="P38">
        <v>2029</v>
      </c>
      <c r="Q38">
        <f>B38*'Elec str'!$I12</f>
        <v>368.02405704144144</v>
      </c>
      <c r="R38" s="36" t="e">
        <f>C38*'Elec str'!$I12</f>
        <v>#REF!</v>
      </c>
      <c r="S38" s="36" t="e">
        <f>D38*'Elec str'!$I12</f>
        <v>#REF!</v>
      </c>
      <c r="T38">
        <f>E38*'Elec str'!$I12</f>
        <v>181.81723382707941</v>
      </c>
      <c r="U38" s="36" t="e">
        <f>F38*'Elec str'!$I12</f>
        <v>#REF!</v>
      </c>
      <c r="V38" s="36" t="e">
        <f>G38*'Elec str'!$I12</f>
        <v>#REF!</v>
      </c>
      <c r="W38">
        <f>I38/Infrastructure!$B20</f>
        <v>509.11415719862327</v>
      </c>
      <c r="X38" s="36" t="e">
        <f>J38/Infrastructure!$B20</f>
        <v>#REF!</v>
      </c>
      <c r="Y38" s="36" t="e">
        <f>K38/Infrastructure!$B20</f>
        <v>#REF!</v>
      </c>
      <c r="Z38">
        <f>L38/Infrastructure!$B20</f>
        <v>200.65212184201422</v>
      </c>
      <c r="AA38" s="36" t="e">
        <f>M38/Infrastructure!$B20</f>
        <v>#REF!</v>
      </c>
      <c r="AB38" s="36" t="e">
        <f>N38/Infrastructure!$B20</f>
        <v>#REF!</v>
      </c>
      <c r="AC38">
        <f t="shared" si="28"/>
        <v>439.9580181176463</v>
      </c>
      <c r="AD38" s="36" t="e">
        <f t="shared" si="29"/>
        <v>#REF!</v>
      </c>
      <c r="AE38" s="36" t="e">
        <f t="shared" si="30"/>
        <v>#REF!</v>
      </c>
      <c r="AF38">
        <f t="shared" si="31"/>
        <v>311.3774856538497</v>
      </c>
      <c r="AG38" s="36" t="e">
        <f t="shared" si="32"/>
        <v>#REF!</v>
      </c>
      <c r="AH38" s="36" t="e">
        <f t="shared" si="33"/>
        <v>#REF!</v>
      </c>
    </row>
    <row r="39" spans="1:34" x14ac:dyDescent="0.3">
      <c r="A39">
        <v>2030</v>
      </c>
      <c r="B39">
        <f t="shared" si="16"/>
        <v>795.67767175543474</v>
      </c>
      <c r="C39" t="e">
        <f t="shared" si="17"/>
        <v>#REF!</v>
      </c>
      <c r="D39" t="e">
        <f t="shared" si="18"/>
        <v>#REF!</v>
      </c>
      <c r="E39">
        <f t="shared" si="19"/>
        <v>393.09363213789493</v>
      </c>
      <c r="F39" t="e">
        <f t="shared" si="20"/>
        <v>#REF!</v>
      </c>
      <c r="G39" t="e">
        <f t="shared" si="21"/>
        <v>#REF!</v>
      </c>
      <c r="I39">
        <f t="shared" si="22"/>
        <v>586.39827363722031</v>
      </c>
      <c r="J39" t="e">
        <f t="shared" si="23"/>
        <v>#REF!</v>
      </c>
      <c r="K39" t="e">
        <f t="shared" si="24"/>
        <v>#REF!</v>
      </c>
      <c r="L39">
        <f t="shared" si="25"/>
        <v>229.9362265741897</v>
      </c>
      <c r="M39" t="e">
        <f t="shared" si="26"/>
        <v>#REF!</v>
      </c>
      <c r="N39" t="e">
        <f t="shared" si="27"/>
        <v>#REF!</v>
      </c>
      <c r="P39" s="34">
        <v>2030</v>
      </c>
      <c r="Q39" s="34">
        <f>B39*'Elec str'!$I13</f>
        <v>348.37073131988632</v>
      </c>
      <c r="R39" s="36" t="e">
        <f>C39*'Elec str'!$I13</f>
        <v>#REF!</v>
      </c>
      <c r="S39" s="36" t="e">
        <f>D39*'Elec str'!$I13</f>
        <v>#REF!</v>
      </c>
      <c r="T39" s="34">
        <f>E39*'Elec str'!$I13</f>
        <v>172.10777801888653</v>
      </c>
      <c r="U39" s="36" t="e">
        <f>F39*'Elec str'!$I13</f>
        <v>#REF!</v>
      </c>
      <c r="V39" s="36" t="e">
        <f>G39*'Elec str'!$I13</f>
        <v>#REF!</v>
      </c>
      <c r="W39" s="34">
        <f>I39/Infrastructure!$B21</f>
        <v>502.62709168904621</v>
      </c>
      <c r="X39" s="36" t="e">
        <f>J39/Infrastructure!$B21</f>
        <v>#REF!</v>
      </c>
      <c r="Y39" s="36" t="e">
        <f>K39/Infrastructure!$B21</f>
        <v>#REF!</v>
      </c>
      <c r="Z39" s="34">
        <f>L39/Infrastructure!$B21</f>
        <v>197.08819420644841</v>
      </c>
      <c r="AA39" s="36" t="e">
        <f>M39/Infrastructure!$B21</f>
        <v>#REF!</v>
      </c>
      <c r="AB39" s="36" t="e">
        <f>N39/Infrastructure!$B21</f>
        <v>#REF!</v>
      </c>
      <c r="AC39" s="34">
        <f t="shared" si="28"/>
        <v>439.35212139878104</v>
      </c>
      <c r="AD39" s="36" t="e">
        <f t="shared" si="29"/>
        <v>#REF!</v>
      </c>
      <c r="AE39" s="36" t="e">
        <f t="shared" si="30"/>
        <v>#REF!</v>
      </c>
      <c r="AF39" s="34">
        <f t="shared" si="31"/>
        <v>311.3898855276077</v>
      </c>
      <c r="AG39" s="36" t="e">
        <f t="shared" si="32"/>
        <v>#REF!</v>
      </c>
      <c r="AH39" s="36" t="e">
        <f t="shared" si="33"/>
        <v>#REF!</v>
      </c>
    </row>
    <row r="40" spans="1:34" x14ac:dyDescent="0.3">
      <c r="A40">
        <v>2031</v>
      </c>
      <c r="B40">
        <f t="shared" si="16"/>
        <v>794.68918301364056</v>
      </c>
      <c r="C40" t="e">
        <f t="shared" si="17"/>
        <v>#REF!</v>
      </c>
      <c r="D40" t="e">
        <f t="shared" si="18"/>
        <v>#REF!</v>
      </c>
      <c r="E40">
        <f t="shared" si="19"/>
        <v>392.60528284315853</v>
      </c>
      <c r="F40" t="e">
        <f t="shared" si="20"/>
        <v>#REF!</v>
      </c>
      <c r="G40" t="e">
        <f t="shared" si="21"/>
        <v>#REF!</v>
      </c>
      <c r="I40">
        <f t="shared" si="22"/>
        <v>587.31526649602415</v>
      </c>
      <c r="J40" t="e">
        <f t="shared" si="23"/>
        <v>#REF!</v>
      </c>
      <c r="K40" t="e">
        <f t="shared" si="24"/>
        <v>#REF!</v>
      </c>
      <c r="L40">
        <f t="shared" si="25"/>
        <v>229.12251303006315</v>
      </c>
      <c r="M40" t="e">
        <f t="shared" si="26"/>
        <v>#REF!</v>
      </c>
      <c r="N40" t="e">
        <f t="shared" si="27"/>
        <v>#REF!</v>
      </c>
      <c r="P40">
        <v>2031</v>
      </c>
      <c r="Q40">
        <f>B40*'Elec str'!$I14</f>
        <v>329.25768784258173</v>
      </c>
      <c r="R40" s="36" t="e">
        <f>C40*'Elec str'!$I14</f>
        <v>#REF!</v>
      </c>
      <c r="S40" s="36" t="e">
        <f>D40*'Elec str'!$I14</f>
        <v>#REF!</v>
      </c>
      <c r="T40">
        <f>E40*'Elec str'!$I14</f>
        <v>162.66524123746925</v>
      </c>
      <c r="U40" s="36" t="e">
        <f>F40*'Elec str'!$I14</f>
        <v>#REF!</v>
      </c>
      <c r="V40" s="36" t="e">
        <f>G40*'Elec str'!$I14</f>
        <v>#REF!</v>
      </c>
      <c r="W40">
        <f>I40/Infrastructure!$B22</f>
        <v>496.32276041917561</v>
      </c>
      <c r="X40" s="36" t="e">
        <f>J40/Infrastructure!$B22</f>
        <v>#REF!</v>
      </c>
      <c r="Y40" s="36" t="e">
        <f>K40/Infrastructure!$B22</f>
        <v>#REF!</v>
      </c>
      <c r="Z40">
        <f>L40/Infrastructure!$B22</f>
        <v>193.62465889864501</v>
      </c>
      <c r="AA40" s="36" t="e">
        <f>M40/Infrastructure!$B22</f>
        <v>#REF!</v>
      </c>
      <c r="AB40" s="36" t="e">
        <f>N40/Infrastructure!$B22</f>
        <v>#REF!</v>
      </c>
      <c r="AC40">
        <f t="shared" si="28"/>
        <v>438.74622467991577</v>
      </c>
      <c r="AD40" s="36" t="e">
        <f t="shared" si="29"/>
        <v>#REF!</v>
      </c>
      <c r="AE40" s="36" t="e">
        <f t="shared" si="30"/>
        <v>#REF!</v>
      </c>
      <c r="AF40">
        <f t="shared" si="31"/>
        <v>311.4022854013657</v>
      </c>
      <c r="AG40" s="36" t="e">
        <f t="shared" si="32"/>
        <v>#REF!</v>
      </c>
      <c r="AH40" s="36" t="e">
        <f t="shared" si="33"/>
        <v>#REF!</v>
      </c>
    </row>
    <row r="41" spans="1:34" x14ac:dyDescent="0.3">
      <c r="A41">
        <v>2032</v>
      </c>
      <c r="B41">
        <f t="shared" si="16"/>
        <v>793.70069427184637</v>
      </c>
      <c r="C41" t="e">
        <f t="shared" si="17"/>
        <v>#REF!</v>
      </c>
      <c r="D41" t="e">
        <f t="shared" si="18"/>
        <v>#REF!</v>
      </c>
      <c r="E41">
        <f t="shared" si="19"/>
        <v>392.11693354842214</v>
      </c>
      <c r="F41" t="e">
        <f t="shared" si="20"/>
        <v>#REF!</v>
      </c>
      <c r="G41" t="e">
        <f t="shared" si="21"/>
        <v>#REF!</v>
      </c>
      <c r="I41">
        <f t="shared" si="22"/>
        <v>588.23225935482799</v>
      </c>
      <c r="J41" t="e">
        <f t="shared" si="23"/>
        <v>#REF!</v>
      </c>
      <c r="K41" t="e">
        <f t="shared" si="24"/>
        <v>#REF!</v>
      </c>
      <c r="L41">
        <f t="shared" si="25"/>
        <v>228.30879948593659</v>
      </c>
      <c r="M41" t="e">
        <f t="shared" si="26"/>
        <v>#REF!</v>
      </c>
      <c r="N41" t="e">
        <f t="shared" si="27"/>
        <v>#REF!</v>
      </c>
      <c r="P41">
        <v>2032</v>
      </c>
      <c r="Q41">
        <f>B41*'Elec str'!$I15</f>
        <v>310.67263782220573</v>
      </c>
      <c r="R41" s="36" t="e">
        <f>C41*'Elec str'!$I15</f>
        <v>#REF!</v>
      </c>
      <c r="S41" s="36" t="e">
        <f>D41*'Elec str'!$I15</f>
        <v>#REF!</v>
      </c>
      <c r="T41">
        <f>E41*'Elec str'!$I15</f>
        <v>153.48355237612898</v>
      </c>
      <c r="U41" s="36" t="e">
        <f>F41*'Elec str'!$I15</f>
        <v>#REF!</v>
      </c>
      <c r="V41" s="36" t="e">
        <f>G41*'Elec str'!$I15</f>
        <v>#REF!</v>
      </c>
      <c r="W41">
        <f>I41/Infrastructure!$B23</f>
        <v>490.19354946235694</v>
      </c>
      <c r="X41" s="36" t="e">
        <f>J41/Infrastructure!$B23</f>
        <v>#REF!</v>
      </c>
      <c r="Y41" s="36" t="e">
        <f>K41/Infrastructure!$B23</f>
        <v>#REF!</v>
      </c>
      <c r="Z41">
        <f>L41/Infrastructure!$B23</f>
        <v>190.25733290494728</v>
      </c>
      <c r="AA41" s="36" t="e">
        <f>M41/Infrastructure!$B23</f>
        <v>#REF!</v>
      </c>
      <c r="AB41" s="36" t="e">
        <f>N41/Infrastructure!$B23</f>
        <v>#REF!</v>
      </c>
      <c r="AC41">
        <f t="shared" si="28"/>
        <v>438.1403279610505</v>
      </c>
      <c r="AD41" s="36" t="e">
        <f t="shared" si="29"/>
        <v>#REF!</v>
      </c>
      <c r="AE41" s="36" t="e">
        <f t="shared" si="30"/>
        <v>#REF!</v>
      </c>
      <c r="AF41">
        <f t="shared" si="31"/>
        <v>311.4146852751237</v>
      </c>
      <c r="AG41" s="36" t="e">
        <f t="shared" si="32"/>
        <v>#REF!</v>
      </c>
      <c r="AH41" s="36" t="e">
        <f t="shared" si="33"/>
        <v>#REF!</v>
      </c>
    </row>
    <row r="42" spans="1:34" x14ac:dyDescent="0.3">
      <c r="A42">
        <v>2033</v>
      </c>
      <c r="B42">
        <f t="shared" si="16"/>
        <v>792.71220553005219</v>
      </c>
      <c r="C42" t="e">
        <f t="shared" si="17"/>
        <v>#REF!</v>
      </c>
      <c r="D42" t="e">
        <f t="shared" si="18"/>
        <v>#REF!</v>
      </c>
      <c r="E42">
        <f t="shared" si="19"/>
        <v>391.62858425368574</v>
      </c>
      <c r="F42" t="e">
        <f t="shared" si="20"/>
        <v>#REF!</v>
      </c>
      <c r="G42" t="e">
        <f t="shared" si="21"/>
        <v>#REF!</v>
      </c>
      <c r="I42">
        <f t="shared" si="22"/>
        <v>589.14925221363183</v>
      </c>
      <c r="J42" t="e">
        <f t="shared" si="23"/>
        <v>#REF!</v>
      </c>
      <c r="K42" t="e">
        <f t="shared" si="24"/>
        <v>#REF!</v>
      </c>
      <c r="L42">
        <f t="shared" si="25"/>
        <v>227.49508594181003</v>
      </c>
      <c r="M42" t="e">
        <f t="shared" si="26"/>
        <v>#REF!</v>
      </c>
      <c r="N42" t="e">
        <f t="shared" si="27"/>
        <v>#REF!</v>
      </c>
      <c r="P42">
        <v>2033</v>
      </c>
      <c r="Q42">
        <f>B42*'Elec str'!$I16</f>
        <v>292.60354710632566</v>
      </c>
      <c r="R42" s="36" t="e">
        <f>C42*'Elec str'!$I16</f>
        <v>#REF!</v>
      </c>
      <c r="S42" s="36" t="e">
        <f>D42*'Elec str'!$I16</f>
        <v>#REF!</v>
      </c>
      <c r="T42">
        <f>E42*'Elec str'!$I16</f>
        <v>144.55676612703891</v>
      </c>
      <c r="U42" s="36" t="e">
        <f>F42*'Elec str'!$I16</f>
        <v>#REF!</v>
      </c>
      <c r="V42" s="36" t="e">
        <f>G42*'Elec str'!$I16</f>
        <v>#REF!</v>
      </c>
      <c r="W42">
        <f>I42/Infrastructure!$B24</f>
        <v>484.23226209339634</v>
      </c>
      <c r="X42" s="36" t="e">
        <f>J42/Infrastructure!$B24</f>
        <v>#REF!</v>
      </c>
      <c r="Y42" s="36" t="e">
        <f>K42/Infrastructure!$B24</f>
        <v>#REF!</v>
      </c>
      <c r="Z42">
        <f>L42/Infrastructure!$B24</f>
        <v>186.98226241792617</v>
      </c>
      <c r="AA42" s="36" t="e">
        <f>M42/Infrastructure!$B24</f>
        <v>#REF!</v>
      </c>
      <c r="AB42" s="36" t="e">
        <f>N42/Infrastructure!$B24</f>
        <v>#REF!</v>
      </c>
      <c r="AC42">
        <f t="shared" si="28"/>
        <v>437.53443124218524</v>
      </c>
      <c r="AD42" s="36" t="e">
        <f t="shared" si="29"/>
        <v>#REF!</v>
      </c>
      <c r="AE42" s="36" t="e">
        <f t="shared" si="30"/>
        <v>#REF!</v>
      </c>
      <c r="AF42">
        <f t="shared" si="31"/>
        <v>311.4270851488817</v>
      </c>
      <c r="AG42" s="36" t="e">
        <f t="shared" si="32"/>
        <v>#REF!</v>
      </c>
      <c r="AH42" s="36" t="e">
        <f t="shared" si="33"/>
        <v>#REF!</v>
      </c>
    </row>
    <row r="43" spans="1:34" x14ac:dyDescent="0.3">
      <c r="A43">
        <v>2034</v>
      </c>
      <c r="B43">
        <f t="shared" si="16"/>
        <v>791.723716788258</v>
      </c>
      <c r="C43" t="e">
        <f t="shared" si="17"/>
        <v>#REF!</v>
      </c>
      <c r="D43" t="e">
        <f t="shared" si="18"/>
        <v>#REF!</v>
      </c>
      <c r="E43">
        <f t="shared" si="19"/>
        <v>391.14023495894935</v>
      </c>
      <c r="F43" t="e">
        <f t="shared" si="20"/>
        <v>#REF!</v>
      </c>
      <c r="G43" t="e">
        <f t="shared" si="21"/>
        <v>#REF!</v>
      </c>
      <c r="I43">
        <f t="shared" si="22"/>
        <v>590.06624507243566</v>
      </c>
      <c r="J43" t="e">
        <f t="shared" si="23"/>
        <v>#REF!</v>
      </c>
      <c r="K43" t="e">
        <f t="shared" si="24"/>
        <v>#REF!</v>
      </c>
      <c r="L43">
        <f t="shared" si="25"/>
        <v>226.68137239768348</v>
      </c>
      <c r="M43" t="e">
        <f t="shared" si="26"/>
        <v>#REF!</v>
      </c>
      <c r="N43" t="e">
        <f t="shared" si="27"/>
        <v>#REF!</v>
      </c>
      <c r="P43">
        <v>2034</v>
      </c>
      <c r="Q43">
        <f>B43*'Elec str'!$I17</f>
        <v>275.03863119030643</v>
      </c>
      <c r="R43" s="36" t="e">
        <f>C43*'Elec str'!$I17</f>
        <v>#REF!</v>
      </c>
      <c r="S43" s="36" t="e">
        <f>D43*'Elec str'!$I17</f>
        <v>#REF!</v>
      </c>
      <c r="T43">
        <f>E43*'Elec str'!$I17</f>
        <v>135.87906051744005</v>
      </c>
      <c r="U43" s="36" t="e">
        <f>F43*'Elec str'!$I17</f>
        <v>#REF!</v>
      </c>
      <c r="V43" s="36" t="e">
        <f>G43*'Elec str'!$I17</f>
        <v>#REF!</v>
      </c>
      <c r="W43">
        <f>I43/Infrastructure!$B25</f>
        <v>478.4320905992725</v>
      </c>
      <c r="X43" s="36" t="e">
        <f>J43/Infrastructure!$B25</f>
        <v>#REF!</v>
      </c>
      <c r="Y43" s="36" t="e">
        <f>K43/Infrastructure!$B25</f>
        <v>#REF!</v>
      </c>
      <c r="Z43">
        <f>L43/Infrastructure!$B25</f>
        <v>183.79570734947322</v>
      </c>
      <c r="AA43" s="36" t="e">
        <f>M43/Infrastructure!$B25</f>
        <v>#REF!</v>
      </c>
      <c r="AB43" s="36" t="e">
        <f>N43/Infrastructure!$B25</f>
        <v>#REF!</v>
      </c>
      <c r="AC43">
        <f t="shared" si="28"/>
        <v>436.92853452331997</v>
      </c>
      <c r="AD43" s="36" t="e">
        <f t="shared" si="29"/>
        <v>#REF!</v>
      </c>
      <c r="AE43" s="36" t="e">
        <f t="shared" si="30"/>
        <v>#REF!</v>
      </c>
      <c r="AF43">
        <f t="shared" si="31"/>
        <v>311.4394850226397</v>
      </c>
      <c r="AG43" s="36" t="e">
        <f t="shared" si="32"/>
        <v>#REF!</v>
      </c>
      <c r="AH43" s="36" t="e">
        <f t="shared" si="33"/>
        <v>#REF!</v>
      </c>
    </row>
    <row r="44" spans="1:34" x14ac:dyDescent="0.3">
      <c r="A44">
        <v>2035</v>
      </c>
      <c r="B44">
        <f t="shared" si="16"/>
        <v>790.73522804646382</v>
      </c>
      <c r="C44" t="e">
        <f t="shared" si="17"/>
        <v>#REF!</v>
      </c>
      <c r="D44" t="e">
        <f t="shared" si="18"/>
        <v>#REF!</v>
      </c>
      <c r="E44">
        <f t="shared" si="19"/>
        <v>390.65188566421295</v>
      </c>
      <c r="F44" t="e">
        <f t="shared" si="20"/>
        <v>#REF!</v>
      </c>
      <c r="G44" t="e">
        <f t="shared" si="21"/>
        <v>#REF!</v>
      </c>
      <c r="I44">
        <f t="shared" si="22"/>
        <v>590.9832379312395</v>
      </c>
      <c r="J44" t="e">
        <f t="shared" si="23"/>
        <v>#REF!</v>
      </c>
      <c r="K44" t="e">
        <f t="shared" si="24"/>
        <v>#REF!</v>
      </c>
      <c r="L44">
        <f t="shared" si="25"/>
        <v>225.86765885355692</v>
      </c>
      <c r="M44" t="e">
        <f t="shared" si="26"/>
        <v>#REF!</v>
      </c>
      <c r="N44" t="e">
        <f t="shared" si="27"/>
        <v>#REF!</v>
      </c>
      <c r="P44" s="38">
        <v>2035</v>
      </c>
      <c r="Q44" s="38">
        <f>B44*'Elec str'!$I18</f>
        <v>257.9663503242349</v>
      </c>
      <c r="R44" s="36" t="e">
        <f>C44*'Elec str'!$I18</f>
        <v>#REF!</v>
      </c>
      <c r="S44" s="36" t="e">
        <f>D44*'Elec str'!$I18</f>
        <v>#REF!</v>
      </c>
      <c r="T44" s="38">
        <f>E44*'Elec str'!$I18</f>
        <v>127.44473449228411</v>
      </c>
      <c r="U44" s="36" t="e">
        <f>F44*'Elec str'!$I18</f>
        <v>#REF!</v>
      </c>
      <c r="V44" s="36" t="e">
        <f>G44*'Elec str'!$I18</f>
        <v>#REF!</v>
      </c>
      <c r="W44" s="38">
        <f>I44/Infrastructure!$B26</f>
        <v>472.78659034499196</v>
      </c>
      <c r="X44" s="36" t="e">
        <f>J44/Infrastructure!$B26</f>
        <v>#REF!</v>
      </c>
      <c r="Y44" s="36" t="e">
        <f>K44/Infrastructure!$B26</f>
        <v>#REF!</v>
      </c>
      <c r="Z44" s="38">
        <f>L44/Infrastructure!$B26</f>
        <v>180.69412708284565</v>
      </c>
      <c r="AA44" s="36" t="e">
        <f>M44/Infrastructure!$B26</f>
        <v>#REF!</v>
      </c>
      <c r="AB44" s="36" t="e">
        <f>N44/Infrastructure!$B26</f>
        <v>#REF!</v>
      </c>
      <c r="AC44" s="38">
        <f t="shared" si="28"/>
        <v>436.3226378044547</v>
      </c>
      <c r="AD44" s="36" t="e">
        <f t="shared" si="29"/>
        <v>#REF!</v>
      </c>
      <c r="AE44" s="36" t="e">
        <f t="shared" si="30"/>
        <v>#REF!</v>
      </c>
      <c r="AF44" s="38">
        <f t="shared" si="31"/>
        <v>311.4518848963977</v>
      </c>
      <c r="AG44" s="36" t="e">
        <f t="shared" si="32"/>
        <v>#REF!</v>
      </c>
      <c r="AH44" s="36" t="e">
        <f t="shared" si="33"/>
        <v>#REF!</v>
      </c>
    </row>
    <row r="45" spans="1:34" x14ac:dyDescent="0.3">
      <c r="A45">
        <v>2036</v>
      </c>
      <c r="B45">
        <f t="shared" si="16"/>
        <v>789.74673930466963</v>
      </c>
      <c r="C45" t="e">
        <f t="shared" si="17"/>
        <v>#REF!</v>
      </c>
      <c r="D45" t="e">
        <f t="shared" si="18"/>
        <v>#REF!</v>
      </c>
      <c r="E45">
        <f t="shared" si="19"/>
        <v>390.16353636947656</v>
      </c>
      <c r="F45" t="e">
        <f t="shared" si="20"/>
        <v>#REF!</v>
      </c>
      <c r="G45" t="e">
        <f t="shared" si="21"/>
        <v>#REF!</v>
      </c>
      <c r="I45">
        <f t="shared" si="22"/>
        <v>591.90023079004334</v>
      </c>
      <c r="J45" t="e">
        <f t="shared" si="23"/>
        <v>#REF!</v>
      </c>
      <c r="K45" t="e">
        <f t="shared" si="24"/>
        <v>#REF!</v>
      </c>
      <c r="L45">
        <f t="shared" si="25"/>
        <v>225.05394530943036</v>
      </c>
      <c r="M45" t="e">
        <f t="shared" si="26"/>
        <v>#REF!</v>
      </c>
      <c r="N45" t="e">
        <f t="shared" si="27"/>
        <v>#REF!</v>
      </c>
      <c r="P45">
        <v>2036</v>
      </c>
      <c r="Q45">
        <f>B45*'Elec str'!$I19</f>
        <v>241.37540471213515</v>
      </c>
      <c r="R45" s="36" t="e">
        <f>C45*'Elec str'!$I19</f>
        <v>#REF!</v>
      </c>
      <c r="S45" s="36" t="e">
        <f>D45*'Elec str'!$I19</f>
        <v>#REF!</v>
      </c>
      <c r="T45">
        <f>E45*'Elec str'!$I19</f>
        <v>119.24820554247196</v>
      </c>
      <c r="U45" s="36" t="e">
        <f>F45*'Elec str'!$I19</f>
        <v>#REF!</v>
      </c>
      <c r="V45" s="36" t="e">
        <f>G45*'Elec str'!$I19</f>
        <v>#REF!</v>
      </c>
      <c r="W45">
        <f>I45/Infrastructure!$B27</f>
        <v>467.28965588687669</v>
      </c>
      <c r="X45" s="36" t="e">
        <f>J45/Infrastructure!$B27</f>
        <v>#REF!</v>
      </c>
      <c r="Y45" s="36" t="e">
        <f>K45/Infrastructure!$B27</f>
        <v>#REF!</v>
      </c>
      <c r="Z45">
        <f>L45/Infrastructure!$B27</f>
        <v>177.67416734955043</v>
      </c>
      <c r="AA45" s="36" t="e">
        <f>M45/Infrastructure!$B27</f>
        <v>#REF!</v>
      </c>
      <c r="AB45" s="36" t="e">
        <f>N45/Infrastructure!$B27</f>
        <v>#REF!</v>
      </c>
      <c r="AC45">
        <f t="shared" si="28"/>
        <v>435.71674108558943</v>
      </c>
      <c r="AD45" s="36" t="e">
        <f t="shared" si="29"/>
        <v>#REF!</v>
      </c>
      <c r="AE45" s="36" t="e">
        <f t="shared" si="30"/>
        <v>#REF!</v>
      </c>
      <c r="AF45">
        <f t="shared" si="31"/>
        <v>311.4642847701557</v>
      </c>
      <c r="AG45" s="36" t="e">
        <f t="shared" si="32"/>
        <v>#REF!</v>
      </c>
      <c r="AH45" s="36" t="e">
        <f t="shared" si="33"/>
        <v>#REF!</v>
      </c>
    </row>
    <row r="46" spans="1:34" x14ac:dyDescent="0.3">
      <c r="A46">
        <v>2037</v>
      </c>
      <c r="B46">
        <f t="shared" si="16"/>
        <v>788.75825056287545</v>
      </c>
      <c r="C46" t="e">
        <f t="shared" si="17"/>
        <v>#REF!</v>
      </c>
      <c r="D46" t="e">
        <f t="shared" si="18"/>
        <v>#REF!</v>
      </c>
      <c r="E46">
        <f t="shared" si="19"/>
        <v>389.67518707474017</v>
      </c>
      <c r="F46" t="e">
        <f t="shared" si="20"/>
        <v>#REF!</v>
      </c>
      <c r="G46" t="e">
        <f t="shared" si="21"/>
        <v>#REF!</v>
      </c>
      <c r="I46">
        <f t="shared" si="22"/>
        <v>592.81722364884718</v>
      </c>
      <c r="J46" t="e">
        <f t="shared" si="23"/>
        <v>#REF!</v>
      </c>
      <c r="K46" t="e">
        <f t="shared" si="24"/>
        <v>#REF!</v>
      </c>
      <c r="L46">
        <f t="shared" si="25"/>
        <v>224.2402317653038</v>
      </c>
      <c r="M46" t="e">
        <f t="shared" si="26"/>
        <v>#REF!</v>
      </c>
      <c r="N46" t="e">
        <f t="shared" si="27"/>
        <v>#REF!</v>
      </c>
      <c r="P46">
        <v>2037</v>
      </c>
      <c r="Q46">
        <f>B46*'Elec str'!$I20</f>
        <v>225.2547298017829</v>
      </c>
      <c r="R46" s="36" t="e">
        <f>C46*'Elec str'!$I20</f>
        <v>#REF!</v>
      </c>
      <c r="S46" s="36" t="e">
        <f>D46*'Elec str'!$I20</f>
        <v>#REF!</v>
      </c>
      <c r="T46">
        <f>E46*'Elec str'!$I20</f>
        <v>111.2840073778509</v>
      </c>
      <c r="U46" s="36" t="e">
        <f>F46*'Elec str'!$I20</f>
        <v>#REF!</v>
      </c>
      <c r="V46" s="36" t="e">
        <f>G46*'Elec str'!$I20</f>
        <v>#REF!</v>
      </c>
      <c r="W46">
        <f>I46/Infrastructure!$B28</f>
        <v>461.93549894715403</v>
      </c>
      <c r="X46" s="36" t="e">
        <f>J46/Infrastructure!$B28</f>
        <v>#REF!</v>
      </c>
      <c r="Y46" s="36" t="e">
        <f>K46/Infrastructure!$B28</f>
        <v>#REF!</v>
      </c>
      <c r="Z46">
        <f>L46/Infrastructure!$B28</f>
        <v>174.73264812880831</v>
      </c>
      <c r="AA46" s="36" t="e">
        <f>M46/Infrastructure!$B28</f>
        <v>#REF!</v>
      </c>
      <c r="AB46" s="36" t="e">
        <f>N46/Infrastructure!$B28</f>
        <v>#REF!</v>
      </c>
      <c r="AC46">
        <f t="shared" si="28"/>
        <v>435.11084436672417</v>
      </c>
      <c r="AD46" s="36" t="e">
        <f t="shared" si="29"/>
        <v>#REF!</v>
      </c>
      <c r="AE46" s="36" t="e">
        <f t="shared" si="30"/>
        <v>#REF!</v>
      </c>
      <c r="AF46">
        <f t="shared" si="31"/>
        <v>311.4766846439137</v>
      </c>
      <c r="AG46" s="36" t="e">
        <f t="shared" si="32"/>
        <v>#REF!</v>
      </c>
      <c r="AH46" s="36" t="e">
        <f t="shared" si="33"/>
        <v>#REF!</v>
      </c>
    </row>
    <row r="47" spans="1:34" x14ac:dyDescent="0.3">
      <c r="A47">
        <v>2038</v>
      </c>
      <c r="B47">
        <f t="shared" si="16"/>
        <v>787.76976182108126</v>
      </c>
      <c r="C47" t="e">
        <f t="shared" si="17"/>
        <v>#REF!</v>
      </c>
      <c r="D47" t="e">
        <f t="shared" si="18"/>
        <v>#REF!</v>
      </c>
      <c r="E47">
        <f t="shared" si="19"/>
        <v>389.18683778000377</v>
      </c>
      <c r="F47" t="e">
        <f t="shared" si="20"/>
        <v>#REF!</v>
      </c>
      <c r="G47" t="e">
        <f t="shared" si="21"/>
        <v>#REF!</v>
      </c>
      <c r="I47">
        <f t="shared" si="22"/>
        <v>593.73421650765101</v>
      </c>
      <c r="J47" t="e">
        <f t="shared" si="23"/>
        <v>#REF!</v>
      </c>
      <c r="K47" t="e">
        <f t="shared" si="24"/>
        <v>#REF!</v>
      </c>
      <c r="L47">
        <f t="shared" si="25"/>
        <v>223.42651822117725</v>
      </c>
      <c r="M47" t="e">
        <f t="shared" si="26"/>
        <v>#REF!</v>
      </c>
      <c r="N47" t="e">
        <f t="shared" si="27"/>
        <v>#REF!</v>
      </c>
      <c r="P47">
        <v>2038</v>
      </c>
      <c r="Q47">
        <f>B47*'Elec str'!$I21</f>
        <v>209.59349166345524</v>
      </c>
      <c r="R47" s="36" t="e">
        <f>C47*'Elec str'!$I21</f>
        <v>#REF!</v>
      </c>
      <c r="S47" s="36" t="e">
        <f>D47*'Elec str'!$I21</f>
        <v>#REF!</v>
      </c>
      <c r="T47">
        <f>E47*'Elec str'!$I21</f>
        <v>103.5467876441495</v>
      </c>
      <c r="U47" s="36" t="e">
        <f>F47*'Elec str'!$I21</f>
        <v>#REF!</v>
      </c>
      <c r="V47" s="36" t="e">
        <f>G47*'Elec str'!$I21</f>
        <v>#REF!</v>
      </c>
      <c r="W47">
        <f>I47/Infrastructure!$B29</f>
        <v>456.71862808280883</v>
      </c>
      <c r="X47" s="36" t="e">
        <f>J47/Infrastructure!$B29</f>
        <v>#REF!</v>
      </c>
      <c r="Y47" s="36" t="e">
        <f>K47/Infrastructure!$B29</f>
        <v>#REF!</v>
      </c>
      <c r="Z47">
        <f>L47/Infrastructure!$B29</f>
        <v>171.8665524778288</v>
      </c>
      <c r="AA47" s="36" t="e">
        <f>M47/Infrastructure!$B29</f>
        <v>#REF!</v>
      </c>
      <c r="AB47" s="36" t="e">
        <f>N47/Infrastructure!$B29</f>
        <v>#REF!</v>
      </c>
      <c r="AC47">
        <f t="shared" si="28"/>
        <v>434.5049476478589</v>
      </c>
      <c r="AD47" s="36" t="e">
        <f t="shared" si="29"/>
        <v>#REF!</v>
      </c>
      <c r="AE47" s="36" t="e">
        <f t="shared" si="30"/>
        <v>#REF!</v>
      </c>
      <c r="AF47">
        <f t="shared" si="31"/>
        <v>311.4890845176717</v>
      </c>
      <c r="AG47" s="36" t="e">
        <f t="shared" si="32"/>
        <v>#REF!</v>
      </c>
      <c r="AH47" s="36" t="e">
        <f t="shared" si="33"/>
        <v>#REF!</v>
      </c>
    </row>
    <row r="48" spans="1:34" x14ac:dyDescent="0.3">
      <c r="A48">
        <v>2039</v>
      </c>
      <c r="B48">
        <f t="shared" si="16"/>
        <v>786.78127307928708</v>
      </c>
      <c r="C48" t="e">
        <f t="shared" si="17"/>
        <v>#REF!</v>
      </c>
      <c r="D48" t="e">
        <f t="shared" si="18"/>
        <v>#REF!</v>
      </c>
      <c r="E48">
        <f t="shared" si="19"/>
        <v>388.69848848526738</v>
      </c>
      <c r="F48" t="e">
        <f t="shared" si="20"/>
        <v>#REF!</v>
      </c>
      <c r="G48" t="e">
        <f t="shared" si="21"/>
        <v>#REF!</v>
      </c>
      <c r="I48">
        <f t="shared" si="22"/>
        <v>594.65120936645485</v>
      </c>
      <c r="J48" t="e">
        <f t="shared" si="23"/>
        <v>#REF!</v>
      </c>
      <c r="K48" t="e">
        <f t="shared" si="24"/>
        <v>#REF!</v>
      </c>
      <c r="L48">
        <f t="shared" si="25"/>
        <v>222.61280467705069</v>
      </c>
      <c r="M48" t="e">
        <f t="shared" si="26"/>
        <v>#REF!</v>
      </c>
      <c r="N48" t="e">
        <f t="shared" si="27"/>
        <v>#REF!</v>
      </c>
      <c r="P48">
        <v>2039</v>
      </c>
      <c r="Q48">
        <f>B48*'Elec str'!$I22</f>
        <v>194.38108245598482</v>
      </c>
      <c r="R48" s="36" t="e">
        <f>C48*'Elec str'!$I22</f>
        <v>#REF!</v>
      </c>
      <c r="S48" s="36" t="e">
        <f>D48*'Elec str'!$I22</f>
        <v>#REF!</v>
      </c>
      <c r="T48">
        <f>E48*'Elec str'!$I22</f>
        <v>96.031305683043854</v>
      </c>
      <c r="U48" s="36" t="e">
        <f>F48*'Elec str'!$I22</f>
        <v>#REF!</v>
      </c>
      <c r="V48" s="36" t="e">
        <f>G48*'Elec str'!$I22</f>
        <v>#REF!</v>
      </c>
      <c r="W48">
        <f>I48/Infrastructure!$B30</f>
        <v>451.63382989857371</v>
      </c>
      <c r="X48" s="36" t="e">
        <f>J48/Infrastructure!$B30</f>
        <v>#REF!</v>
      </c>
      <c r="Y48" s="36" t="e">
        <f>K48/Infrastructure!$B30</f>
        <v>#REF!</v>
      </c>
      <c r="Z48">
        <f>L48/Infrastructure!$B30</f>
        <v>169.07301621041839</v>
      </c>
      <c r="AA48" s="36" t="e">
        <f>M48/Infrastructure!$B30</f>
        <v>#REF!</v>
      </c>
      <c r="AB48" s="36" t="e">
        <f>N48/Infrastructure!$B30</f>
        <v>#REF!</v>
      </c>
      <c r="AC48">
        <f t="shared" si="28"/>
        <v>433.89905092899363</v>
      </c>
      <c r="AD48" s="36" t="e">
        <f t="shared" si="29"/>
        <v>#REF!</v>
      </c>
      <c r="AE48" s="36" t="e">
        <f t="shared" si="30"/>
        <v>#REF!</v>
      </c>
      <c r="AF48">
        <f t="shared" si="31"/>
        <v>311.5014843914297</v>
      </c>
      <c r="AG48" s="36" t="e">
        <f t="shared" si="32"/>
        <v>#REF!</v>
      </c>
      <c r="AH48" s="36" t="e">
        <f t="shared" si="33"/>
        <v>#REF!</v>
      </c>
    </row>
    <row r="49" spans="1:34" x14ac:dyDescent="0.3">
      <c r="A49">
        <v>2040</v>
      </c>
      <c r="B49">
        <f t="shared" si="16"/>
        <v>785.79278433749289</v>
      </c>
      <c r="C49" t="e">
        <f t="shared" si="17"/>
        <v>#REF!</v>
      </c>
      <c r="D49" t="e">
        <f t="shared" si="18"/>
        <v>#REF!</v>
      </c>
      <c r="E49">
        <f t="shared" si="19"/>
        <v>388.21013919053098</v>
      </c>
      <c r="F49" t="e">
        <f t="shared" si="20"/>
        <v>#REF!</v>
      </c>
      <c r="G49" t="e">
        <f t="shared" si="21"/>
        <v>#REF!</v>
      </c>
      <c r="I49">
        <f t="shared" si="22"/>
        <v>595.56820222525869</v>
      </c>
      <c r="J49" t="e">
        <f t="shared" si="23"/>
        <v>#REF!</v>
      </c>
      <c r="K49" t="e">
        <f t="shared" si="24"/>
        <v>#REF!</v>
      </c>
      <c r="L49">
        <f t="shared" si="25"/>
        <v>221.79909113292413</v>
      </c>
      <c r="M49" t="e">
        <f t="shared" si="26"/>
        <v>#REF!</v>
      </c>
      <c r="N49" t="e">
        <f t="shared" si="27"/>
        <v>#REF!</v>
      </c>
      <c r="P49" s="34">
        <v>2040</v>
      </c>
      <c r="Q49" s="34">
        <f>B49*'Elec str'!$I23</f>
        <v>179.60711597851315</v>
      </c>
      <c r="R49" s="36" t="e">
        <f>C49*'Elec str'!$I23</f>
        <v>#REF!</v>
      </c>
      <c r="S49" s="36" t="e">
        <f>D49*'Elec str'!$I23</f>
        <v>#REF!</v>
      </c>
      <c r="T49" s="34">
        <f>E49*'Elec str'!$I23</f>
        <v>88.732430334562437</v>
      </c>
      <c r="U49" s="36" t="e">
        <f>F49*'Elec str'!$I23</f>
        <v>#REF!</v>
      </c>
      <c r="V49" s="36" t="e">
        <f>G49*'Elec str'!$I23</f>
        <v>#REF!</v>
      </c>
      <c r="W49" s="34">
        <f>I49/Infrastructure!$B31</f>
        <v>446.67615166894439</v>
      </c>
      <c r="X49" s="36" t="e">
        <f>J49/Infrastructure!$B31</f>
        <v>#REF!</v>
      </c>
      <c r="Y49" s="36" t="e">
        <f>K49/Infrastructure!$B31</f>
        <v>#REF!</v>
      </c>
      <c r="Z49" s="34">
        <f>L49/Infrastructure!$B31</f>
        <v>166.34931834969325</v>
      </c>
      <c r="AA49" s="36" t="e">
        <f>M49/Infrastructure!$B31</f>
        <v>#REF!</v>
      </c>
      <c r="AB49" s="36" t="e">
        <f>N49/Infrastructure!$B31</f>
        <v>#REF!</v>
      </c>
      <c r="AC49" s="34">
        <f t="shared" si="28"/>
        <v>433.29315421012836</v>
      </c>
      <c r="AD49" s="36" t="e">
        <f t="shared" si="29"/>
        <v>#REF!</v>
      </c>
      <c r="AE49" s="36" t="e">
        <f t="shared" si="30"/>
        <v>#REF!</v>
      </c>
      <c r="AF49" s="34">
        <f t="shared" si="31"/>
        <v>311.5138842651877</v>
      </c>
      <c r="AG49" s="36" t="e">
        <f t="shared" si="32"/>
        <v>#REF!</v>
      </c>
      <c r="AH49" s="36" t="e">
        <f t="shared" si="33"/>
        <v>#REF!</v>
      </c>
    </row>
    <row r="50" spans="1:34" x14ac:dyDescent="0.3">
      <c r="A50">
        <v>2041</v>
      </c>
      <c r="B50">
        <f t="shared" si="16"/>
        <v>784.8042955956987</v>
      </c>
      <c r="C50" t="e">
        <f t="shared" si="17"/>
        <v>#REF!</v>
      </c>
      <c r="D50" t="e">
        <f t="shared" si="18"/>
        <v>#REF!</v>
      </c>
      <c r="E50">
        <f t="shared" si="19"/>
        <v>387.72178989579459</v>
      </c>
      <c r="F50" t="e">
        <f t="shared" si="20"/>
        <v>#REF!</v>
      </c>
      <c r="G50" t="e">
        <f t="shared" si="21"/>
        <v>#REF!</v>
      </c>
      <c r="I50">
        <f t="shared" si="22"/>
        <v>596.48519508406252</v>
      </c>
      <c r="J50" t="e">
        <f t="shared" si="23"/>
        <v>#REF!</v>
      </c>
      <c r="K50" t="e">
        <f t="shared" si="24"/>
        <v>#REF!</v>
      </c>
      <c r="L50">
        <f t="shared" si="25"/>
        <v>220.98537758879758</v>
      </c>
      <c r="M50" t="e">
        <f t="shared" si="26"/>
        <v>#REF!</v>
      </c>
      <c r="N50" t="e">
        <f t="shared" si="27"/>
        <v>#REF!</v>
      </c>
      <c r="P50">
        <v>2041</v>
      </c>
      <c r="Q50">
        <f>B50*'Elec str'!$I24</f>
        <v>165.26142330637109</v>
      </c>
      <c r="R50" s="36" t="e">
        <f>C50*'Elec str'!$I24</f>
        <v>#REF!</v>
      </c>
      <c r="S50" s="36" t="e">
        <f>D50*'Elec str'!$I24</f>
        <v>#REF!</v>
      </c>
      <c r="T50">
        <f>E50*'Elec str'!$I24</f>
        <v>81.64513778105264</v>
      </c>
      <c r="U50" s="36" t="e">
        <f>F50*'Elec str'!$I24</f>
        <v>#REF!</v>
      </c>
      <c r="V50" s="36" t="e">
        <f>G50*'Elec str'!$I24</f>
        <v>#REF!</v>
      </c>
      <c r="W50">
        <f>I50/Infrastructure!$B32</f>
        <v>441.84088524745414</v>
      </c>
      <c r="X50" s="36" t="e">
        <f>J50/Infrastructure!$B32</f>
        <v>#REF!</v>
      </c>
      <c r="Y50" s="36" t="e">
        <f>K50/Infrastructure!$B32</f>
        <v>#REF!</v>
      </c>
      <c r="Z50">
        <f>L50/Infrastructure!$B32</f>
        <v>163.69287228799834</v>
      </c>
      <c r="AA50" s="36" t="e">
        <f>M50/Infrastructure!$B32</f>
        <v>#REF!</v>
      </c>
      <c r="AB50" s="36" t="e">
        <f>N50/Infrastructure!$B32</f>
        <v>#REF!</v>
      </c>
      <c r="AC50">
        <f t="shared" si="28"/>
        <v>432.6872574912631</v>
      </c>
      <c r="AD50" s="36" t="e">
        <f t="shared" si="29"/>
        <v>#REF!</v>
      </c>
      <c r="AE50" s="36" t="e">
        <f t="shared" si="30"/>
        <v>#REF!</v>
      </c>
      <c r="AF50">
        <f t="shared" si="31"/>
        <v>311.5262841389457</v>
      </c>
      <c r="AG50" s="36" t="e">
        <f t="shared" si="32"/>
        <v>#REF!</v>
      </c>
      <c r="AH50" s="36" t="e">
        <f t="shared" si="33"/>
        <v>#REF!</v>
      </c>
    </row>
    <row r="51" spans="1:34" x14ac:dyDescent="0.3">
      <c r="A51">
        <v>2042</v>
      </c>
      <c r="B51">
        <f t="shared" si="16"/>
        <v>783.81580685390452</v>
      </c>
      <c r="C51" t="e">
        <f t="shared" si="17"/>
        <v>#REF!</v>
      </c>
      <c r="D51" t="e">
        <f t="shared" si="18"/>
        <v>#REF!</v>
      </c>
      <c r="E51">
        <f t="shared" si="19"/>
        <v>387.23344060105819</v>
      </c>
      <c r="F51" t="e">
        <f t="shared" si="20"/>
        <v>#REF!</v>
      </c>
      <c r="G51" t="e">
        <f t="shared" si="21"/>
        <v>#REF!</v>
      </c>
      <c r="I51">
        <f t="shared" si="22"/>
        <v>597.40218794286636</v>
      </c>
      <c r="J51" t="e">
        <f t="shared" si="23"/>
        <v>#REF!</v>
      </c>
      <c r="K51" t="e">
        <f t="shared" si="24"/>
        <v>#REF!</v>
      </c>
      <c r="L51">
        <f t="shared" si="25"/>
        <v>220.17166404467102</v>
      </c>
      <c r="M51" t="e">
        <f t="shared" si="26"/>
        <v>#REF!</v>
      </c>
      <c r="N51" t="e">
        <f t="shared" si="27"/>
        <v>#REF!</v>
      </c>
      <c r="P51">
        <v>2042</v>
      </c>
      <c r="Q51">
        <f>B51*'Elec str'!$I25</f>
        <v>151.33404850953772</v>
      </c>
      <c r="R51" s="36" t="e">
        <f>C51*'Elec str'!$I25</f>
        <v>#REF!</v>
      </c>
      <c r="S51" s="36" t="e">
        <f>D51*'Elec str'!$I25</f>
        <v>#REF!</v>
      </c>
      <c r="T51">
        <f>E51*'Elec str'!$I25</f>
        <v>74.764509431944248</v>
      </c>
      <c r="U51" s="36" t="e">
        <f>F51*'Elec str'!$I25</f>
        <v>#REF!</v>
      </c>
      <c r="V51" s="36" t="e">
        <f>G51*'Elec str'!$I25</f>
        <v>#REF!</v>
      </c>
      <c r="W51">
        <f>I51/Infrastructure!$B33</f>
        <v>437.12355215331729</v>
      </c>
      <c r="X51" s="36" t="e">
        <f>J51/Infrastructure!$B33</f>
        <v>#REF!</v>
      </c>
      <c r="Y51" s="36" t="e">
        <f>K51/Infrastructure!$B33</f>
        <v>#REF!</v>
      </c>
      <c r="Z51">
        <f>L51/Infrastructure!$B33</f>
        <v>161.10121759366189</v>
      </c>
      <c r="AA51" s="36" t="e">
        <f>M51/Infrastructure!$B33</f>
        <v>#REF!</v>
      </c>
      <c r="AB51" s="36" t="e">
        <f>N51/Infrastructure!$B33</f>
        <v>#REF!</v>
      </c>
      <c r="AC51">
        <f t="shared" si="28"/>
        <v>432.08136077239783</v>
      </c>
      <c r="AD51" s="36" t="e">
        <f t="shared" si="29"/>
        <v>#REF!</v>
      </c>
      <c r="AE51" s="36" t="e">
        <f t="shared" si="30"/>
        <v>#REF!</v>
      </c>
      <c r="AF51">
        <f t="shared" si="31"/>
        <v>311.5386840127037</v>
      </c>
      <c r="AG51" s="36" t="e">
        <f t="shared" si="32"/>
        <v>#REF!</v>
      </c>
      <c r="AH51" s="36" t="e">
        <f t="shared" si="33"/>
        <v>#REF!</v>
      </c>
    </row>
    <row r="52" spans="1:34" x14ac:dyDescent="0.3">
      <c r="A52">
        <v>2043</v>
      </c>
      <c r="B52">
        <f t="shared" si="16"/>
        <v>782.82731811211033</v>
      </c>
      <c r="C52" t="e">
        <f t="shared" si="17"/>
        <v>#REF!</v>
      </c>
      <c r="D52" t="e">
        <f t="shared" si="18"/>
        <v>#REF!</v>
      </c>
      <c r="E52">
        <f t="shared" si="19"/>
        <v>386.7450913063218</v>
      </c>
      <c r="F52" t="e">
        <f t="shared" si="20"/>
        <v>#REF!</v>
      </c>
      <c r="G52" t="e">
        <f t="shared" si="21"/>
        <v>#REF!</v>
      </c>
      <c r="I52">
        <f t="shared" si="22"/>
        <v>598.3191808016702</v>
      </c>
      <c r="J52" t="e">
        <f t="shared" si="23"/>
        <v>#REF!</v>
      </c>
      <c r="K52" t="e">
        <f t="shared" si="24"/>
        <v>#REF!</v>
      </c>
      <c r="L52">
        <f t="shared" si="25"/>
        <v>219.35795050054446</v>
      </c>
      <c r="M52" t="e">
        <f t="shared" si="26"/>
        <v>#REF!</v>
      </c>
      <c r="N52" t="e">
        <f t="shared" si="27"/>
        <v>#REF!</v>
      </c>
      <c r="P52">
        <v>2043</v>
      </c>
      <c r="Q52">
        <f>B52*'Elec str'!$I26</f>
        <v>137.81524445216149</v>
      </c>
      <c r="R52" s="36" t="e">
        <f>C52*'Elec str'!$I26</f>
        <v>#REF!</v>
      </c>
      <c r="S52" s="36" t="e">
        <f>D52*'Elec str'!$I26</f>
        <v>#REF!</v>
      </c>
      <c r="T52">
        <f>E52*'Elec str'!$I26</f>
        <v>68.085729848560476</v>
      </c>
      <c r="U52" s="36" t="e">
        <f>F52*'Elec str'!$I26</f>
        <v>#REF!</v>
      </c>
      <c r="V52" s="36" t="e">
        <f>G52*'Elec str'!$I26</f>
        <v>#REF!</v>
      </c>
      <c r="W52">
        <f>I52/Infrastructure!$B34</f>
        <v>432.51988973614755</v>
      </c>
      <c r="X52" s="36" t="e">
        <f>J52/Infrastructure!$B34</f>
        <v>#REF!</v>
      </c>
      <c r="Y52" s="36" t="e">
        <f>K52/Infrastructure!$B34</f>
        <v>#REF!</v>
      </c>
      <c r="Z52">
        <f>L52/Infrastructure!$B34</f>
        <v>158.5720124100323</v>
      </c>
      <c r="AA52" s="36" t="e">
        <f>M52/Infrastructure!$B34</f>
        <v>#REF!</v>
      </c>
      <c r="AB52" s="36" t="e">
        <f>N52/Infrastructure!$B34</f>
        <v>#REF!</v>
      </c>
      <c r="AC52">
        <f t="shared" si="28"/>
        <v>431.47546405353256</v>
      </c>
      <c r="AD52" s="36" t="e">
        <f t="shared" si="29"/>
        <v>#REF!</v>
      </c>
      <c r="AE52" s="36" t="e">
        <f t="shared" si="30"/>
        <v>#REF!</v>
      </c>
      <c r="AF52">
        <f t="shared" si="31"/>
        <v>311.5510838864617</v>
      </c>
      <c r="AG52" s="36" t="e">
        <f t="shared" si="32"/>
        <v>#REF!</v>
      </c>
      <c r="AH52" s="36" t="e">
        <f t="shared" si="33"/>
        <v>#REF!</v>
      </c>
    </row>
    <row r="53" spans="1:34" x14ac:dyDescent="0.3">
      <c r="A53">
        <v>2044</v>
      </c>
      <c r="B53">
        <f t="shared" si="16"/>
        <v>781.83882937031615</v>
      </c>
      <c r="C53" t="e">
        <f t="shared" si="17"/>
        <v>#REF!</v>
      </c>
      <c r="D53" t="e">
        <f t="shared" si="18"/>
        <v>#REF!</v>
      </c>
      <c r="E53">
        <f t="shared" si="19"/>
        <v>386.2567420115854</v>
      </c>
      <c r="F53" t="e">
        <f t="shared" si="20"/>
        <v>#REF!</v>
      </c>
      <c r="G53" t="e">
        <f t="shared" si="21"/>
        <v>#REF!</v>
      </c>
      <c r="I53">
        <f t="shared" si="22"/>
        <v>599.23617366047404</v>
      </c>
      <c r="J53" t="e">
        <f t="shared" si="23"/>
        <v>#REF!</v>
      </c>
      <c r="K53" t="e">
        <f t="shared" si="24"/>
        <v>#REF!</v>
      </c>
      <c r="L53">
        <f t="shared" si="25"/>
        <v>218.5442369564179</v>
      </c>
      <c r="M53" t="e">
        <f t="shared" si="26"/>
        <v>#REF!</v>
      </c>
      <c r="N53" t="e">
        <f t="shared" si="27"/>
        <v>#REF!</v>
      </c>
      <c r="P53">
        <v>2044</v>
      </c>
      <c r="Q53">
        <f>B53*'Elec str'!$I27</f>
        <v>124.69546867165106</v>
      </c>
      <c r="R53" s="36" t="e">
        <f>C53*'Elec str'!$I27</f>
        <v>#REF!</v>
      </c>
      <c r="S53" s="36" t="e">
        <f>D53*'Elec str'!$I27</f>
        <v>#REF!</v>
      </c>
      <c r="T53">
        <f>E53*'Elec str'!$I27</f>
        <v>61.604084708239355</v>
      </c>
      <c r="U53" s="36" t="e">
        <f>F53*'Elec str'!$I27</f>
        <v>#REF!</v>
      </c>
      <c r="V53" s="36" t="e">
        <f>G53*'Elec str'!$I27</f>
        <v>#REF!</v>
      </c>
      <c r="W53">
        <f>I53/Infrastructure!$B35</f>
        <v>428.02583832891048</v>
      </c>
      <c r="X53" s="36" t="e">
        <f>J53/Infrastructure!$B35</f>
        <v>#REF!</v>
      </c>
      <c r="Y53" s="36" t="e">
        <f>K53/Infrastructure!$B35</f>
        <v>#REF!</v>
      </c>
      <c r="Z53">
        <f>L53/Infrastructure!$B35</f>
        <v>156.10302639744151</v>
      </c>
      <c r="AA53" s="36" t="e">
        <f>M53/Infrastructure!$B35</f>
        <v>#REF!</v>
      </c>
      <c r="AB53" s="36" t="e">
        <f>N53/Infrastructure!$B35</f>
        <v>#REF!</v>
      </c>
      <c r="AC53">
        <f t="shared" si="28"/>
        <v>430.86956733466729</v>
      </c>
      <c r="AD53" s="36" t="e">
        <f t="shared" si="29"/>
        <v>#REF!</v>
      </c>
      <c r="AE53" s="36" t="e">
        <f t="shared" si="30"/>
        <v>#REF!</v>
      </c>
      <c r="AF53">
        <f t="shared" si="31"/>
        <v>311.5634837602197</v>
      </c>
      <c r="AG53" s="36" t="e">
        <f t="shared" si="32"/>
        <v>#REF!</v>
      </c>
      <c r="AH53" s="36" t="e">
        <f t="shared" si="33"/>
        <v>#REF!</v>
      </c>
    </row>
    <row r="54" spans="1:34" x14ac:dyDescent="0.3">
      <c r="A54">
        <v>2045</v>
      </c>
      <c r="B54">
        <f t="shared" si="16"/>
        <v>780.85034062852196</v>
      </c>
      <c r="C54" t="e">
        <f t="shared" si="17"/>
        <v>#REF!</v>
      </c>
      <c r="D54" t="e">
        <f t="shared" si="18"/>
        <v>#REF!</v>
      </c>
      <c r="E54">
        <f t="shared" si="19"/>
        <v>385.76839271684901</v>
      </c>
      <c r="F54" t="e">
        <f t="shared" si="20"/>
        <v>#REF!</v>
      </c>
      <c r="G54" t="e">
        <f t="shared" si="21"/>
        <v>#REF!</v>
      </c>
      <c r="I54">
        <f t="shared" si="22"/>
        <v>600.15316651927787</v>
      </c>
      <c r="J54" t="e">
        <f t="shared" si="23"/>
        <v>#REF!</v>
      </c>
      <c r="K54" t="e">
        <f t="shared" si="24"/>
        <v>#REF!</v>
      </c>
      <c r="L54">
        <f t="shared" si="25"/>
        <v>217.73052341229135</v>
      </c>
      <c r="M54" t="e">
        <f t="shared" si="26"/>
        <v>#REF!</v>
      </c>
      <c r="N54" t="e">
        <f t="shared" si="27"/>
        <v>#REF!</v>
      </c>
      <c r="P54" s="38">
        <v>2045</v>
      </c>
      <c r="Q54" s="38">
        <f>B54*'Elec str'!$I28</f>
        <v>111.96537933587238</v>
      </c>
      <c r="R54" s="36" t="e">
        <f>C54*'Elec str'!$I28</f>
        <v>#REF!</v>
      </c>
      <c r="S54" s="36" t="e">
        <f>D54*'Elec str'!$I28</f>
        <v>#REF!</v>
      </c>
      <c r="T54" s="38">
        <f>E54*'Elec str'!$I28</f>
        <v>55.314958807042487</v>
      </c>
      <c r="U54" s="36" t="e">
        <f>F54*'Elec str'!$I28</f>
        <v>#REF!</v>
      </c>
      <c r="V54" s="36" t="e">
        <f>G54*'Elec str'!$I28</f>
        <v>#REF!</v>
      </c>
      <c r="W54" s="38">
        <f>I54/Infrastructure!$B36</f>
        <v>423.63752930772603</v>
      </c>
      <c r="X54" s="36" t="e">
        <f>J54/Infrastructure!$B36</f>
        <v>#REF!</v>
      </c>
      <c r="Y54" s="36" t="e">
        <f>K54/Infrastructure!$B36</f>
        <v>#REF!</v>
      </c>
      <c r="Z54" s="38">
        <f>L54/Infrastructure!$B36</f>
        <v>153.6921341733823</v>
      </c>
      <c r="AA54" s="36" t="e">
        <f>M54/Infrastructure!$B36</f>
        <v>#REF!</v>
      </c>
      <c r="AB54" s="36" t="e">
        <f>N54/Infrastructure!$B36</f>
        <v>#REF!</v>
      </c>
      <c r="AC54" s="38">
        <f t="shared" si="28"/>
        <v>430.26367061580203</v>
      </c>
      <c r="AD54" s="36" t="e">
        <f t="shared" si="29"/>
        <v>#REF!</v>
      </c>
      <c r="AE54" s="36" t="e">
        <f t="shared" si="30"/>
        <v>#REF!</v>
      </c>
      <c r="AF54" s="38">
        <f t="shared" si="31"/>
        <v>311.5758836339777</v>
      </c>
      <c r="AG54" s="36" t="e">
        <f t="shared" si="32"/>
        <v>#REF!</v>
      </c>
      <c r="AH54" s="36" t="e">
        <f t="shared" si="33"/>
        <v>#REF!</v>
      </c>
    </row>
    <row r="55" spans="1:34" x14ac:dyDescent="0.3">
      <c r="A55">
        <v>2046</v>
      </c>
      <c r="B55">
        <f t="shared" si="16"/>
        <v>779.86185188672778</v>
      </c>
      <c r="C55" t="e">
        <f t="shared" si="17"/>
        <v>#REF!</v>
      </c>
      <c r="D55" t="e">
        <f t="shared" si="18"/>
        <v>#REF!</v>
      </c>
      <c r="E55">
        <f t="shared" si="19"/>
        <v>385.28004342211261</v>
      </c>
      <c r="F55" t="e">
        <f t="shared" si="20"/>
        <v>#REF!</v>
      </c>
      <c r="G55" t="e">
        <f t="shared" si="21"/>
        <v>#REF!</v>
      </c>
      <c r="I55">
        <f t="shared" si="22"/>
        <v>601.07015937808171</v>
      </c>
      <c r="J55" t="e">
        <f t="shared" si="23"/>
        <v>#REF!</v>
      </c>
      <c r="K55" t="e">
        <f t="shared" si="24"/>
        <v>#REF!</v>
      </c>
      <c r="L55">
        <f t="shared" si="25"/>
        <v>216.91680986816479</v>
      </c>
      <c r="M55" t="e">
        <f t="shared" si="26"/>
        <v>#REF!</v>
      </c>
      <c r="N55" t="e">
        <f t="shared" si="27"/>
        <v>#REF!</v>
      </c>
      <c r="P55">
        <v>2046</v>
      </c>
      <c r="Q55">
        <f>B55*'Elec str'!$I29</f>
        <v>99.615831277014408</v>
      </c>
      <c r="R55" s="36" t="e">
        <f>C55*'Elec str'!$I29</f>
        <v>#REF!</v>
      </c>
      <c r="S55" s="36" t="e">
        <f>D55*'Elec str'!$I29</f>
        <v>#REF!</v>
      </c>
      <c r="T55">
        <f>E55*'Elec str'!$I29</f>
        <v>49.213834100340783</v>
      </c>
      <c r="U55" s="36" t="e">
        <f>F55*'Elec str'!$I29</f>
        <v>#REF!</v>
      </c>
      <c r="V55" s="36" t="e">
        <f>G55*'Elec str'!$I29</f>
        <v>#REF!</v>
      </c>
      <c r="W55">
        <f>I55/Infrastructure!$B37</f>
        <v>419.3512739847086</v>
      </c>
      <c r="X55" s="36" t="e">
        <f>J55/Infrastructure!$B37</f>
        <v>#REF!</v>
      </c>
      <c r="Y55" s="36" t="e">
        <f>K55/Infrastructure!$B37</f>
        <v>#REF!</v>
      </c>
      <c r="Z55">
        <f>L55/Infrastructure!$B37</f>
        <v>151.33730921034768</v>
      </c>
      <c r="AA55" s="36" t="e">
        <f>M55/Infrastructure!$B37</f>
        <v>#REF!</v>
      </c>
      <c r="AB55" s="36" t="e">
        <f>N55/Infrastructure!$B37</f>
        <v>#REF!</v>
      </c>
      <c r="AC55">
        <f t="shared" si="28"/>
        <v>429.65777389693676</v>
      </c>
      <c r="AD55" s="36" t="e">
        <f t="shared" si="29"/>
        <v>#REF!</v>
      </c>
      <c r="AE55" s="36" t="e">
        <f t="shared" si="30"/>
        <v>#REF!</v>
      </c>
      <c r="AF55">
        <f t="shared" si="31"/>
        <v>311.5882835077357</v>
      </c>
      <c r="AG55" s="36" t="e">
        <f t="shared" si="32"/>
        <v>#REF!</v>
      </c>
      <c r="AH55" s="36" t="e">
        <f t="shared" si="33"/>
        <v>#REF!</v>
      </c>
    </row>
    <row r="56" spans="1:34" x14ac:dyDescent="0.3">
      <c r="A56">
        <v>2047</v>
      </c>
      <c r="B56">
        <f t="shared" si="16"/>
        <v>778.87336314493359</v>
      </c>
      <c r="C56" t="e">
        <f t="shared" si="17"/>
        <v>#REF!</v>
      </c>
      <c r="D56" t="e">
        <f t="shared" si="18"/>
        <v>#REF!</v>
      </c>
      <c r="E56">
        <f t="shared" si="19"/>
        <v>384.79169412737622</v>
      </c>
      <c r="F56" t="e">
        <f t="shared" si="20"/>
        <v>#REF!</v>
      </c>
      <c r="G56" t="e">
        <f t="shared" si="21"/>
        <v>#REF!</v>
      </c>
      <c r="I56">
        <f t="shared" si="22"/>
        <v>601.98715223688555</v>
      </c>
      <c r="J56" t="e">
        <f t="shared" si="23"/>
        <v>#REF!</v>
      </c>
      <c r="K56" t="e">
        <f t="shared" si="24"/>
        <v>#REF!</v>
      </c>
      <c r="L56">
        <f t="shared" si="25"/>
        <v>216.10309632403823</v>
      </c>
      <c r="M56" t="e">
        <f t="shared" si="26"/>
        <v>#REF!</v>
      </c>
      <c r="N56" t="e">
        <f t="shared" si="27"/>
        <v>#REF!</v>
      </c>
      <c r="P56">
        <v>2047</v>
      </c>
      <c r="Q56">
        <f>B56*'Elec str'!$I30</f>
        <v>87.637872100710581</v>
      </c>
      <c r="R56" s="36" t="e">
        <f>C56*'Elec str'!$I30</f>
        <v>#REF!</v>
      </c>
      <c r="S56" s="36" t="e">
        <f>D56*'Elec str'!$I30</f>
        <v>#REF!</v>
      </c>
      <c r="T56">
        <f>E56*'Elec str'!$I30</f>
        <v>43.29628778057937</v>
      </c>
      <c r="U56" s="36" t="e">
        <f>F56*'Elec str'!$I30</f>
        <v>#REF!</v>
      </c>
      <c r="V56" s="36" t="e">
        <f>G56*'Elec str'!$I30</f>
        <v>#REF!</v>
      </c>
      <c r="W56">
        <f>I56/Infrastructure!$B38</f>
        <v>415.1635532668181</v>
      </c>
      <c r="X56" s="36" t="e">
        <f>J56/Infrastructure!$B38</f>
        <v>#REF!</v>
      </c>
      <c r="Y56" s="36" t="e">
        <f>K56/Infrastructure!$B38</f>
        <v>#REF!</v>
      </c>
      <c r="Z56">
        <f>L56/Infrastructure!$B38</f>
        <v>149.03661815450928</v>
      </c>
      <c r="AA56" s="36" t="e">
        <f>M56/Infrastructure!$B38</f>
        <v>#REF!</v>
      </c>
      <c r="AB56" s="36" t="e">
        <f>N56/Infrastructure!$B38</f>
        <v>#REF!</v>
      </c>
      <c r="AC56">
        <f t="shared" si="28"/>
        <v>429.05187717807149</v>
      </c>
      <c r="AD56" s="36" t="e">
        <f t="shared" si="29"/>
        <v>#REF!</v>
      </c>
      <c r="AE56" s="36" t="e">
        <f t="shared" si="30"/>
        <v>#REF!</v>
      </c>
      <c r="AF56">
        <f t="shared" si="31"/>
        <v>311.6006833814937</v>
      </c>
      <c r="AG56" s="36" t="e">
        <f t="shared" si="32"/>
        <v>#REF!</v>
      </c>
      <c r="AH56" s="36" t="e">
        <f t="shared" si="33"/>
        <v>#REF!</v>
      </c>
    </row>
    <row r="57" spans="1:34" x14ac:dyDescent="0.3">
      <c r="A57">
        <v>2048</v>
      </c>
      <c r="B57">
        <f t="shared" si="16"/>
        <v>777.88487440313941</v>
      </c>
      <c r="C57" t="e">
        <f t="shared" si="17"/>
        <v>#REF!</v>
      </c>
      <c r="D57" t="e">
        <f t="shared" si="18"/>
        <v>#REF!</v>
      </c>
      <c r="E57">
        <f t="shared" si="19"/>
        <v>384.30334483263982</v>
      </c>
      <c r="F57" t="e">
        <f t="shared" si="20"/>
        <v>#REF!</v>
      </c>
      <c r="G57" t="e">
        <f t="shared" si="21"/>
        <v>#REF!</v>
      </c>
      <c r="I57">
        <f t="shared" si="22"/>
        <v>602.90414509568939</v>
      </c>
      <c r="J57" t="e">
        <f t="shared" si="23"/>
        <v>#REF!</v>
      </c>
      <c r="K57" t="e">
        <f t="shared" si="24"/>
        <v>#REF!</v>
      </c>
      <c r="L57">
        <f t="shared" si="25"/>
        <v>215.28938277991168</v>
      </c>
      <c r="M57" t="e">
        <f t="shared" si="26"/>
        <v>#REF!</v>
      </c>
      <c r="N57" t="e">
        <f t="shared" si="27"/>
        <v>#REF!</v>
      </c>
      <c r="P57">
        <v>2048</v>
      </c>
      <c r="Q57">
        <f>B57*'Elec str'!$I31</f>
        <v>76.022738369030392</v>
      </c>
      <c r="R57" s="36" t="e">
        <f>C57*'Elec str'!$I31</f>
        <v>#REF!</v>
      </c>
      <c r="S57" s="36" t="e">
        <f>D57*'Elec str'!$I31</f>
        <v>#REF!</v>
      </c>
      <c r="T57">
        <f>E57*'Elec str'!$I31</f>
        <v>37.557990391536961</v>
      </c>
      <c r="U57" s="36" t="e">
        <f>F57*'Elec str'!$I31</f>
        <v>#REF!</v>
      </c>
      <c r="V57" s="36" t="e">
        <f>G57*'Elec str'!$I31</f>
        <v>#REF!</v>
      </c>
      <c r="W57">
        <f>I57/Infrastructure!$B39</f>
        <v>411.07100801978868</v>
      </c>
      <c r="X57" s="36" t="e">
        <f>J57/Infrastructure!$B39</f>
        <v>#REF!</v>
      </c>
      <c r="Y57" s="36" t="e">
        <f>K57/Infrastructure!$B39</f>
        <v>#REF!</v>
      </c>
      <c r="Z57">
        <f>L57/Infrastructure!$B39</f>
        <v>146.78821553175814</v>
      </c>
      <c r="AA57" s="36" t="e">
        <f>M57/Infrastructure!$B39</f>
        <v>#REF!</v>
      </c>
      <c r="AB57" s="36" t="e">
        <f>N57/Infrastructure!$B39</f>
        <v>#REF!</v>
      </c>
      <c r="AC57">
        <f t="shared" si="28"/>
        <v>428.44598045920623</v>
      </c>
      <c r="AD57" s="36" t="e">
        <f t="shared" si="29"/>
        <v>#REF!</v>
      </c>
      <c r="AE57" s="36" t="e">
        <f t="shared" si="30"/>
        <v>#REF!</v>
      </c>
      <c r="AF57">
        <f t="shared" si="31"/>
        <v>311.61308325525169</v>
      </c>
      <c r="AG57" s="36" t="e">
        <f t="shared" si="32"/>
        <v>#REF!</v>
      </c>
      <c r="AH57" s="36" t="e">
        <f t="shared" si="33"/>
        <v>#REF!</v>
      </c>
    </row>
    <row r="58" spans="1:34" x14ac:dyDescent="0.3">
      <c r="A58">
        <v>2049</v>
      </c>
      <c r="B58">
        <f t="shared" si="16"/>
        <v>776.89638566134522</v>
      </c>
      <c r="C58" t="e">
        <f t="shared" si="17"/>
        <v>#REF!</v>
      </c>
      <c r="D58" t="e">
        <f t="shared" si="18"/>
        <v>#REF!</v>
      </c>
      <c r="E58">
        <f t="shared" si="19"/>
        <v>383.81499553790343</v>
      </c>
      <c r="F58" t="e">
        <f t="shared" si="20"/>
        <v>#REF!</v>
      </c>
      <c r="G58" t="e">
        <f t="shared" si="21"/>
        <v>#REF!</v>
      </c>
      <c r="I58">
        <f t="shared" si="22"/>
        <v>603.82113795449322</v>
      </c>
      <c r="J58" t="e">
        <f t="shared" si="23"/>
        <v>#REF!</v>
      </c>
      <c r="K58" t="e">
        <f t="shared" si="24"/>
        <v>#REF!</v>
      </c>
      <c r="L58">
        <f t="shared" si="25"/>
        <v>214.47566923578512</v>
      </c>
      <c r="M58" t="e">
        <f t="shared" si="26"/>
        <v>#REF!</v>
      </c>
      <c r="N58" t="e">
        <f t="shared" si="27"/>
        <v>#REF!</v>
      </c>
      <c r="P58">
        <v>2049</v>
      </c>
      <c r="Q58">
        <f>B58*'Elec str'!$I32</f>
        <v>64.761851855979302</v>
      </c>
      <c r="R58" s="36" t="e">
        <f>C58*'Elec str'!$I32</f>
        <v>#REF!</v>
      </c>
      <c r="S58" s="36" t="e">
        <f>D58*'Elec str'!$I32</f>
        <v>#REF!</v>
      </c>
      <c r="T58">
        <f>E58*'Elec str'!$I32</f>
        <v>31.994703978406996</v>
      </c>
      <c r="U58" s="36" t="e">
        <f>F58*'Elec str'!$I32</f>
        <v>#REF!</v>
      </c>
      <c r="V58" s="36" t="e">
        <f>G58*'Elec str'!$I32</f>
        <v>#REF!</v>
      </c>
      <c r="W58">
        <f>I58/Infrastructure!$B40</f>
        <v>407.07043008168131</v>
      </c>
      <c r="X58" s="36" t="e">
        <f>J58/Infrastructure!$B40</f>
        <v>#REF!</v>
      </c>
      <c r="Y58" s="36" t="e">
        <f>K58/Infrastructure!$B40</f>
        <v>#REF!</v>
      </c>
      <c r="Z58">
        <f>L58/Infrastructure!$B40</f>
        <v>144.59033881064181</v>
      </c>
      <c r="AA58" s="36" t="e">
        <f>M58/Infrastructure!$B40</f>
        <v>#REF!</v>
      </c>
      <c r="AB58" s="36" t="e">
        <f>N58/Infrastructure!$B40</f>
        <v>#REF!</v>
      </c>
      <c r="AC58">
        <f t="shared" si="28"/>
        <v>427.84008374034096</v>
      </c>
      <c r="AD58" s="36" t="e">
        <f t="shared" si="29"/>
        <v>#REF!</v>
      </c>
      <c r="AE58" s="36" t="e">
        <f t="shared" si="30"/>
        <v>#REF!</v>
      </c>
      <c r="AF58">
        <f t="shared" si="31"/>
        <v>311.62548312900969</v>
      </c>
      <c r="AG58" s="36" t="e">
        <f t="shared" si="32"/>
        <v>#REF!</v>
      </c>
      <c r="AH58" s="36" t="e">
        <f t="shared" si="33"/>
        <v>#REF!</v>
      </c>
    </row>
    <row r="59" spans="1:34" x14ac:dyDescent="0.3">
      <c r="A59">
        <v>2050</v>
      </c>
      <c r="B59">
        <f>J20</f>
        <v>775.90789691955183</v>
      </c>
      <c r="C59" t="e">
        <f t="shared" ref="C59:D59" si="34">K20</f>
        <v>#REF!</v>
      </c>
      <c r="D59" t="e">
        <f t="shared" si="34"/>
        <v>#REF!</v>
      </c>
      <c r="E59">
        <f>M20</f>
        <v>383.32664624316624</v>
      </c>
      <c r="F59" t="e">
        <f t="shared" ref="F59" si="35">N20</f>
        <v>#REF!</v>
      </c>
      <c r="G59" t="e">
        <f t="shared" ref="G59" si="36">O20</f>
        <v>#REF!</v>
      </c>
      <c r="I59">
        <f t="shared" ref="I59:N59" si="37">J18</f>
        <v>604.73813081329627</v>
      </c>
      <c r="J59" t="e">
        <f t="shared" si="37"/>
        <v>#REF!</v>
      </c>
      <c r="K59" t="e">
        <f t="shared" si="37"/>
        <v>#REF!</v>
      </c>
      <c r="L59">
        <f t="shared" si="37"/>
        <v>213.66195569165876</v>
      </c>
      <c r="M59" t="e">
        <f t="shared" si="37"/>
        <v>#REF!</v>
      </c>
      <c r="N59" t="e">
        <f t="shared" si="37"/>
        <v>#REF!</v>
      </c>
      <c r="P59" s="34">
        <v>2050</v>
      </c>
      <c r="Q59" s="34">
        <f>B59*'Elec str'!$I33</f>
        <v>53.846815874169629</v>
      </c>
      <c r="R59" s="36" t="e">
        <f>C59*'Elec str'!$I33</f>
        <v>#REF!</v>
      </c>
      <c r="S59" s="36" t="e">
        <f>D59*'Elec str'!$I33</f>
        <v>#REF!</v>
      </c>
      <c r="T59" s="34">
        <f>E59*'Elec str'!$I33</f>
        <v>26.602280273039717</v>
      </c>
      <c r="U59" s="36" t="e">
        <f>F59*'Elec str'!$I33</f>
        <v>#REF!</v>
      </c>
      <c r="V59" s="36" t="e">
        <f>G59*'Elec str'!$I33</f>
        <v>#REF!</v>
      </c>
      <c r="W59" s="34">
        <f>I59/Infrastructure!$B41</f>
        <v>403.15875387553086</v>
      </c>
      <c r="X59" s="36" t="e">
        <f>J59/Infrastructure!$B41</f>
        <v>#REF!</v>
      </c>
      <c r="Y59" s="36" t="e">
        <f>K59/Infrastructure!$B41</f>
        <v>#REF!</v>
      </c>
      <c r="Z59" s="34">
        <f>L59/Infrastructure!$B41</f>
        <v>142.44130379443916</v>
      </c>
      <c r="AA59" s="36" t="e">
        <f>M59/Infrastructure!$B41</f>
        <v>#REF!</v>
      </c>
      <c r="AB59" s="36" t="e">
        <f>N59/Infrastructure!$B41</f>
        <v>#REF!</v>
      </c>
      <c r="AC59" s="34">
        <f t="shared" ref="AC59:AH59" si="38">J21</f>
        <v>427.23418702147507</v>
      </c>
      <c r="AD59" s="36" t="e">
        <f t="shared" si="38"/>
        <v>#REF!</v>
      </c>
      <c r="AE59" s="36" t="e">
        <f t="shared" si="38"/>
        <v>#REF!</v>
      </c>
      <c r="AF59" s="34">
        <f t="shared" si="38"/>
        <v>311.63788300276832</v>
      </c>
      <c r="AG59" s="36" t="e">
        <f t="shared" si="38"/>
        <v>#REF!</v>
      </c>
      <c r="AH59" s="36" t="e">
        <f t="shared" si="38"/>
        <v>#REF!</v>
      </c>
    </row>
    <row r="62" spans="1:34" x14ac:dyDescent="0.3">
      <c r="B62" s="57" t="s">
        <v>93</v>
      </c>
      <c r="C62" s="57"/>
      <c r="D62" s="57"/>
      <c r="E62" s="57" t="s">
        <v>94</v>
      </c>
      <c r="F62" s="57"/>
      <c r="G62" s="57"/>
      <c r="I62" t="s">
        <v>140</v>
      </c>
      <c r="K62" s="57" t="s">
        <v>139</v>
      </c>
      <c r="L62" s="57"/>
      <c r="M62" s="57" t="s">
        <v>141</v>
      </c>
      <c r="N62" s="57"/>
      <c r="P62" t="s">
        <v>142</v>
      </c>
      <c r="Q62" s="57" t="s">
        <v>93</v>
      </c>
      <c r="R62" s="57"/>
      <c r="S62" s="57"/>
      <c r="T62" s="57" t="s">
        <v>94</v>
      </c>
      <c r="U62" s="57"/>
      <c r="V62" s="57"/>
      <c r="W62" s="58" t="s">
        <v>172</v>
      </c>
      <c r="X62" s="58"/>
      <c r="Y62" s="58"/>
    </row>
    <row r="63" spans="1:34" x14ac:dyDescent="0.3">
      <c r="B63" t="s">
        <v>1</v>
      </c>
      <c r="C63" t="s">
        <v>2</v>
      </c>
      <c r="D63" t="s">
        <v>3</v>
      </c>
      <c r="E63" t="s">
        <v>1</v>
      </c>
      <c r="F63" t="s">
        <v>2</v>
      </c>
      <c r="G63" t="s">
        <v>3</v>
      </c>
      <c r="J63" t="s">
        <v>138</v>
      </c>
      <c r="K63" t="s">
        <v>93</v>
      </c>
      <c r="L63" t="s">
        <v>94</v>
      </c>
      <c r="M63" t="s">
        <v>93</v>
      </c>
      <c r="N63" t="s">
        <v>94</v>
      </c>
      <c r="Q63" t="s">
        <v>1</v>
      </c>
      <c r="R63" t="s">
        <v>2</v>
      </c>
      <c r="S63" t="s">
        <v>3</v>
      </c>
      <c r="T63" t="s">
        <v>1</v>
      </c>
      <c r="U63" t="s">
        <v>2</v>
      </c>
      <c r="V63" t="s">
        <v>3</v>
      </c>
      <c r="W63" t="s">
        <v>1</v>
      </c>
      <c r="X63" t="s">
        <v>2</v>
      </c>
      <c r="Y63" t="s">
        <v>3</v>
      </c>
    </row>
    <row r="64" spans="1:34" x14ac:dyDescent="0.3">
      <c r="A64">
        <v>2020</v>
      </c>
      <c r="B64">
        <f>(Q29+W29+AC29)</f>
        <v>1537.3871222077232</v>
      </c>
      <c r="C64">
        <f t="shared" ref="C64:G64" si="39">(R29+X29+AD29)</f>
        <v>2200.2348144580765</v>
      </c>
      <c r="D64">
        <f t="shared" si="39"/>
        <v>1207.7809756650518</v>
      </c>
      <c r="E64">
        <f t="shared" si="39"/>
        <v>803.64327883888632</v>
      </c>
      <c r="F64">
        <f t="shared" si="39"/>
        <v>936.14604255248605</v>
      </c>
      <c r="G64">
        <f t="shared" si="39"/>
        <v>711.21126579763336</v>
      </c>
      <c r="I64">
        <v>2020</v>
      </c>
      <c r="J64">
        <f>Speed!B3</f>
        <v>1</v>
      </c>
      <c r="K64">
        <f>Temperature!B2</f>
        <v>1</v>
      </c>
      <c r="L64">
        <f>Temperature!C2</f>
        <v>1</v>
      </c>
      <c r="M64">
        <f>AVERAGE(J64:K64)</f>
        <v>1</v>
      </c>
      <c r="N64">
        <f>AVERAGE(J64,L64)</f>
        <v>1</v>
      </c>
      <c r="P64">
        <v>2020</v>
      </c>
      <c r="Q64">
        <f>B64/$M64</f>
        <v>1537.3871222077232</v>
      </c>
      <c r="R64">
        <f t="shared" ref="R64:S79" si="40">C64/$M64</f>
        <v>2200.2348144580765</v>
      </c>
      <c r="S64">
        <f t="shared" si="40"/>
        <v>1207.7809756650518</v>
      </c>
      <c r="T64">
        <f>E64/$N64</f>
        <v>803.64327883888632</v>
      </c>
      <c r="U64">
        <f t="shared" ref="U64:V64" si="41">F64/$N64</f>
        <v>936.14604255248605</v>
      </c>
      <c r="V64">
        <f t="shared" si="41"/>
        <v>711.21126579763336</v>
      </c>
      <c r="W64">
        <f>Q64*$K3+T64*$L3</f>
        <v>1500.6999300392813</v>
      </c>
      <c r="X64">
        <f t="shared" ref="X64:Y64" si="42">R64*$K3+U64*$L3</f>
        <v>2137.0303758627965</v>
      </c>
      <c r="Y64">
        <f t="shared" si="42"/>
        <v>1182.9524901716807</v>
      </c>
    </row>
    <row r="65" spans="1:45" x14ac:dyDescent="0.3">
      <c r="A65">
        <v>2021</v>
      </c>
      <c r="B65">
        <f t="shared" ref="B65:B94" si="43">(Q30+W30+AC30)</f>
        <v>1527.5887899448001</v>
      </c>
      <c r="C65" t="e">
        <f t="shared" ref="C65:C94" si="44">(R30+X30+AD30)</f>
        <v>#REF!</v>
      </c>
      <c r="D65" t="e">
        <f t="shared" ref="D65:D94" si="45">(S30+Y30+AE30)</f>
        <v>#REF!</v>
      </c>
      <c r="E65">
        <f t="shared" ref="E65:E94" si="46">(T30+Z30+AF30)</f>
        <v>798.64041164949276</v>
      </c>
      <c r="F65" t="e">
        <f t="shared" ref="F65:F94" si="47">(U30+AA30+AG30)</f>
        <v>#REF!</v>
      </c>
      <c r="G65" t="e">
        <f t="shared" ref="G65:G94" si="48">(V30+AB30+AH30)</f>
        <v>#REF!</v>
      </c>
      <c r="I65">
        <v>2021</v>
      </c>
      <c r="J65">
        <f>Speed!B4</f>
        <v>1.02</v>
      </c>
      <c r="K65">
        <f>Temperature!B3</f>
        <v>0.9966666666666667</v>
      </c>
      <c r="L65">
        <f>Temperature!C3</f>
        <v>0.9976666666666667</v>
      </c>
      <c r="M65">
        <f t="shared" ref="M65:M94" si="49">AVERAGE(J65:K65)</f>
        <v>1.0083333333333333</v>
      </c>
      <c r="N65">
        <f>AVERAGE(J65,L65)</f>
        <v>1.0088333333333335</v>
      </c>
      <c r="P65">
        <v>2021</v>
      </c>
      <c r="Q65">
        <f t="shared" ref="Q65:Q94" si="50">B65/$M65</f>
        <v>1514.9640892014547</v>
      </c>
      <c r="R65" t="e">
        <f t="shared" si="40"/>
        <v>#REF!</v>
      </c>
      <c r="S65" t="e">
        <f t="shared" si="40"/>
        <v>#REF!</v>
      </c>
      <c r="T65">
        <f t="shared" ref="T65:T94" si="51">E65/$N65</f>
        <v>791.64752517709496</v>
      </c>
      <c r="U65" t="e">
        <f t="shared" ref="U65:U94" si="52">F65/$N65</f>
        <v>#REF!</v>
      </c>
      <c r="V65" t="e">
        <f t="shared" ref="V65:V94" si="53">G65/$N65</f>
        <v>#REF!</v>
      </c>
      <c r="W65">
        <f>Q65*$K4+T65*$L4</f>
        <v>1478.7982610002366</v>
      </c>
      <c r="X65" t="e">
        <f t="shared" ref="X65:Y67" si="54">R65*$K4+U65*$L4</f>
        <v>#REF!</v>
      </c>
      <c r="Y65" t="e">
        <f t="shared" si="54"/>
        <v>#REF!</v>
      </c>
    </row>
    <row r="66" spans="1:45" x14ac:dyDescent="0.3">
      <c r="A66">
        <v>2022</v>
      </c>
      <c r="B66">
        <f t="shared" si="43"/>
        <v>1518.0666125065836</v>
      </c>
      <c r="C66" t="e">
        <f t="shared" si="44"/>
        <v>#REF!</v>
      </c>
      <c r="D66" t="e">
        <f t="shared" si="45"/>
        <v>#REF!</v>
      </c>
      <c r="E66">
        <f t="shared" si="46"/>
        <v>793.78926110455336</v>
      </c>
      <c r="F66" t="e">
        <f t="shared" si="47"/>
        <v>#REF!</v>
      </c>
      <c r="G66" t="e">
        <f t="shared" si="48"/>
        <v>#REF!</v>
      </c>
      <c r="I66">
        <v>2022</v>
      </c>
      <c r="J66">
        <f>Speed!B5</f>
        <v>1.04</v>
      </c>
      <c r="K66">
        <f>Temperature!B4</f>
        <v>0.9933333333333334</v>
      </c>
      <c r="L66">
        <f>Temperature!C4</f>
        <v>0.9953333333333334</v>
      </c>
      <c r="M66">
        <f t="shared" si="49"/>
        <v>1.0166666666666666</v>
      </c>
      <c r="N66">
        <f t="shared" ref="N66:N94" si="55">AVERAGE(J66,L66)</f>
        <v>1.0176666666666667</v>
      </c>
      <c r="P66">
        <v>2022</v>
      </c>
      <c r="Q66">
        <f t="shared" si="50"/>
        <v>1493.1802745966397</v>
      </c>
      <c r="R66" t="e">
        <f t="shared" si="40"/>
        <v>#REF!</v>
      </c>
      <c r="S66" t="e">
        <f t="shared" si="40"/>
        <v>#REF!</v>
      </c>
      <c r="T66">
        <f t="shared" si="51"/>
        <v>780.00910033202092</v>
      </c>
      <c r="U66" t="e">
        <f t="shared" si="52"/>
        <v>#REF!</v>
      </c>
      <c r="V66" t="e">
        <f t="shared" si="53"/>
        <v>#REF!</v>
      </c>
      <c r="W66">
        <f t="shared" ref="W66:W67" si="56">Q66*$K5+T66*$L5</f>
        <v>1439.6924365267932</v>
      </c>
      <c r="X66" t="e">
        <f t="shared" si="54"/>
        <v>#REF!</v>
      </c>
      <c r="Y66" t="e">
        <f t="shared" si="54"/>
        <v>#REF!</v>
      </c>
    </row>
    <row r="67" spans="1:45" x14ac:dyDescent="0.3">
      <c r="A67">
        <v>2023</v>
      </c>
      <c r="B67">
        <f t="shared" si="43"/>
        <v>1493.9661552008715</v>
      </c>
      <c r="C67" t="e">
        <f t="shared" si="44"/>
        <v>#REF!</v>
      </c>
      <c r="D67" t="e">
        <f t="shared" si="45"/>
        <v>#REF!</v>
      </c>
      <c r="E67">
        <f t="shared" si="46"/>
        <v>781.75046972700602</v>
      </c>
      <c r="F67" t="e">
        <f t="shared" si="47"/>
        <v>#REF!</v>
      </c>
      <c r="G67" t="e">
        <f t="shared" si="48"/>
        <v>#REF!</v>
      </c>
      <c r="I67">
        <v>2023</v>
      </c>
      <c r="J67">
        <f>Speed!B6</f>
        <v>1.06</v>
      </c>
      <c r="K67">
        <f>Temperature!B5</f>
        <v>0.9900000000000001</v>
      </c>
      <c r="L67">
        <f>Temperature!C5</f>
        <v>0.9930000000000001</v>
      </c>
      <c r="M67">
        <f t="shared" si="49"/>
        <v>1.0250000000000001</v>
      </c>
      <c r="N67">
        <f t="shared" si="55"/>
        <v>1.0265</v>
      </c>
      <c r="P67">
        <v>2023</v>
      </c>
      <c r="Q67">
        <f t="shared" si="50"/>
        <v>1457.527956293533</v>
      </c>
      <c r="R67" t="e">
        <f t="shared" si="40"/>
        <v>#REF!</v>
      </c>
      <c r="S67" t="e">
        <f t="shared" si="40"/>
        <v>#REF!</v>
      </c>
      <c r="T67">
        <f t="shared" si="51"/>
        <v>761.56889403507648</v>
      </c>
      <c r="U67" t="e">
        <f t="shared" si="52"/>
        <v>#REF!</v>
      </c>
      <c r="V67" t="e">
        <f t="shared" si="53"/>
        <v>#REF!</v>
      </c>
      <c r="W67">
        <f t="shared" si="56"/>
        <v>1248.740237615996</v>
      </c>
      <c r="X67" t="e">
        <f t="shared" si="54"/>
        <v>#REF!</v>
      </c>
      <c r="Y67" t="e">
        <f t="shared" si="54"/>
        <v>#REF!</v>
      </c>
    </row>
    <row r="68" spans="1:45" x14ac:dyDescent="0.3">
      <c r="A68">
        <v>2024</v>
      </c>
      <c r="B68">
        <f t="shared" si="43"/>
        <v>1462.4212984287974</v>
      </c>
      <c r="C68" t="e">
        <f t="shared" si="44"/>
        <v>#REF!</v>
      </c>
      <c r="D68" t="e">
        <f t="shared" si="45"/>
        <v>#REF!</v>
      </c>
      <c r="E68">
        <f t="shared" si="46"/>
        <v>766.04775079116587</v>
      </c>
      <c r="F68" t="e">
        <f t="shared" si="47"/>
        <v>#REF!</v>
      </c>
      <c r="G68" t="e">
        <f t="shared" si="48"/>
        <v>#REF!</v>
      </c>
      <c r="I68">
        <v>2024</v>
      </c>
      <c r="J68">
        <f>Speed!B7</f>
        <v>1.08</v>
      </c>
      <c r="K68">
        <f>Temperature!B6</f>
        <v>0.9866666666666668</v>
      </c>
      <c r="L68">
        <f>Temperature!C6</f>
        <v>0.99066666666666681</v>
      </c>
      <c r="M68">
        <f t="shared" si="49"/>
        <v>1.0333333333333334</v>
      </c>
      <c r="N68">
        <f t="shared" si="55"/>
        <v>1.0353333333333334</v>
      </c>
      <c r="P68">
        <v>2024</v>
      </c>
      <c r="Q68">
        <f t="shared" si="50"/>
        <v>1415.24641783432</v>
      </c>
      <c r="R68" t="e">
        <f t="shared" si="40"/>
        <v>#REF!</v>
      </c>
      <c r="S68" t="e">
        <f t="shared" si="40"/>
        <v>#REF!</v>
      </c>
      <c r="T68">
        <f t="shared" si="51"/>
        <v>739.90445987556257</v>
      </c>
      <c r="U68" t="e">
        <f t="shared" si="52"/>
        <v>#REF!</v>
      </c>
      <c r="V68" t="e">
        <f t="shared" si="53"/>
        <v>#REF!</v>
      </c>
      <c r="W68">
        <f>Q68*$K$7+T68*$L$7</f>
        <v>976.27414516112765</v>
      </c>
      <c r="X68" t="e">
        <f t="shared" ref="X68:Y68" si="57">R68*$K$7+U68*$L$7</f>
        <v>#REF!</v>
      </c>
      <c r="Y68" t="e">
        <f t="shared" si="57"/>
        <v>#REF!</v>
      </c>
    </row>
    <row r="69" spans="1:45" x14ac:dyDescent="0.3">
      <c r="A69">
        <v>2025</v>
      </c>
      <c r="B69">
        <f t="shared" si="43"/>
        <v>1431.7352021110087</v>
      </c>
      <c r="C69" t="e">
        <f t="shared" si="44"/>
        <v>#REF!</v>
      </c>
      <c r="D69" t="e">
        <f t="shared" si="45"/>
        <v>#REF!</v>
      </c>
      <c r="E69">
        <f t="shared" si="46"/>
        <v>750.78252606315596</v>
      </c>
      <c r="F69" t="e">
        <f t="shared" si="47"/>
        <v>#REF!</v>
      </c>
      <c r="G69" t="e">
        <f t="shared" si="48"/>
        <v>#REF!</v>
      </c>
      <c r="I69">
        <v>2025</v>
      </c>
      <c r="J69">
        <f>Speed!B8</f>
        <v>1.1000000000000001</v>
      </c>
      <c r="K69">
        <f>Temperature!B7</f>
        <v>0.9833333333333335</v>
      </c>
      <c r="L69">
        <f>Temperature!C7</f>
        <v>0.98833333333333351</v>
      </c>
      <c r="M69">
        <f t="shared" si="49"/>
        <v>1.0416666666666667</v>
      </c>
      <c r="N69">
        <f t="shared" si="55"/>
        <v>1.0441666666666669</v>
      </c>
      <c r="P69">
        <v>2025</v>
      </c>
      <c r="Q69">
        <f t="shared" si="50"/>
        <v>1374.4657940265681</v>
      </c>
      <c r="R69" t="e">
        <f t="shared" si="40"/>
        <v>#REF!</v>
      </c>
      <c r="S69" t="e">
        <f t="shared" si="40"/>
        <v>#REF!</v>
      </c>
      <c r="T69">
        <f t="shared" si="51"/>
        <v>719.02556366782676</v>
      </c>
      <c r="U69" t="e">
        <f t="shared" si="52"/>
        <v>#REF!</v>
      </c>
      <c r="V69" t="e">
        <f t="shared" si="53"/>
        <v>#REF!</v>
      </c>
      <c r="W69">
        <f t="shared" ref="W69:W94" si="58">Q69*$K$7+T69*$L$7</f>
        <v>948.42964429338622</v>
      </c>
      <c r="X69" t="e">
        <f t="shared" ref="X69:X94" si="59">R69*$K$7+U69*$L$7</f>
        <v>#REF!</v>
      </c>
      <c r="Y69" t="e">
        <f t="shared" ref="Y69:Y94" si="60">S69*$K$7+V69*$L$7</f>
        <v>#REF!</v>
      </c>
    </row>
    <row r="70" spans="1:45" x14ac:dyDescent="0.3">
      <c r="A70">
        <v>2026</v>
      </c>
      <c r="B70">
        <f t="shared" si="43"/>
        <v>1401.8830709508627</v>
      </c>
      <c r="C70" t="e">
        <f t="shared" si="44"/>
        <v>#REF!</v>
      </c>
      <c r="D70" t="e">
        <f t="shared" si="45"/>
        <v>#REF!</v>
      </c>
      <c r="E70">
        <f t="shared" si="46"/>
        <v>735.94194415824745</v>
      </c>
      <c r="F70" t="e">
        <f t="shared" si="47"/>
        <v>#REF!</v>
      </c>
      <c r="G70" t="e">
        <f t="shared" si="48"/>
        <v>#REF!</v>
      </c>
      <c r="I70">
        <v>2026</v>
      </c>
      <c r="J70">
        <f>Speed!B9</f>
        <v>1.1200000000000001</v>
      </c>
      <c r="K70">
        <f>Temperature!B8</f>
        <v>0.9800000000000002</v>
      </c>
      <c r="L70">
        <f>Temperature!C8</f>
        <v>0.98600000000000021</v>
      </c>
      <c r="M70">
        <f t="shared" si="49"/>
        <v>1.0500000000000003</v>
      </c>
      <c r="N70">
        <f t="shared" si="55"/>
        <v>1.0530000000000002</v>
      </c>
      <c r="P70">
        <v>2026</v>
      </c>
      <c r="Q70">
        <f t="shared" si="50"/>
        <v>1335.1267342389165</v>
      </c>
      <c r="R70" t="e">
        <f t="shared" si="40"/>
        <v>#REF!</v>
      </c>
      <c r="S70" t="e">
        <f t="shared" si="40"/>
        <v>#REF!</v>
      </c>
      <c r="T70">
        <f t="shared" si="51"/>
        <v>698.90023186918074</v>
      </c>
      <c r="U70" t="e">
        <f t="shared" si="52"/>
        <v>#REF!</v>
      </c>
      <c r="V70" t="e">
        <f t="shared" si="53"/>
        <v>#REF!</v>
      </c>
      <c r="W70">
        <f t="shared" si="58"/>
        <v>921.57950769858826</v>
      </c>
      <c r="X70" t="e">
        <f t="shared" si="59"/>
        <v>#REF!</v>
      </c>
      <c r="Y70" t="e">
        <f t="shared" si="60"/>
        <v>#REF!</v>
      </c>
    </row>
    <row r="71" spans="1:45" x14ac:dyDescent="0.3">
      <c r="A71">
        <v>2027</v>
      </c>
      <c r="B71">
        <f t="shared" si="43"/>
        <v>1372.8410451485797</v>
      </c>
      <c r="C71" t="e">
        <f t="shared" si="44"/>
        <v>#REF!</v>
      </c>
      <c r="D71" t="e">
        <f t="shared" si="45"/>
        <v>#REF!</v>
      </c>
      <c r="E71">
        <f t="shared" si="46"/>
        <v>721.51365177803677</v>
      </c>
      <c r="F71" t="e">
        <f t="shared" si="47"/>
        <v>#REF!</v>
      </c>
      <c r="G71" t="e">
        <f t="shared" si="48"/>
        <v>#REF!</v>
      </c>
      <c r="I71">
        <v>2027</v>
      </c>
      <c r="J71">
        <f>Speed!B10</f>
        <v>1.1400000000000001</v>
      </c>
      <c r="K71">
        <f>Temperature!B9</f>
        <v>0.9766666666666669</v>
      </c>
      <c r="L71">
        <f>Temperature!C9</f>
        <v>0.98366666666666691</v>
      </c>
      <c r="M71">
        <f t="shared" si="49"/>
        <v>1.0583333333333336</v>
      </c>
      <c r="N71">
        <f t="shared" si="55"/>
        <v>1.0618333333333334</v>
      </c>
      <c r="P71">
        <v>2027</v>
      </c>
      <c r="Q71">
        <f t="shared" si="50"/>
        <v>1297.1726410852718</v>
      </c>
      <c r="R71" t="e">
        <f t="shared" si="40"/>
        <v>#REF!</v>
      </c>
      <c r="S71" t="e">
        <f t="shared" si="40"/>
        <v>#REF!</v>
      </c>
      <c r="T71">
        <f t="shared" si="51"/>
        <v>679.49802396299174</v>
      </c>
      <c r="U71" t="e">
        <f t="shared" si="52"/>
        <v>#REF!</v>
      </c>
      <c r="V71" t="e">
        <f t="shared" si="53"/>
        <v>#REF!</v>
      </c>
      <c r="W71">
        <f t="shared" si="58"/>
        <v>895.68413995578976</v>
      </c>
      <c r="X71" t="e">
        <f t="shared" si="59"/>
        <v>#REF!</v>
      </c>
      <c r="Y71" t="e">
        <f t="shared" si="60"/>
        <v>#REF!</v>
      </c>
    </row>
    <row r="72" spans="1:45" x14ac:dyDescent="0.3">
      <c r="A72">
        <v>2028</v>
      </c>
      <c r="B72">
        <f t="shared" si="43"/>
        <v>1344.5861471014305</v>
      </c>
      <c r="C72" t="e">
        <f t="shared" si="44"/>
        <v>#REF!</v>
      </c>
      <c r="D72" t="e">
        <f t="shared" si="45"/>
        <v>#REF!</v>
      </c>
      <c r="E72">
        <f t="shared" si="46"/>
        <v>707.48576473745391</v>
      </c>
      <c r="F72" t="e">
        <f t="shared" si="47"/>
        <v>#REF!</v>
      </c>
      <c r="G72" t="e">
        <f t="shared" si="48"/>
        <v>#REF!</v>
      </c>
      <c r="I72">
        <v>2028</v>
      </c>
      <c r="J72">
        <f>Speed!B11</f>
        <v>1.1600000000000001</v>
      </c>
      <c r="K72">
        <f>Temperature!B10</f>
        <v>0.97333333333333361</v>
      </c>
      <c r="L72">
        <f>Temperature!C10</f>
        <v>0.98133333333333361</v>
      </c>
      <c r="M72">
        <f t="shared" si="49"/>
        <v>1.0666666666666669</v>
      </c>
      <c r="N72">
        <f t="shared" si="55"/>
        <v>1.0706666666666669</v>
      </c>
      <c r="P72">
        <v>2028</v>
      </c>
      <c r="Q72">
        <f t="shared" si="50"/>
        <v>1260.5495129075907</v>
      </c>
      <c r="R72" t="e">
        <f t="shared" si="40"/>
        <v>#REF!</v>
      </c>
      <c r="S72" t="e">
        <f t="shared" si="40"/>
        <v>#REF!</v>
      </c>
      <c r="T72">
        <f t="shared" si="51"/>
        <v>660.78994215826935</v>
      </c>
      <c r="U72" t="e">
        <f t="shared" si="52"/>
        <v>#REF!</v>
      </c>
      <c r="V72" t="e">
        <f t="shared" si="53"/>
        <v>#REF!</v>
      </c>
      <c r="W72">
        <f t="shared" si="58"/>
        <v>870.70579192053185</v>
      </c>
      <c r="X72" t="e">
        <f t="shared" si="59"/>
        <v>#REF!</v>
      </c>
      <c r="Y72" t="e">
        <f t="shared" si="60"/>
        <v>#REF!</v>
      </c>
    </row>
    <row r="73" spans="1:45" x14ac:dyDescent="0.3">
      <c r="A73">
        <v>2029</v>
      </c>
      <c r="B73">
        <f t="shared" si="43"/>
        <v>1317.096232357711</v>
      </c>
      <c r="C73" t="e">
        <f t="shared" si="44"/>
        <v>#REF!</v>
      </c>
      <c r="D73" t="e">
        <f t="shared" si="45"/>
        <v>#REF!</v>
      </c>
      <c r="E73">
        <f t="shared" si="46"/>
        <v>693.84684132294331</v>
      </c>
      <c r="F73" t="e">
        <f t="shared" si="47"/>
        <v>#REF!</v>
      </c>
      <c r="G73" t="e">
        <f t="shared" si="48"/>
        <v>#REF!</v>
      </c>
      <c r="I73">
        <v>2029</v>
      </c>
      <c r="J73">
        <f>Speed!B12</f>
        <v>1.1800000000000002</v>
      </c>
      <c r="K73">
        <f>Temperature!B11</f>
        <v>0.97000000000000031</v>
      </c>
      <c r="L73">
        <f>Temperature!C11</f>
        <v>0.97900000000000031</v>
      </c>
      <c r="M73">
        <f t="shared" si="49"/>
        <v>1.0750000000000002</v>
      </c>
      <c r="N73">
        <f t="shared" si="55"/>
        <v>1.0795000000000003</v>
      </c>
      <c r="P73">
        <v>2029</v>
      </c>
      <c r="Q73">
        <f t="shared" si="50"/>
        <v>1225.2057975420564</v>
      </c>
      <c r="R73" t="e">
        <f t="shared" si="40"/>
        <v>#REF!</v>
      </c>
      <c r="S73" t="e">
        <f t="shared" si="40"/>
        <v>#REF!</v>
      </c>
      <c r="T73">
        <f t="shared" si="51"/>
        <v>642.74834768220762</v>
      </c>
      <c r="U73" t="e">
        <f t="shared" si="52"/>
        <v>#REF!</v>
      </c>
      <c r="V73" t="e">
        <f t="shared" si="53"/>
        <v>#REF!</v>
      </c>
      <c r="W73">
        <f t="shared" si="58"/>
        <v>846.60845513315473</v>
      </c>
      <c r="X73" t="e">
        <f t="shared" si="59"/>
        <v>#REF!</v>
      </c>
      <c r="Y73" t="e">
        <f t="shared" si="60"/>
        <v>#REF!</v>
      </c>
      <c r="AB73" s="4" t="s">
        <v>152</v>
      </c>
      <c r="AC73" s="59">
        <v>2020</v>
      </c>
      <c r="AD73" s="59"/>
      <c r="AE73" s="59"/>
      <c r="AG73" s="59">
        <v>2030</v>
      </c>
      <c r="AH73" s="59"/>
      <c r="AI73" s="59"/>
      <c r="AK73" s="59">
        <v>2040</v>
      </c>
      <c r="AL73" s="59"/>
      <c r="AM73" s="59"/>
      <c r="AO73" s="59">
        <v>2050</v>
      </c>
      <c r="AP73" s="59"/>
      <c r="AQ73" s="59"/>
    </row>
    <row r="74" spans="1:45" x14ac:dyDescent="0.3">
      <c r="A74">
        <v>2030</v>
      </c>
      <c r="B74">
        <f t="shared" si="43"/>
        <v>1290.3499444077136</v>
      </c>
      <c r="C74" t="e">
        <f t="shared" si="44"/>
        <v>#REF!</v>
      </c>
      <c r="D74" t="e">
        <f t="shared" si="45"/>
        <v>#REF!</v>
      </c>
      <c r="E74">
        <f t="shared" si="46"/>
        <v>680.58585775294262</v>
      </c>
      <c r="F74" t="e">
        <f t="shared" si="47"/>
        <v>#REF!</v>
      </c>
      <c r="G74" t="e">
        <f t="shared" si="48"/>
        <v>#REF!</v>
      </c>
      <c r="I74">
        <v>2030</v>
      </c>
      <c r="J74">
        <f>Speed!B13</f>
        <v>1.2</v>
      </c>
      <c r="K74">
        <f>Temperature!B12</f>
        <v>0.96666666666666701</v>
      </c>
      <c r="L74">
        <f>Temperature!C12</f>
        <v>0.97666666666666702</v>
      </c>
      <c r="M74">
        <f t="shared" si="49"/>
        <v>1.0833333333333335</v>
      </c>
      <c r="N74">
        <f t="shared" si="55"/>
        <v>1.0883333333333334</v>
      </c>
      <c r="P74">
        <v>2030</v>
      </c>
      <c r="Q74">
        <f t="shared" si="50"/>
        <v>1191.0922563763509</v>
      </c>
      <c r="R74" t="e">
        <f t="shared" si="40"/>
        <v>#REF!</v>
      </c>
      <c r="S74" t="e">
        <f t="shared" si="40"/>
        <v>#REF!</v>
      </c>
      <c r="T74">
        <f t="shared" si="51"/>
        <v>625.34688308080479</v>
      </c>
      <c r="U74" t="e">
        <f t="shared" si="52"/>
        <v>#REF!</v>
      </c>
      <c r="V74" t="e">
        <f t="shared" si="53"/>
        <v>#REF!</v>
      </c>
      <c r="W74">
        <f t="shared" si="58"/>
        <v>823.35776373424596</v>
      </c>
      <c r="X74" t="e">
        <f t="shared" si="59"/>
        <v>#REF!</v>
      </c>
      <c r="Y74" t="e">
        <f t="shared" si="60"/>
        <v>#REF!</v>
      </c>
      <c r="AB74" t="s">
        <v>158</v>
      </c>
      <c r="AC74" t="s">
        <v>93</v>
      </c>
      <c r="AD74" t="s">
        <v>94</v>
      </c>
      <c r="AE74" t="s">
        <v>113</v>
      </c>
      <c r="AG74" t="s">
        <v>93</v>
      </c>
      <c r="AH74" t="s">
        <v>94</v>
      </c>
      <c r="AI74" t="s">
        <v>113</v>
      </c>
      <c r="AK74" t="s">
        <v>93</v>
      </c>
      <c r="AL74" t="s">
        <v>94</v>
      </c>
      <c r="AM74" t="s">
        <v>113</v>
      </c>
      <c r="AO74" t="s">
        <v>93</v>
      </c>
      <c r="AP74" t="s">
        <v>94</v>
      </c>
      <c r="AQ74" t="s">
        <v>113</v>
      </c>
    </row>
    <row r="75" spans="1:45" x14ac:dyDescent="0.3">
      <c r="A75">
        <v>2031</v>
      </c>
      <c r="B75">
        <f t="shared" si="43"/>
        <v>1264.326672941673</v>
      </c>
      <c r="C75" t="e">
        <f t="shared" si="44"/>
        <v>#REF!</v>
      </c>
      <c r="D75" t="e">
        <f t="shared" si="45"/>
        <v>#REF!</v>
      </c>
      <c r="E75">
        <f t="shared" si="46"/>
        <v>667.69218553747999</v>
      </c>
      <c r="F75" t="e">
        <f t="shared" si="47"/>
        <v>#REF!</v>
      </c>
      <c r="G75" t="e">
        <f t="shared" si="48"/>
        <v>#REF!</v>
      </c>
      <c r="I75">
        <v>2031</v>
      </c>
      <c r="J75">
        <f>Speed!B14</f>
        <v>1.22</v>
      </c>
      <c r="K75">
        <f>Temperature!B13</f>
        <v>0.96333333333333371</v>
      </c>
      <c r="L75">
        <f>Temperature!C13</f>
        <v>0.97433333333333372</v>
      </c>
      <c r="M75">
        <f t="shared" si="49"/>
        <v>1.0916666666666668</v>
      </c>
      <c r="N75">
        <f t="shared" si="55"/>
        <v>1.0971666666666668</v>
      </c>
      <c r="P75">
        <v>2031</v>
      </c>
      <c r="Q75">
        <f t="shared" si="50"/>
        <v>1158.1618378091659</v>
      </c>
      <c r="R75" t="e">
        <f t="shared" si="40"/>
        <v>#REF!</v>
      </c>
      <c r="S75" t="e">
        <f t="shared" si="40"/>
        <v>#REF!</v>
      </c>
      <c r="T75">
        <f t="shared" si="51"/>
        <v>608.56040000377936</v>
      </c>
      <c r="U75" t="e">
        <f t="shared" si="52"/>
        <v>#REF!</v>
      </c>
      <c r="V75" t="e">
        <f t="shared" si="53"/>
        <v>#REF!</v>
      </c>
      <c r="W75">
        <f t="shared" si="58"/>
        <v>800.92090323566458</v>
      </c>
      <c r="X75" t="e">
        <f t="shared" si="59"/>
        <v>#REF!</v>
      </c>
      <c r="Y75" t="e">
        <f t="shared" si="60"/>
        <v>#REF!</v>
      </c>
      <c r="AB75" t="s">
        <v>24</v>
      </c>
      <c r="AC75">
        <f>B15</f>
        <v>289.32455744755845</v>
      </c>
      <c r="AD75">
        <f>E15</f>
        <v>210.15748319602767</v>
      </c>
      <c r="AE75">
        <f>AC75*$K$3+AD75*$L$3</f>
        <v>285.36620373498187</v>
      </c>
      <c r="AF75" s="35"/>
      <c r="AI75">
        <f>AI81*AK13</f>
        <v>233.68812256639481</v>
      </c>
      <c r="AJ75" s="35"/>
      <c r="AM75">
        <f>AM81*AK15</f>
        <v>231.94231702464367</v>
      </c>
      <c r="AN75" s="35"/>
      <c r="AO75">
        <f>J15</f>
        <v>277.90377743541717</v>
      </c>
      <c r="AP75">
        <f>M15</f>
        <v>204.51520359439468</v>
      </c>
      <c r="AQ75">
        <f>AO75*$K$7+AP75*$L$7</f>
        <v>230.20120443875254</v>
      </c>
      <c r="AR75" s="35"/>
      <c r="AS75" t="s">
        <v>24</v>
      </c>
    </row>
    <row r="76" spans="1:45" x14ac:dyDescent="0.3">
      <c r="A76">
        <v>2032</v>
      </c>
      <c r="B76">
        <f t="shared" si="43"/>
        <v>1239.0065152456132</v>
      </c>
      <c r="C76" t="e">
        <f t="shared" si="44"/>
        <v>#REF!</v>
      </c>
      <c r="D76" t="e">
        <f t="shared" si="45"/>
        <v>#REF!</v>
      </c>
      <c r="E76">
        <f t="shared" si="46"/>
        <v>655.15557055620002</v>
      </c>
      <c r="F76" t="e">
        <f t="shared" si="47"/>
        <v>#REF!</v>
      </c>
      <c r="G76" t="e">
        <f t="shared" si="48"/>
        <v>#REF!</v>
      </c>
      <c r="I76">
        <v>2032</v>
      </c>
      <c r="J76">
        <f>Speed!B15</f>
        <v>1.24</v>
      </c>
      <c r="K76">
        <f>Temperature!B14</f>
        <v>0.96000000000000041</v>
      </c>
      <c r="L76">
        <f>Temperature!C14</f>
        <v>0.97200000000000042</v>
      </c>
      <c r="M76">
        <f t="shared" si="49"/>
        <v>1.1000000000000001</v>
      </c>
      <c r="N76">
        <f t="shared" si="55"/>
        <v>1.1060000000000003</v>
      </c>
      <c r="P76">
        <v>2032</v>
      </c>
      <c r="Q76">
        <f t="shared" si="50"/>
        <v>1126.3695593141938</v>
      </c>
      <c r="R76" t="e">
        <f t="shared" si="40"/>
        <v>#REF!</v>
      </c>
      <c r="S76" t="e">
        <f t="shared" si="40"/>
        <v>#REF!</v>
      </c>
      <c r="T76">
        <f t="shared" si="51"/>
        <v>592.36489200379731</v>
      </c>
      <c r="U76" t="e">
        <f t="shared" si="52"/>
        <v>#REF!</v>
      </c>
      <c r="V76" t="e">
        <f t="shared" si="53"/>
        <v>#REF!</v>
      </c>
      <c r="W76">
        <f t="shared" si="58"/>
        <v>779.26652556243607</v>
      </c>
      <c r="X76" t="e">
        <f t="shared" si="59"/>
        <v>#REF!</v>
      </c>
      <c r="Y76" t="e">
        <f t="shared" si="60"/>
        <v>#REF!</v>
      </c>
      <c r="AB76" t="s">
        <v>27</v>
      </c>
      <c r="AC76">
        <f>B16</f>
        <v>7.4529834827831047</v>
      </c>
      <c r="AD76">
        <f>E16</f>
        <v>3.5614086267786966</v>
      </c>
      <c r="AE76">
        <f t="shared" ref="AE76:AE80" si="61">AC76*$K$3+AD76*$L$3</f>
        <v>7.2584047399828844</v>
      </c>
      <c r="AF76" s="35"/>
      <c r="AI76">
        <f>AI81*AL13</f>
        <v>4.9178329379322339</v>
      </c>
      <c r="AJ76" s="35"/>
      <c r="AM76">
        <f>AM81*AL15</f>
        <v>4.4160247884441723</v>
      </c>
      <c r="AN76" s="35"/>
      <c r="AO76">
        <f>J16</f>
        <v>5.5445681018147885</v>
      </c>
      <c r="AP76">
        <f>M16</f>
        <v>3.0447303272628243</v>
      </c>
      <c r="AQ76">
        <f t="shared" ref="AQ76:AQ80" si="62">AO76*$K$7+AP76*$L$7</f>
        <v>3.9196735483560117</v>
      </c>
      <c r="AR76" s="35"/>
      <c r="AS76" t="s">
        <v>27</v>
      </c>
    </row>
    <row r="77" spans="1:45" x14ac:dyDescent="0.3">
      <c r="A77">
        <v>2033</v>
      </c>
      <c r="B77">
        <f t="shared" si="43"/>
        <v>1214.3702404419073</v>
      </c>
      <c r="C77" t="e">
        <f t="shared" si="44"/>
        <v>#REF!</v>
      </c>
      <c r="D77" t="e">
        <f t="shared" si="45"/>
        <v>#REF!</v>
      </c>
      <c r="E77">
        <f t="shared" si="46"/>
        <v>642.96611369384675</v>
      </c>
      <c r="F77" t="e">
        <f t="shared" si="47"/>
        <v>#REF!</v>
      </c>
      <c r="G77" t="e">
        <f t="shared" si="48"/>
        <v>#REF!</v>
      </c>
      <c r="I77">
        <v>2033</v>
      </c>
      <c r="J77">
        <f>Speed!B16</f>
        <v>1.26</v>
      </c>
      <c r="K77">
        <f>Temperature!B15</f>
        <v>0.95666666666666711</v>
      </c>
      <c r="L77">
        <f>Temperature!C15</f>
        <v>0.96966666666666712</v>
      </c>
      <c r="M77">
        <f t="shared" si="49"/>
        <v>1.1083333333333336</v>
      </c>
      <c r="N77">
        <f t="shared" si="55"/>
        <v>1.1148333333333336</v>
      </c>
      <c r="P77">
        <v>2033</v>
      </c>
      <c r="Q77">
        <f t="shared" si="50"/>
        <v>1095.6723973911942</v>
      </c>
      <c r="R77" t="e">
        <f t="shared" si="40"/>
        <v>#REF!</v>
      </c>
      <c r="S77" t="e">
        <f t="shared" si="40"/>
        <v>#REF!</v>
      </c>
      <c r="T77">
        <f t="shared" si="51"/>
        <v>576.73743192750476</v>
      </c>
      <c r="U77" t="e">
        <f t="shared" si="52"/>
        <v>#REF!</v>
      </c>
      <c r="V77" t="e">
        <f t="shared" si="53"/>
        <v>#REF!</v>
      </c>
      <c r="W77">
        <f t="shared" si="58"/>
        <v>758.36466983979608</v>
      </c>
      <c r="X77" t="e">
        <f t="shared" si="59"/>
        <v>#REF!</v>
      </c>
      <c r="Y77" t="e">
        <f t="shared" si="60"/>
        <v>#REF!</v>
      </c>
      <c r="AB77" t="s">
        <v>153</v>
      </c>
      <c r="AC77">
        <f>B17</f>
        <v>7.3350406200117497</v>
      </c>
      <c r="AD77">
        <f>E17</f>
        <v>1.9770847635982756</v>
      </c>
      <c r="AE77">
        <f t="shared" si="61"/>
        <v>7.0671428271910752</v>
      </c>
      <c r="AF77" s="35"/>
      <c r="AI77">
        <f>AI81*AM13</f>
        <v>4.4146876524706835</v>
      </c>
      <c r="AJ77" s="35"/>
      <c r="AM77">
        <f>AM81*AM15</f>
        <v>4.0221398186945665</v>
      </c>
      <c r="AN77" s="35"/>
      <c r="AO77">
        <f>J17</f>
        <v>7.5373944970273987</v>
      </c>
      <c r="AP77">
        <f>M17</f>
        <v>1.5319003268954634</v>
      </c>
      <c r="AQ77">
        <f t="shared" si="62"/>
        <v>3.6338232864416407</v>
      </c>
      <c r="AR77" s="35"/>
      <c r="AS77" t="s">
        <v>153</v>
      </c>
    </row>
    <row r="78" spans="1:45" x14ac:dyDescent="0.3">
      <c r="A78">
        <v>2034</v>
      </c>
      <c r="B78">
        <f t="shared" si="43"/>
        <v>1190.3992563128988</v>
      </c>
      <c r="C78" t="e">
        <f t="shared" si="44"/>
        <v>#REF!</v>
      </c>
      <c r="D78" t="e">
        <f t="shared" si="45"/>
        <v>#REF!</v>
      </c>
      <c r="E78">
        <f t="shared" si="46"/>
        <v>631.11425288955297</v>
      </c>
      <c r="F78" t="e">
        <f t="shared" si="47"/>
        <v>#REF!</v>
      </c>
      <c r="G78" t="e">
        <f t="shared" si="48"/>
        <v>#REF!</v>
      </c>
      <c r="I78">
        <v>2034</v>
      </c>
      <c r="J78">
        <f>Speed!B17</f>
        <v>1.28</v>
      </c>
      <c r="K78">
        <f>Temperature!B16</f>
        <v>0.95333333333333381</v>
      </c>
      <c r="L78">
        <f>Temperature!C16</f>
        <v>0.96733333333333382</v>
      </c>
      <c r="M78">
        <f t="shared" si="49"/>
        <v>1.1166666666666669</v>
      </c>
      <c r="N78">
        <f t="shared" si="55"/>
        <v>1.1236666666666668</v>
      </c>
      <c r="P78">
        <v>2034</v>
      </c>
      <c r="Q78">
        <f t="shared" si="50"/>
        <v>1066.0291847578196</v>
      </c>
      <c r="R78" t="e">
        <f t="shared" si="40"/>
        <v>#REF!</v>
      </c>
      <c r="S78" t="e">
        <f t="shared" si="40"/>
        <v>#REF!</v>
      </c>
      <c r="T78">
        <f t="shared" si="51"/>
        <v>561.65611351784594</v>
      </c>
      <c r="U78" t="e">
        <f t="shared" si="52"/>
        <v>#REF!</v>
      </c>
      <c r="V78" t="e">
        <f t="shared" si="53"/>
        <v>#REF!</v>
      </c>
      <c r="W78">
        <f t="shared" si="58"/>
        <v>738.18668845183674</v>
      </c>
      <c r="X78" t="e">
        <f t="shared" si="59"/>
        <v>#REF!</v>
      </c>
      <c r="Y78" t="e">
        <f t="shared" si="60"/>
        <v>#REF!</v>
      </c>
      <c r="AB78" t="s">
        <v>35</v>
      </c>
      <c r="AC78">
        <f>W29</f>
        <v>577.22834504918194</v>
      </c>
      <c r="AD78">
        <f>Z29</f>
        <v>238.07336201545527</v>
      </c>
      <c r="AE78">
        <f t="shared" si="61"/>
        <v>560.27059589749558</v>
      </c>
      <c r="AF78" s="35"/>
      <c r="AG78">
        <f>W39</f>
        <v>502.62709168904621</v>
      </c>
      <c r="AH78">
        <f>Z39</f>
        <v>197.08819420644841</v>
      </c>
      <c r="AI78">
        <f>AG78*$K$7+$L$7*AH78</f>
        <v>304.02680832535765</v>
      </c>
      <c r="AJ78" s="35"/>
      <c r="AK78">
        <f>W49</f>
        <v>446.67615166894439</v>
      </c>
      <c r="AL78">
        <f>Z49</f>
        <v>166.34931834969325</v>
      </c>
      <c r="AM78">
        <f>AK78*$K$7+$L$7*AL78</f>
        <v>264.46371001143115</v>
      </c>
      <c r="AN78" s="35"/>
      <c r="AO78">
        <f>W59</f>
        <v>403.15875387553086</v>
      </c>
      <c r="AP78">
        <f>Z59</f>
        <v>142.44130379443916</v>
      </c>
      <c r="AQ78">
        <f t="shared" si="62"/>
        <v>233.69241132282127</v>
      </c>
      <c r="AR78" s="35"/>
      <c r="AS78" t="s">
        <v>35</v>
      </c>
    </row>
    <row r="79" spans="1:45" x14ac:dyDescent="0.3">
      <c r="A79">
        <v>2035</v>
      </c>
      <c r="B79">
        <f t="shared" si="43"/>
        <v>1167.0755784736816</v>
      </c>
      <c r="C79" t="e">
        <f t="shared" si="44"/>
        <v>#REF!</v>
      </c>
      <c r="D79" t="e">
        <f t="shared" si="45"/>
        <v>#REF!</v>
      </c>
      <c r="E79">
        <f t="shared" si="46"/>
        <v>619.5907464715275</v>
      </c>
      <c r="F79" t="e">
        <f t="shared" si="47"/>
        <v>#REF!</v>
      </c>
      <c r="G79" t="e">
        <f t="shared" si="48"/>
        <v>#REF!</v>
      </c>
      <c r="I79">
        <v>2035</v>
      </c>
      <c r="J79">
        <f>Speed!B18</f>
        <v>1.3</v>
      </c>
      <c r="K79">
        <f>Temperature!B17</f>
        <v>0.95000000000000051</v>
      </c>
      <c r="L79">
        <f>Temperature!C17</f>
        <v>0.96500000000000052</v>
      </c>
      <c r="M79">
        <f t="shared" si="49"/>
        <v>1.1250000000000002</v>
      </c>
      <c r="N79">
        <f t="shared" si="55"/>
        <v>1.1325000000000003</v>
      </c>
      <c r="P79">
        <v>2035</v>
      </c>
      <c r="Q79">
        <f t="shared" si="50"/>
        <v>1037.400514198828</v>
      </c>
      <c r="R79" t="e">
        <f t="shared" si="40"/>
        <v>#REF!</v>
      </c>
      <c r="S79" t="e">
        <f t="shared" si="40"/>
        <v>#REF!</v>
      </c>
      <c r="T79">
        <f t="shared" si="51"/>
        <v>547.09999688435084</v>
      </c>
      <c r="U79" t="e">
        <f t="shared" si="52"/>
        <v>#REF!</v>
      </c>
      <c r="V79" t="e">
        <f t="shared" si="53"/>
        <v>#REF!</v>
      </c>
      <c r="W79">
        <f t="shared" si="58"/>
        <v>718.70517794441776</v>
      </c>
      <c r="X79" t="e">
        <f t="shared" si="59"/>
        <v>#REF!</v>
      </c>
      <c r="Y79" t="e">
        <f t="shared" si="60"/>
        <v>#REF!</v>
      </c>
      <c r="AB79" t="s">
        <v>45</v>
      </c>
      <c r="AC79">
        <f>B19</f>
        <v>141.29850703708044</v>
      </c>
      <c r="AD79">
        <f>E19</f>
        <v>95.569910203623081</v>
      </c>
      <c r="AE79">
        <f t="shared" si="61"/>
        <v>139.01207719540758</v>
      </c>
      <c r="AF79" s="35"/>
      <c r="AI79">
        <f>AI81*AN13</f>
        <v>113.15602492572069</v>
      </c>
      <c r="AJ79" s="35"/>
      <c r="AM79">
        <f>AM81*AN15</f>
        <v>113.75614711413454</v>
      </c>
      <c r="AN79" s="35"/>
      <c r="AO79">
        <f>J19</f>
        <v>136.24844698721574</v>
      </c>
      <c r="AP79">
        <f>M19</f>
        <v>102.54604875421539</v>
      </c>
      <c r="AQ79">
        <f t="shared" si="62"/>
        <v>114.34188813576552</v>
      </c>
      <c r="AR79" s="35"/>
      <c r="AS79" t="s">
        <v>45</v>
      </c>
    </row>
    <row r="80" spans="1:45" x14ac:dyDescent="0.3">
      <c r="A80">
        <v>2036</v>
      </c>
      <c r="B80">
        <f t="shared" si="43"/>
        <v>1144.3818016846012</v>
      </c>
      <c r="C80" t="e">
        <f t="shared" si="44"/>
        <v>#REF!</v>
      </c>
      <c r="D80" t="e">
        <f t="shared" si="45"/>
        <v>#REF!</v>
      </c>
      <c r="E80">
        <f t="shared" si="46"/>
        <v>608.3866576621781</v>
      </c>
      <c r="F80" t="e">
        <f t="shared" si="47"/>
        <v>#REF!</v>
      </c>
      <c r="G80" t="e">
        <f t="shared" si="48"/>
        <v>#REF!</v>
      </c>
      <c r="I80">
        <v>2036</v>
      </c>
      <c r="J80">
        <f>Speed!B19</f>
        <v>1.32</v>
      </c>
      <c r="K80">
        <f>Temperature!B18</f>
        <v>0.94666666666666721</v>
      </c>
      <c r="L80">
        <f>Temperature!C18</f>
        <v>0.96266666666666723</v>
      </c>
      <c r="M80">
        <f t="shared" si="49"/>
        <v>1.1333333333333337</v>
      </c>
      <c r="N80">
        <f t="shared" si="55"/>
        <v>1.1413333333333338</v>
      </c>
      <c r="P80">
        <v>2036</v>
      </c>
      <c r="Q80">
        <f t="shared" si="50"/>
        <v>1009.7486485452361</v>
      </c>
      <c r="R80" t="e">
        <f t="shared" ref="R80:R94" si="63">C80/$M80</f>
        <v>#REF!</v>
      </c>
      <c r="S80" t="e">
        <f t="shared" ref="S80:S94" si="64">D80/$M80</f>
        <v>#REF!</v>
      </c>
      <c r="T80">
        <f t="shared" si="51"/>
        <v>533.04905753111382</v>
      </c>
      <c r="U80" t="e">
        <f t="shared" si="52"/>
        <v>#REF!</v>
      </c>
      <c r="V80" t="e">
        <f t="shared" si="53"/>
        <v>#REF!</v>
      </c>
      <c r="W80">
        <f t="shared" si="58"/>
        <v>699.89391438605662</v>
      </c>
      <c r="X80" t="e">
        <f t="shared" si="59"/>
        <v>#REF!</v>
      </c>
      <c r="Y80" t="e">
        <f t="shared" si="60"/>
        <v>#REF!</v>
      </c>
      <c r="AB80" t="s">
        <v>154</v>
      </c>
      <c r="AC80">
        <f>Q29</f>
        <v>514.74768857110769</v>
      </c>
      <c r="AD80">
        <f>T29</f>
        <v>254.30403003340331</v>
      </c>
      <c r="AE80">
        <f t="shared" si="61"/>
        <v>501.72550564422244</v>
      </c>
      <c r="AF80" s="35"/>
      <c r="AG80">
        <f>Q39</f>
        <v>348.37073131988632</v>
      </c>
      <c r="AH80">
        <f>T39</f>
        <v>172.10777801888653</v>
      </c>
      <c r="AI80">
        <f t="shared" ref="AI80:AI81" si="65">AG80*$K$7+$L$7*AH80</f>
        <v>233.79981167423645</v>
      </c>
      <c r="AJ80" s="35"/>
      <c r="AK80">
        <f>Q49</f>
        <v>179.60711597851315</v>
      </c>
      <c r="AL80">
        <f>T49</f>
        <v>88.732430334562437</v>
      </c>
      <c r="AM80">
        <f t="shared" ref="AM80:AM81" si="66">AK80*$K$7+$L$7*AL80</f>
        <v>120.53857030994519</v>
      </c>
      <c r="AN80" s="35"/>
      <c r="AO80">
        <f>Q59</f>
        <v>53.846815874169629</v>
      </c>
      <c r="AP80">
        <f>T59</f>
        <v>26.602280273039717</v>
      </c>
      <c r="AQ80">
        <f t="shared" si="62"/>
        <v>36.137867733435186</v>
      </c>
      <c r="AR80" s="35"/>
      <c r="AS80" t="s">
        <v>154</v>
      </c>
    </row>
    <row r="81" spans="1:45" x14ac:dyDescent="0.3">
      <c r="A81">
        <v>2037</v>
      </c>
      <c r="B81">
        <f t="shared" si="43"/>
        <v>1122.3010731156612</v>
      </c>
      <c r="C81" t="e">
        <f t="shared" si="44"/>
        <v>#REF!</v>
      </c>
      <c r="D81" t="e">
        <f t="shared" si="45"/>
        <v>#REF!</v>
      </c>
      <c r="E81">
        <f t="shared" si="46"/>
        <v>597.49334015057298</v>
      </c>
      <c r="F81" t="e">
        <f t="shared" si="47"/>
        <v>#REF!</v>
      </c>
      <c r="G81" t="e">
        <f t="shared" si="48"/>
        <v>#REF!</v>
      </c>
      <c r="I81">
        <v>2037</v>
      </c>
      <c r="J81">
        <f>Speed!B20</f>
        <v>1.34</v>
      </c>
      <c r="K81">
        <f>Temperature!B19</f>
        <v>0.94333333333333391</v>
      </c>
      <c r="L81">
        <f>Temperature!C19</f>
        <v>0.96033333333333393</v>
      </c>
      <c r="M81">
        <f t="shared" si="49"/>
        <v>1.1416666666666671</v>
      </c>
      <c r="N81">
        <f t="shared" si="55"/>
        <v>1.150166666666667</v>
      </c>
      <c r="P81">
        <v>2037</v>
      </c>
      <c r="Q81">
        <f t="shared" si="50"/>
        <v>983.03743630568829</v>
      </c>
      <c r="R81" t="e">
        <f t="shared" si="63"/>
        <v>#REF!</v>
      </c>
      <c r="S81" t="e">
        <f t="shared" si="64"/>
        <v>#REF!</v>
      </c>
      <c r="T81">
        <f t="shared" si="51"/>
        <v>519.48413866156159</v>
      </c>
      <c r="U81" t="e">
        <f t="shared" si="52"/>
        <v>#REF!</v>
      </c>
      <c r="V81" t="e">
        <f t="shared" si="53"/>
        <v>#REF!</v>
      </c>
      <c r="W81">
        <f t="shared" si="58"/>
        <v>681.72779283700595</v>
      </c>
      <c r="X81" t="e">
        <f t="shared" si="59"/>
        <v>#REF!</v>
      </c>
      <c r="Y81" t="e">
        <f t="shared" si="60"/>
        <v>#REF!</v>
      </c>
      <c r="AB81" t="s">
        <v>157</v>
      </c>
      <c r="AG81">
        <f>AC39</f>
        <v>439.35212139878104</v>
      </c>
      <c r="AH81">
        <f>AF39</f>
        <v>311.3898855276077</v>
      </c>
      <c r="AI81">
        <f t="shared" si="65"/>
        <v>356.1766680825184</v>
      </c>
      <c r="AK81">
        <f>AC49</f>
        <v>433.29315421012836</v>
      </c>
      <c r="AL81">
        <f>AF49</f>
        <v>311.5138842651877</v>
      </c>
      <c r="AM81">
        <f t="shared" si="66"/>
        <v>354.13662874591694</v>
      </c>
      <c r="AS81" t="s">
        <v>157</v>
      </c>
    </row>
    <row r="82" spans="1:45" x14ac:dyDescent="0.3">
      <c r="A82">
        <v>2038</v>
      </c>
      <c r="B82">
        <f t="shared" si="43"/>
        <v>1100.8170673941231</v>
      </c>
      <c r="C82" t="e">
        <f t="shared" si="44"/>
        <v>#REF!</v>
      </c>
      <c r="D82" t="e">
        <f t="shared" si="45"/>
        <v>#REF!</v>
      </c>
      <c r="E82">
        <f t="shared" si="46"/>
        <v>586.90242463965001</v>
      </c>
      <c r="F82" t="e">
        <f t="shared" si="47"/>
        <v>#REF!</v>
      </c>
      <c r="G82" t="e">
        <f t="shared" si="48"/>
        <v>#REF!</v>
      </c>
      <c r="I82">
        <v>2038</v>
      </c>
      <c r="J82">
        <f>Speed!B21</f>
        <v>1.36</v>
      </c>
      <c r="K82">
        <f>Temperature!B20</f>
        <v>0.94000000000000061</v>
      </c>
      <c r="L82">
        <f>Temperature!C20</f>
        <v>0.95800000000000063</v>
      </c>
      <c r="M82">
        <f t="shared" si="49"/>
        <v>1.1500000000000004</v>
      </c>
      <c r="N82">
        <f t="shared" si="55"/>
        <v>1.1590000000000003</v>
      </c>
      <c r="P82">
        <v>2038</v>
      </c>
      <c r="Q82">
        <f t="shared" si="50"/>
        <v>957.23223251662853</v>
      </c>
      <c r="R82" t="e">
        <f t="shared" si="63"/>
        <v>#REF!</v>
      </c>
      <c r="S82" t="e">
        <f t="shared" si="64"/>
        <v>#REF!</v>
      </c>
      <c r="T82">
        <f t="shared" si="51"/>
        <v>506.38690650530617</v>
      </c>
      <c r="U82" t="e">
        <f t="shared" si="52"/>
        <v>#REF!</v>
      </c>
      <c r="V82" t="e">
        <f t="shared" si="53"/>
        <v>#REF!</v>
      </c>
      <c r="W82">
        <f t="shared" si="58"/>
        <v>664.18277060926903</v>
      </c>
      <c r="X82" t="e">
        <f t="shared" si="59"/>
        <v>#REF!</v>
      </c>
      <c r="Y82" t="e">
        <f t="shared" si="60"/>
        <v>#REF!</v>
      </c>
      <c r="AE82">
        <f>SUM(AE75:AE80)</f>
        <v>1500.6999300392815</v>
      </c>
      <c r="AI82">
        <f>SUM(AI75:AI80)</f>
        <v>894.00328808211248</v>
      </c>
      <c r="AM82">
        <f>SUM(AM75:AM80)</f>
        <v>739.13890906729318</v>
      </c>
      <c r="AQ82">
        <f>SUM(AQ75:AQ80)</f>
        <v>621.92686846557217</v>
      </c>
    </row>
    <row r="83" spans="1:45" x14ac:dyDescent="0.3">
      <c r="A83">
        <v>2039</v>
      </c>
      <c r="B83">
        <f t="shared" si="43"/>
        <v>1079.9139632835522</v>
      </c>
      <c r="C83" t="e">
        <f t="shared" si="44"/>
        <v>#REF!</v>
      </c>
      <c r="D83" t="e">
        <f t="shared" si="45"/>
        <v>#REF!</v>
      </c>
      <c r="E83">
        <f t="shared" si="46"/>
        <v>576.60580628489197</v>
      </c>
      <c r="F83" t="e">
        <f t="shared" si="47"/>
        <v>#REF!</v>
      </c>
      <c r="G83" t="e">
        <f t="shared" si="48"/>
        <v>#REF!</v>
      </c>
      <c r="I83">
        <v>2039</v>
      </c>
      <c r="J83">
        <f>Speed!B22</f>
        <v>1.3800000000000001</v>
      </c>
      <c r="K83">
        <f>Temperature!B21</f>
        <v>0.93666666666666731</v>
      </c>
      <c r="L83">
        <f>Temperature!C21</f>
        <v>0.95566666666666733</v>
      </c>
      <c r="M83">
        <f t="shared" si="49"/>
        <v>1.1583333333333337</v>
      </c>
      <c r="N83">
        <f t="shared" si="55"/>
        <v>1.1678333333333337</v>
      </c>
      <c r="P83">
        <v>2039</v>
      </c>
      <c r="Q83">
        <f t="shared" si="50"/>
        <v>932.29982441745494</v>
      </c>
      <c r="R83" t="e">
        <f t="shared" si="63"/>
        <v>#REF!</v>
      </c>
      <c r="S83" t="e">
        <f t="shared" si="64"/>
        <v>#REF!</v>
      </c>
      <c r="T83">
        <f t="shared" si="51"/>
        <v>493.7398084357572</v>
      </c>
      <c r="U83" t="e">
        <f t="shared" si="52"/>
        <v>#REF!</v>
      </c>
      <c r="V83" t="e">
        <f t="shared" si="53"/>
        <v>#REF!</v>
      </c>
      <c r="W83">
        <f t="shared" si="58"/>
        <v>647.23581402935133</v>
      </c>
      <c r="X83" t="e">
        <f t="shared" si="59"/>
        <v>#REF!</v>
      </c>
      <c r="Y83" t="e">
        <f t="shared" si="60"/>
        <v>#REF!</v>
      </c>
    </row>
    <row r="84" spans="1:45" x14ac:dyDescent="0.3">
      <c r="A84">
        <v>2040</v>
      </c>
      <c r="B84">
        <f t="shared" si="43"/>
        <v>1059.576421857586</v>
      </c>
      <c r="C84" t="e">
        <f t="shared" si="44"/>
        <v>#REF!</v>
      </c>
      <c r="D84" t="e">
        <f t="shared" si="45"/>
        <v>#REF!</v>
      </c>
      <c r="E84">
        <f t="shared" si="46"/>
        <v>566.59563294944337</v>
      </c>
      <c r="F84" t="e">
        <f t="shared" si="47"/>
        <v>#REF!</v>
      </c>
      <c r="G84" t="e">
        <f t="shared" si="48"/>
        <v>#REF!</v>
      </c>
      <c r="I84">
        <v>2040</v>
      </c>
      <c r="J84">
        <f>Speed!B23</f>
        <v>1.4000000000000001</v>
      </c>
      <c r="K84">
        <f>Temperature!B22</f>
        <v>0.93333333333333401</v>
      </c>
      <c r="L84">
        <f>Temperature!C22</f>
        <v>0.95333333333333403</v>
      </c>
      <c r="M84">
        <f t="shared" si="49"/>
        <v>1.166666666666667</v>
      </c>
      <c r="N84">
        <f t="shared" si="55"/>
        <v>1.1766666666666672</v>
      </c>
      <c r="P84">
        <v>2040</v>
      </c>
      <c r="Q84">
        <f t="shared" si="50"/>
        <v>908.20836159221631</v>
      </c>
      <c r="R84" t="e">
        <f t="shared" si="63"/>
        <v>#REF!</v>
      </c>
      <c r="S84" t="e">
        <f t="shared" si="64"/>
        <v>#REF!</v>
      </c>
      <c r="T84">
        <f t="shared" si="51"/>
        <v>481.52603366808199</v>
      </c>
      <c r="U84" t="e">
        <f t="shared" si="52"/>
        <v>#REF!</v>
      </c>
      <c r="V84" t="e">
        <f t="shared" si="53"/>
        <v>#REF!</v>
      </c>
      <c r="W84">
        <f t="shared" si="58"/>
        <v>630.86484844152892</v>
      </c>
      <c r="X84" t="e">
        <f t="shared" si="59"/>
        <v>#REF!</v>
      </c>
      <c r="Y84" t="e">
        <f t="shared" si="60"/>
        <v>#REF!</v>
      </c>
    </row>
    <row r="85" spans="1:45" x14ac:dyDescent="0.3">
      <c r="A85">
        <v>2041</v>
      </c>
      <c r="B85">
        <f t="shared" si="43"/>
        <v>1039.7895660450883</v>
      </c>
      <c r="C85" t="e">
        <f t="shared" si="44"/>
        <v>#REF!</v>
      </c>
      <c r="D85" t="e">
        <f t="shared" si="45"/>
        <v>#REF!</v>
      </c>
      <c r="E85">
        <f t="shared" si="46"/>
        <v>556.86429420799664</v>
      </c>
      <c r="F85" t="e">
        <f t="shared" si="47"/>
        <v>#REF!</v>
      </c>
      <c r="G85" t="e">
        <f t="shared" si="48"/>
        <v>#REF!</v>
      </c>
      <c r="I85">
        <v>2041</v>
      </c>
      <c r="J85">
        <f>Speed!B24</f>
        <v>1.4200000000000002</v>
      </c>
      <c r="K85">
        <f>Temperature!B23</f>
        <v>0.93000000000000071</v>
      </c>
      <c r="L85">
        <f>Temperature!C23</f>
        <v>0.95100000000000073</v>
      </c>
      <c r="M85">
        <f t="shared" si="49"/>
        <v>1.1750000000000005</v>
      </c>
      <c r="N85">
        <f t="shared" si="55"/>
        <v>1.1855000000000004</v>
      </c>
      <c r="P85">
        <v>2041</v>
      </c>
      <c r="Q85">
        <f t="shared" si="50"/>
        <v>884.92729025113863</v>
      </c>
      <c r="R85" t="e">
        <f t="shared" si="63"/>
        <v>#REF!</v>
      </c>
      <c r="S85" t="e">
        <f t="shared" si="64"/>
        <v>#REF!</v>
      </c>
      <c r="T85">
        <f t="shared" si="51"/>
        <v>469.72947634584261</v>
      </c>
      <c r="U85" t="e">
        <f t="shared" si="52"/>
        <v>#REF!</v>
      </c>
      <c r="V85" t="e">
        <f t="shared" si="53"/>
        <v>#REF!</v>
      </c>
      <c r="W85">
        <f t="shared" si="58"/>
        <v>615.04871121269616</v>
      </c>
      <c r="X85" t="e">
        <f t="shared" si="59"/>
        <v>#REF!</v>
      </c>
      <c r="Y85" t="e">
        <f t="shared" si="60"/>
        <v>#REF!</v>
      </c>
    </row>
    <row r="86" spans="1:45" x14ac:dyDescent="0.3">
      <c r="A86">
        <v>2042</v>
      </c>
      <c r="B86">
        <f t="shared" si="43"/>
        <v>1020.5389614352529</v>
      </c>
      <c r="C86" t="e">
        <f t="shared" si="44"/>
        <v>#REF!</v>
      </c>
      <c r="D86" t="e">
        <f t="shared" si="45"/>
        <v>#REF!</v>
      </c>
      <c r="E86">
        <f t="shared" si="46"/>
        <v>547.40441103830983</v>
      </c>
      <c r="F86" t="e">
        <f t="shared" si="47"/>
        <v>#REF!</v>
      </c>
      <c r="G86" t="e">
        <f t="shared" si="48"/>
        <v>#REF!</v>
      </c>
      <c r="I86">
        <v>2042</v>
      </c>
      <c r="J86">
        <f>Speed!B25</f>
        <v>1.4400000000000002</v>
      </c>
      <c r="K86">
        <f>Temperature!B24</f>
        <v>0.92666666666666742</v>
      </c>
      <c r="L86">
        <f>Temperature!C24</f>
        <v>0.94866666666666744</v>
      </c>
      <c r="M86">
        <f t="shared" si="49"/>
        <v>1.1833333333333338</v>
      </c>
      <c r="N86">
        <f t="shared" si="55"/>
        <v>1.1943333333333337</v>
      </c>
      <c r="P86">
        <v>2042</v>
      </c>
      <c r="Q86">
        <f t="shared" si="50"/>
        <v>862.42729135373452</v>
      </c>
      <c r="R86" t="e">
        <f t="shared" si="63"/>
        <v>#REF!</v>
      </c>
      <c r="S86" t="e">
        <f t="shared" si="64"/>
        <v>#REF!</v>
      </c>
      <c r="T86">
        <f t="shared" si="51"/>
        <v>458.33470084145381</v>
      </c>
      <c r="U86" t="e">
        <f t="shared" si="52"/>
        <v>#REF!</v>
      </c>
      <c r="V86" t="e">
        <f t="shared" si="53"/>
        <v>#REF!</v>
      </c>
      <c r="W86">
        <f t="shared" si="58"/>
        <v>599.76710752075201</v>
      </c>
      <c r="X86" t="e">
        <f t="shared" si="59"/>
        <v>#REF!</v>
      </c>
      <c r="Y86" t="e">
        <f t="shared" si="60"/>
        <v>#REF!</v>
      </c>
      <c r="AB86" s="4"/>
      <c r="AC86" s="59">
        <v>2025</v>
      </c>
      <c r="AD86" s="59"/>
      <c r="AE86" s="59"/>
      <c r="AG86" s="59">
        <v>2035</v>
      </c>
      <c r="AH86" s="59"/>
      <c r="AI86" s="59"/>
      <c r="AK86" s="59">
        <v>2045</v>
      </c>
      <c r="AL86" s="59"/>
      <c r="AM86" s="59"/>
      <c r="AO86" s="59"/>
      <c r="AP86" s="59"/>
      <c r="AQ86" s="59"/>
    </row>
    <row r="87" spans="1:45" x14ac:dyDescent="0.3">
      <c r="A87">
        <v>2043</v>
      </c>
      <c r="B87">
        <f t="shared" si="43"/>
        <v>1001.8105982418415</v>
      </c>
      <c r="C87" t="e">
        <f t="shared" si="44"/>
        <v>#REF!</v>
      </c>
      <c r="D87" t="e">
        <f t="shared" si="45"/>
        <v>#REF!</v>
      </c>
      <c r="E87">
        <f t="shared" si="46"/>
        <v>538.20882614505445</v>
      </c>
      <c r="F87" t="e">
        <f t="shared" si="47"/>
        <v>#REF!</v>
      </c>
      <c r="G87" t="e">
        <f t="shared" si="48"/>
        <v>#REF!</v>
      </c>
      <c r="I87">
        <v>2043</v>
      </c>
      <c r="J87">
        <f>Speed!B26</f>
        <v>1.4600000000000002</v>
      </c>
      <c r="K87">
        <f>Temperature!B25</f>
        <v>0.92333333333333412</v>
      </c>
      <c r="L87">
        <f>Temperature!C25</f>
        <v>0.94633333333333414</v>
      </c>
      <c r="M87">
        <f t="shared" si="49"/>
        <v>1.1916666666666671</v>
      </c>
      <c r="N87">
        <f t="shared" si="55"/>
        <v>1.2031666666666672</v>
      </c>
      <c r="P87">
        <v>2043</v>
      </c>
      <c r="Q87">
        <f t="shared" si="50"/>
        <v>840.68022230084568</v>
      </c>
      <c r="R87" t="e">
        <f t="shared" si="63"/>
        <v>#REF!</v>
      </c>
      <c r="S87" t="e">
        <f t="shared" si="64"/>
        <v>#REF!</v>
      </c>
      <c r="T87">
        <f t="shared" si="51"/>
        <v>447.32690911072524</v>
      </c>
      <c r="U87" t="e">
        <f t="shared" si="52"/>
        <v>#REF!</v>
      </c>
      <c r="V87" t="e">
        <f t="shared" si="53"/>
        <v>#REF!</v>
      </c>
      <c r="W87">
        <f t="shared" si="58"/>
        <v>585.00056872726736</v>
      </c>
      <c r="X87" t="e">
        <f t="shared" si="59"/>
        <v>#REF!</v>
      </c>
      <c r="Y87" t="e">
        <f t="shared" si="60"/>
        <v>#REF!</v>
      </c>
      <c r="AB87" t="s">
        <v>158</v>
      </c>
      <c r="AC87" t="s">
        <v>93</v>
      </c>
      <c r="AD87" t="s">
        <v>94</v>
      </c>
      <c r="AE87" t="s">
        <v>113</v>
      </c>
      <c r="AG87" t="s">
        <v>93</v>
      </c>
      <c r="AH87" t="s">
        <v>94</v>
      </c>
      <c r="AI87" t="s">
        <v>113</v>
      </c>
      <c r="AK87" t="s">
        <v>93</v>
      </c>
      <c r="AL87" t="s">
        <v>94</v>
      </c>
      <c r="AM87" t="s">
        <v>113</v>
      </c>
    </row>
    <row r="88" spans="1:45" x14ac:dyDescent="0.3">
      <c r="A88">
        <v>2044</v>
      </c>
      <c r="B88">
        <f t="shared" si="43"/>
        <v>983.59087433522882</v>
      </c>
      <c r="C88" t="e">
        <f t="shared" si="44"/>
        <v>#REF!</v>
      </c>
      <c r="D88" t="e">
        <f t="shared" si="45"/>
        <v>#REF!</v>
      </c>
      <c r="E88">
        <f t="shared" si="46"/>
        <v>529.27059486590053</v>
      </c>
      <c r="F88" t="e">
        <f t="shared" si="47"/>
        <v>#REF!</v>
      </c>
      <c r="G88" t="e">
        <f t="shared" si="48"/>
        <v>#REF!</v>
      </c>
      <c r="I88">
        <v>2044</v>
      </c>
      <c r="J88">
        <f>Speed!B27</f>
        <v>1.4800000000000002</v>
      </c>
      <c r="K88">
        <f>Temperature!B26</f>
        <v>0.92000000000000082</v>
      </c>
      <c r="L88">
        <f>Temperature!C26</f>
        <v>0.94400000000000084</v>
      </c>
      <c r="M88">
        <f t="shared" si="49"/>
        <v>1.2000000000000006</v>
      </c>
      <c r="N88">
        <f t="shared" si="55"/>
        <v>1.2120000000000006</v>
      </c>
      <c r="P88">
        <v>2044</v>
      </c>
      <c r="Q88">
        <f t="shared" si="50"/>
        <v>819.6590619460236</v>
      </c>
      <c r="R88" t="e">
        <f t="shared" si="63"/>
        <v>#REF!</v>
      </c>
      <c r="S88" t="e">
        <f t="shared" si="64"/>
        <v>#REF!</v>
      </c>
      <c r="T88">
        <f t="shared" si="51"/>
        <v>436.69190995536326</v>
      </c>
      <c r="U88" t="e">
        <f t="shared" si="52"/>
        <v>#REF!</v>
      </c>
      <c r="V88" t="e">
        <f t="shared" si="53"/>
        <v>#REF!</v>
      </c>
      <c r="W88">
        <f t="shared" si="58"/>
        <v>570.73041315209434</v>
      </c>
      <c r="X88" t="e">
        <f t="shared" si="59"/>
        <v>#REF!</v>
      </c>
      <c r="Y88" t="e">
        <f t="shared" si="60"/>
        <v>#REF!</v>
      </c>
      <c r="AB88" t="s">
        <v>24</v>
      </c>
      <c r="AE88">
        <f>AE94*AK12</f>
        <v>234.56278519571774</v>
      </c>
      <c r="AF88" s="35"/>
      <c r="AI88">
        <f>$AI$94*AK14</f>
        <v>232.81463317603675</v>
      </c>
      <c r="AJ88" s="35"/>
      <c r="AM88">
        <f>AM94*AK16</f>
        <v>231.07117411221552</v>
      </c>
      <c r="AN88" s="35"/>
      <c r="AO88" t="s">
        <v>24</v>
      </c>
      <c r="AR88" s="35"/>
    </row>
    <row r="89" spans="1:45" x14ac:dyDescent="0.3">
      <c r="A89">
        <v>2045</v>
      </c>
      <c r="B89">
        <f t="shared" si="43"/>
        <v>965.8665792594004</v>
      </c>
      <c r="C89" t="e">
        <f t="shared" si="44"/>
        <v>#REF!</v>
      </c>
      <c r="D89" t="e">
        <f t="shared" si="45"/>
        <v>#REF!</v>
      </c>
      <c r="E89">
        <f t="shared" si="46"/>
        <v>520.58297661440247</v>
      </c>
      <c r="F89" t="e">
        <f t="shared" si="47"/>
        <v>#REF!</v>
      </c>
      <c r="G89" t="e">
        <f t="shared" si="48"/>
        <v>#REF!</v>
      </c>
      <c r="I89">
        <v>2045</v>
      </c>
      <c r="J89">
        <f>Speed!B28</f>
        <v>1.5000000000000002</v>
      </c>
      <c r="K89">
        <f>Temperature!B27</f>
        <v>0.91666666666666752</v>
      </c>
      <c r="L89">
        <f>Temperature!C27</f>
        <v>0.94166666666666754</v>
      </c>
      <c r="M89">
        <f t="shared" si="49"/>
        <v>1.2083333333333339</v>
      </c>
      <c r="N89">
        <f t="shared" si="55"/>
        <v>1.2208333333333339</v>
      </c>
      <c r="P89">
        <v>2045</v>
      </c>
      <c r="Q89">
        <f t="shared" si="50"/>
        <v>799.3378586974344</v>
      </c>
      <c r="R89" t="e">
        <f t="shared" si="63"/>
        <v>#REF!</v>
      </c>
      <c r="S89" t="e">
        <f t="shared" si="64"/>
        <v>#REF!</v>
      </c>
      <c r="T89">
        <f t="shared" si="51"/>
        <v>426.41609005957861</v>
      </c>
      <c r="U89" t="e">
        <f t="shared" si="52"/>
        <v>#REF!</v>
      </c>
      <c r="V89" t="e">
        <f t="shared" si="53"/>
        <v>#REF!</v>
      </c>
      <c r="W89">
        <f t="shared" si="58"/>
        <v>556.93870908282815</v>
      </c>
      <c r="X89" t="e">
        <f t="shared" si="59"/>
        <v>#REF!</v>
      </c>
      <c r="Y89" t="e">
        <f t="shared" si="60"/>
        <v>#REF!</v>
      </c>
      <c r="AB89" t="s">
        <v>27</v>
      </c>
      <c r="AE89">
        <f>AE94*AL12</f>
        <v>5.1707833537012258</v>
      </c>
      <c r="AF89" s="35"/>
      <c r="AI89">
        <f>AI94*AL14</f>
        <v>4.6662467495132161</v>
      </c>
      <c r="AJ89" s="35"/>
      <c r="AM89">
        <f>AM94*AL16</f>
        <v>4.1671670547251036</v>
      </c>
      <c r="AN89" s="35"/>
      <c r="AO89" t="s">
        <v>27</v>
      </c>
      <c r="AR89" s="35"/>
    </row>
    <row r="90" spans="1:45" x14ac:dyDescent="0.3">
      <c r="A90">
        <v>2046</v>
      </c>
      <c r="B90">
        <f t="shared" si="43"/>
        <v>948.62487915865972</v>
      </c>
      <c r="C90" t="e">
        <f t="shared" si="44"/>
        <v>#REF!</v>
      </c>
      <c r="D90" t="e">
        <f t="shared" si="45"/>
        <v>#REF!</v>
      </c>
      <c r="E90">
        <f t="shared" si="46"/>
        <v>512.13942681842423</v>
      </c>
      <c r="F90" t="e">
        <f t="shared" si="47"/>
        <v>#REF!</v>
      </c>
      <c r="G90" t="e">
        <f t="shared" si="48"/>
        <v>#REF!</v>
      </c>
      <c r="I90">
        <v>2046</v>
      </c>
      <c r="J90">
        <f>Speed!B29</f>
        <v>1.5200000000000002</v>
      </c>
      <c r="K90">
        <f>Temperature!B28</f>
        <v>0.91333333333333422</v>
      </c>
      <c r="L90">
        <f>Temperature!C28</f>
        <v>0.93933333333333424</v>
      </c>
      <c r="M90">
        <f t="shared" si="49"/>
        <v>1.2166666666666672</v>
      </c>
      <c r="N90">
        <f t="shared" si="55"/>
        <v>1.2296666666666671</v>
      </c>
      <c r="P90">
        <v>2046</v>
      </c>
      <c r="Q90">
        <f t="shared" si="50"/>
        <v>779.69168150026792</v>
      </c>
      <c r="R90" t="e">
        <f t="shared" si="63"/>
        <v>#REF!</v>
      </c>
      <c r="S90" t="e">
        <f t="shared" si="64"/>
        <v>#REF!</v>
      </c>
      <c r="T90">
        <f t="shared" si="51"/>
        <v>416.48638667803527</v>
      </c>
      <c r="U90" t="e">
        <f t="shared" si="52"/>
        <v>#REF!</v>
      </c>
      <c r="V90" t="e">
        <f t="shared" si="53"/>
        <v>#REF!</v>
      </c>
      <c r="W90">
        <f t="shared" si="58"/>
        <v>543.6082398658167</v>
      </c>
      <c r="X90" t="e">
        <f t="shared" si="59"/>
        <v>#REF!</v>
      </c>
      <c r="Y90" t="e">
        <f t="shared" si="60"/>
        <v>#REF!</v>
      </c>
      <c r="AB90" t="s">
        <v>153</v>
      </c>
      <c r="AE90">
        <f>AE94*AM12</f>
        <v>4.6125483074299378</v>
      </c>
      <c r="AF90" s="35"/>
      <c r="AI90">
        <f>AI94*AM14</f>
        <v>4.2178848228922261</v>
      </c>
      <c r="AJ90" s="35"/>
      <c r="AM90">
        <f>AM94*AM16</f>
        <v>3.8274526398777033</v>
      </c>
      <c r="AN90" s="35"/>
      <c r="AO90" t="s">
        <v>153</v>
      </c>
      <c r="AR90" s="35"/>
    </row>
    <row r="91" spans="1:45" x14ac:dyDescent="0.3">
      <c r="A91">
        <v>2047</v>
      </c>
      <c r="B91">
        <f t="shared" si="43"/>
        <v>931.85330254560017</v>
      </c>
      <c r="C91" t="e">
        <f t="shared" si="44"/>
        <v>#REF!</v>
      </c>
      <c r="D91" t="e">
        <f t="shared" si="45"/>
        <v>#REF!</v>
      </c>
      <c r="E91">
        <f t="shared" si="46"/>
        <v>503.93358931658236</v>
      </c>
      <c r="F91" t="e">
        <f t="shared" si="47"/>
        <v>#REF!</v>
      </c>
      <c r="G91" t="e">
        <f t="shared" si="48"/>
        <v>#REF!</v>
      </c>
      <c r="I91">
        <v>2047</v>
      </c>
      <c r="J91">
        <f>Speed!B30</f>
        <v>1.5400000000000003</v>
      </c>
      <c r="K91">
        <f>Temperature!B29</f>
        <v>0.91000000000000092</v>
      </c>
      <c r="L91">
        <f>Temperature!C29</f>
        <v>0.93700000000000094</v>
      </c>
      <c r="M91">
        <f t="shared" si="49"/>
        <v>1.2250000000000005</v>
      </c>
      <c r="N91">
        <f t="shared" si="55"/>
        <v>1.2385000000000006</v>
      </c>
      <c r="P91">
        <v>2047</v>
      </c>
      <c r="Q91">
        <f t="shared" si="50"/>
        <v>760.69657350661203</v>
      </c>
      <c r="R91" t="e">
        <f t="shared" si="63"/>
        <v>#REF!</v>
      </c>
      <c r="S91" t="e">
        <f t="shared" si="64"/>
        <v>#REF!</v>
      </c>
      <c r="T91">
        <f t="shared" si="51"/>
        <v>406.89026186239977</v>
      </c>
      <c r="U91" t="e">
        <f t="shared" si="52"/>
        <v>#REF!</v>
      </c>
      <c r="V91" t="e">
        <f t="shared" si="53"/>
        <v>#REF!</v>
      </c>
      <c r="W91">
        <f t="shared" si="58"/>
        <v>530.72247093787405</v>
      </c>
      <c r="X91" t="e">
        <f t="shared" si="59"/>
        <v>#REF!</v>
      </c>
      <c r="Y91" t="e">
        <f t="shared" si="60"/>
        <v>#REF!</v>
      </c>
      <c r="AB91" t="s">
        <v>35</v>
      </c>
      <c r="AC91">
        <f>W34</f>
        <v>537.05843939372426</v>
      </c>
      <c r="AD91">
        <f>Z34</f>
        <v>216.00442550291314</v>
      </c>
      <c r="AE91">
        <f>AC91*K7+L7*AD91</f>
        <v>328.37333036469704</v>
      </c>
      <c r="AF91" s="35"/>
      <c r="AG91">
        <f>Z44</f>
        <v>180.69412708284565</v>
      </c>
      <c r="AH91">
        <f>Z44</f>
        <v>180.69412708284565</v>
      </c>
      <c r="AI91">
        <f>AG91*K7+L7*AH91</f>
        <v>180.69412708284565</v>
      </c>
      <c r="AJ91" s="35"/>
      <c r="AK91">
        <f>W54</f>
        <v>423.63752930772603</v>
      </c>
      <c r="AL91">
        <f>Z54</f>
        <v>153.6921341733823</v>
      </c>
      <c r="AM91">
        <f>AK91*K7+L7*AL91</f>
        <v>248.1730224704026</v>
      </c>
      <c r="AN91" s="35"/>
      <c r="AO91" t="s">
        <v>35</v>
      </c>
      <c r="AR91" s="35"/>
    </row>
    <row r="92" spans="1:45" x14ac:dyDescent="0.3">
      <c r="A92">
        <v>2048</v>
      </c>
      <c r="B92">
        <f t="shared" si="43"/>
        <v>915.53972684802534</v>
      </c>
      <c r="C92" t="e">
        <f t="shared" si="44"/>
        <v>#REF!</v>
      </c>
      <c r="D92" t="e">
        <f t="shared" si="45"/>
        <v>#REF!</v>
      </c>
      <c r="E92">
        <f t="shared" si="46"/>
        <v>495.95928917854678</v>
      </c>
      <c r="F92" t="e">
        <f t="shared" si="47"/>
        <v>#REF!</v>
      </c>
      <c r="G92" t="e">
        <f t="shared" si="48"/>
        <v>#REF!</v>
      </c>
      <c r="I92">
        <v>2048</v>
      </c>
      <c r="J92">
        <f>Speed!B31</f>
        <v>1.5600000000000003</v>
      </c>
      <c r="K92">
        <f>Temperature!B30</f>
        <v>0.90666666666666762</v>
      </c>
      <c r="L92">
        <f>Temperature!C30</f>
        <v>0.93466666666666764</v>
      </c>
      <c r="M92">
        <f t="shared" si="49"/>
        <v>1.2333333333333338</v>
      </c>
      <c r="N92">
        <f t="shared" si="55"/>
        <v>1.2473333333333341</v>
      </c>
      <c r="P92">
        <v>2048</v>
      </c>
      <c r="Q92">
        <f t="shared" si="50"/>
        <v>742.32950825515536</v>
      </c>
      <c r="R92" t="e">
        <f t="shared" si="63"/>
        <v>#REF!</v>
      </c>
      <c r="S92" t="e">
        <f t="shared" si="64"/>
        <v>#REF!</v>
      </c>
      <c r="T92">
        <f t="shared" si="51"/>
        <v>397.61567812283255</v>
      </c>
      <c r="U92" t="e">
        <f t="shared" si="52"/>
        <v>#REF!</v>
      </c>
      <c r="V92" t="e">
        <f t="shared" si="53"/>
        <v>#REF!</v>
      </c>
      <c r="W92">
        <f t="shared" si="58"/>
        <v>518.26551866914554</v>
      </c>
      <c r="X92" t="e">
        <f t="shared" si="59"/>
        <v>#REF!</v>
      </c>
      <c r="Y92" t="e">
        <f t="shared" si="60"/>
        <v>#REF!</v>
      </c>
      <c r="AB92" t="s">
        <v>45</v>
      </c>
      <c r="AE92">
        <f>AE94*AN12</f>
        <v>112.85057089397017</v>
      </c>
      <c r="AF92" s="35"/>
      <c r="AI92">
        <f>AI94*AN14</f>
        <v>113.45788366577547</v>
      </c>
      <c r="AJ92" s="35"/>
      <c r="AM92">
        <f>AM94*AN16</f>
        <v>114.05081527079787</v>
      </c>
      <c r="AN92" s="35"/>
      <c r="AO92" t="s">
        <v>45</v>
      </c>
      <c r="AR92" s="35"/>
    </row>
    <row r="93" spans="1:45" x14ac:dyDescent="0.3">
      <c r="A93">
        <v>2049</v>
      </c>
      <c r="B93">
        <f t="shared" si="43"/>
        <v>899.6723656780016</v>
      </c>
      <c r="C93" t="e">
        <f t="shared" si="44"/>
        <v>#REF!</v>
      </c>
      <c r="D93" t="e">
        <f t="shared" si="45"/>
        <v>#REF!</v>
      </c>
      <c r="E93">
        <f t="shared" si="46"/>
        <v>488.21052591805847</v>
      </c>
      <c r="F93" t="e">
        <f t="shared" si="47"/>
        <v>#REF!</v>
      </c>
      <c r="G93" t="e">
        <f t="shared" si="48"/>
        <v>#REF!</v>
      </c>
      <c r="I93">
        <v>2049</v>
      </c>
      <c r="J93">
        <f>Speed!B32</f>
        <v>1.5800000000000003</v>
      </c>
      <c r="K93">
        <f>Temperature!B31</f>
        <v>0.90333333333333432</v>
      </c>
      <c r="L93">
        <f>Temperature!C31</f>
        <v>0.93233333333333435</v>
      </c>
      <c r="M93">
        <f t="shared" si="49"/>
        <v>1.2416666666666674</v>
      </c>
      <c r="N93">
        <f t="shared" si="55"/>
        <v>1.2561666666666673</v>
      </c>
      <c r="P93">
        <v>2049</v>
      </c>
      <c r="Q93">
        <f t="shared" si="50"/>
        <v>724.56834819704784</v>
      </c>
      <c r="R93" t="e">
        <f t="shared" si="63"/>
        <v>#REF!</v>
      </c>
      <c r="S93" t="e">
        <f t="shared" si="64"/>
        <v>#REF!</v>
      </c>
      <c r="T93">
        <f t="shared" si="51"/>
        <v>388.65107542899688</v>
      </c>
      <c r="U93" t="e">
        <f t="shared" si="52"/>
        <v>#REF!</v>
      </c>
      <c r="V93" t="e">
        <f t="shared" si="53"/>
        <v>#REF!</v>
      </c>
      <c r="W93">
        <f t="shared" si="58"/>
        <v>506.2221208978147</v>
      </c>
      <c r="X93" t="e">
        <f t="shared" si="59"/>
        <v>#REF!</v>
      </c>
      <c r="Y93" t="e">
        <f t="shared" si="60"/>
        <v>#REF!</v>
      </c>
      <c r="AB93" t="s">
        <v>154</v>
      </c>
      <c r="AC93">
        <f>Q34</f>
        <v>452.29515772417693</v>
      </c>
      <c r="AD93">
        <f>T34</f>
        <v>223.45021440142517</v>
      </c>
      <c r="AE93">
        <f>AC93*K7+L7*AD93</f>
        <v>303.54594456438826</v>
      </c>
      <c r="AF93" s="35"/>
      <c r="AG93">
        <f>Q44</f>
        <v>257.9663503242349</v>
      </c>
      <c r="AH93">
        <f>T44</f>
        <v>127.44473449228411</v>
      </c>
      <c r="AI93">
        <f>AG93*K7+L7*AH93</f>
        <v>173.1273000334669</v>
      </c>
      <c r="AJ93" s="35"/>
      <c r="AK93">
        <f>Q54</f>
        <v>111.96537933587238</v>
      </c>
      <c r="AL93">
        <f>T54</f>
        <v>55.314958807042487</v>
      </c>
      <c r="AM93">
        <f>AK93*K7+L7*AL93</f>
        <v>75.142605992132957</v>
      </c>
      <c r="AN93" s="35"/>
      <c r="AO93" t="s">
        <v>154</v>
      </c>
      <c r="AR93" s="35"/>
    </row>
    <row r="94" spans="1:45" x14ac:dyDescent="0.3">
      <c r="A94">
        <v>2050</v>
      </c>
      <c r="B94">
        <f t="shared" si="43"/>
        <v>884.23975677117551</v>
      </c>
      <c r="C94" t="e">
        <f t="shared" si="44"/>
        <v>#REF!</v>
      </c>
      <c r="D94" t="e">
        <f t="shared" si="45"/>
        <v>#REF!</v>
      </c>
      <c r="E94">
        <f t="shared" si="46"/>
        <v>480.68146707024721</v>
      </c>
      <c r="F94" t="e">
        <f t="shared" si="47"/>
        <v>#REF!</v>
      </c>
      <c r="G94" t="e">
        <f t="shared" si="48"/>
        <v>#REF!</v>
      </c>
      <c r="I94">
        <v>2050</v>
      </c>
      <c r="J94">
        <f>Speed!B33</f>
        <v>1.6000000000000003</v>
      </c>
      <c r="K94">
        <f>Temperature!B32</f>
        <v>0.9</v>
      </c>
      <c r="L94">
        <f>Temperature!C32</f>
        <v>0.93</v>
      </c>
      <c r="M94">
        <f t="shared" si="49"/>
        <v>1.2500000000000002</v>
      </c>
      <c r="N94">
        <f t="shared" si="55"/>
        <v>1.2650000000000001</v>
      </c>
      <c r="P94">
        <v>2050</v>
      </c>
      <c r="Q94">
        <f t="shared" si="50"/>
        <v>707.39180541694031</v>
      </c>
      <c r="R94" t="e">
        <f t="shared" si="63"/>
        <v>#REF!</v>
      </c>
      <c r="S94" t="e">
        <f t="shared" si="64"/>
        <v>#REF!</v>
      </c>
      <c r="T94">
        <f t="shared" si="51"/>
        <v>379.98534946264596</v>
      </c>
      <c r="U94" t="e">
        <f t="shared" si="52"/>
        <v>#REF!</v>
      </c>
      <c r="V94" t="e">
        <f t="shared" si="53"/>
        <v>#REF!</v>
      </c>
      <c r="W94">
        <f t="shared" si="58"/>
        <v>494.57760904664894</v>
      </c>
      <c r="X94" t="e">
        <f t="shared" si="59"/>
        <v>#REF!</v>
      </c>
      <c r="Y94" t="e">
        <f t="shared" si="60"/>
        <v>#REF!</v>
      </c>
      <c r="AB94" t="s">
        <v>157</v>
      </c>
      <c r="AC94">
        <f>AC34</f>
        <v>442.38160499310737</v>
      </c>
      <c r="AD94">
        <f>AF34</f>
        <v>311.32788615881771</v>
      </c>
      <c r="AE94">
        <f>AC94*K7+L7*AD94</f>
        <v>357.19668775081908</v>
      </c>
      <c r="AG94">
        <f>AC44</f>
        <v>436.3226378044547</v>
      </c>
      <c r="AH94">
        <f>AF44</f>
        <v>311.4518848963977</v>
      </c>
      <c r="AI94">
        <f>AG94*K7+L7*AH94</f>
        <v>355.15664841421767</v>
      </c>
      <c r="AK94">
        <f>AC54</f>
        <v>430.26367061580203</v>
      </c>
      <c r="AL94">
        <f>AF54</f>
        <v>311.5758836339777</v>
      </c>
      <c r="AM94">
        <f>AC54*K7+L7*AL94</f>
        <v>353.1166090776162</v>
      </c>
      <c r="AO94" t="s">
        <v>157</v>
      </c>
    </row>
    <row r="95" spans="1:45" x14ac:dyDescent="0.3">
      <c r="AE95">
        <f>SUM(AE88:AE93)</f>
        <v>989.11596267990433</v>
      </c>
      <c r="AI95">
        <f>SUM(AI88:AI93)</f>
        <v>708.97807553053019</v>
      </c>
      <c r="AM95">
        <f>SUM(AM88:AM93)</f>
        <v>676.43223754015173</v>
      </c>
    </row>
    <row r="97" spans="16:44" x14ac:dyDescent="0.3">
      <c r="P97" t="s">
        <v>142</v>
      </c>
      <c r="Q97" s="57" t="s">
        <v>93</v>
      </c>
      <c r="R97" s="57"/>
      <c r="S97" s="57"/>
      <c r="T97" s="57" t="s">
        <v>94</v>
      </c>
      <c r="U97" s="57"/>
      <c r="V97" s="57"/>
      <c r="W97" s="58" t="s">
        <v>173</v>
      </c>
      <c r="X97" s="58"/>
      <c r="Y97" s="58"/>
    </row>
    <row r="98" spans="16:44" x14ac:dyDescent="0.3">
      <c r="Q98" t="s">
        <v>1</v>
      </c>
      <c r="R98" t="s">
        <v>2</v>
      </c>
      <c r="S98" t="s">
        <v>3</v>
      </c>
      <c r="T98" t="s">
        <v>1</v>
      </c>
      <c r="U98" t="s">
        <v>2</v>
      </c>
      <c r="V98" t="s">
        <v>3</v>
      </c>
      <c r="W98" t="s">
        <v>1</v>
      </c>
      <c r="X98" t="s">
        <v>2</v>
      </c>
      <c r="Y98" t="s">
        <v>3</v>
      </c>
    </row>
    <row r="99" spans="16:44" x14ac:dyDescent="0.3">
      <c r="P99">
        <v>2020</v>
      </c>
      <c r="Q99">
        <f>B64/$J64</f>
        <v>1537.3871222077232</v>
      </c>
      <c r="R99">
        <f t="shared" ref="R99:V99" si="67">C64/$J64</f>
        <v>2200.2348144580765</v>
      </c>
      <c r="S99">
        <f t="shared" si="67"/>
        <v>1207.7809756650518</v>
      </c>
      <c r="T99">
        <f t="shared" si="67"/>
        <v>803.64327883888632</v>
      </c>
      <c r="U99">
        <f t="shared" si="67"/>
        <v>936.14604255248605</v>
      </c>
      <c r="V99">
        <f t="shared" si="67"/>
        <v>711.21126579763336</v>
      </c>
      <c r="W99">
        <f>Q99*$K3+T99*$L3</f>
        <v>1500.6999300392813</v>
      </c>
      <c r="X99">
        <f t="shared" ref="X99:Y102" si="68">R99*$K3+U99*$L3</f>
        <v>2137.0303758627965</v>
      </c>
      <c r="Y99">
        <f t="shared" si="68"/>
        <v>1182.9524901716807</v>
      </c>
      <c r="AB99" s="24"/>
    </row>
    <row r="100" spans="16:44" x14ac:dyDescent="0.3">
      <c r="P100">
        <v>2021</v>
      </c>
      <c r="Q100">
        <f t="shared" ref="Q100:Q129" si="69">B65/$J65</f>
        <v>1497.6360685733334</v>
      </c>
      <c r="R100" t="e">
        <f t="shared" ref="R100:R129" si="70">C65/$J65</f>
        <v>#REF!</v>
      </c>
      <c r="S100" t="e">
        <f t="shared" ref="S100:S129" si="71">D65/$J65</f>
        <v>#REF!</v>
      </c>
      <c r="T100">
        <f t="shared" ref="T100:T129" si="72">E65/$J65</f>
        <v>782.98079573479686</v>
      </c>
      <c r="U100" t="e">
        <f t="shared" ref="U100:U129" si="73">F65/$J65</f>
        <v>#REF!</v>
      </c>
      <c r="V100" t="e">
        <f t="shared" ref="V100:V129" si="74">G65/$J65</f>
        <v>#REF!</v>
      </c>
      <c r="W100">
        <f t="shared" ref="W100:W102" si="75">Q100*$K4+T100*$L4</f>
        <v>1461.9033049314066</v>
      </c>
      <c r="X100" t="e">
        <f t="shared" si="68"/>
        <v>#REF!</v>
      </c>
      <c r="Y100" t="e">
        <f t="shared" si="68"/>
        <v>#REF!</v>
      </c>
      <c r="AB100" s="24"/>
    </row>
    <row r="101" spans="16:44" x14ac:dyDescent="0.3">
      <c r="P101">
        <v>2022</v>
      </c>
      <c r="Q101">
        <f t="shared" si="69"/>
        <v>1459.6794351024841</v>
      </c>
      <c r="R101" t="e">
        <f t="shared" si="70"/>
        <v>#REF!</v>
      </c>
      <c r="S101" t="e">
        <f t="shared" si="71"/>
        <v>#REF!</v>
      </c>
      <c r="T101">
        <f t="shared" si="72"/>
        <v>763.25890490822439</v>
      </c>
      <c r="U101" t="e">
        <f t="shared" si="73"/>
        <v>#REF!</v>
      </c>
      <c r="V101" t="e">
        <f t="shared" si="74"/>
        <v>#REF!</v>
      </c>
      <c r="W101">
        <f t="shared" si="75"/>
        <v>1407.4478953379148</v>
      </c>
      <c r="X101" t="e">
        <f t="shared" si="68"/>
        <v>#REF!</v>
      </c>
      <c r="Y101" t="e">
        <f t="shared" si="68"/>
        <v>#REF!</v>
      </c>
      <c r="AB101" t="s">
        <v>168</v>
      </c>
      <c r="AC101">
        <v>2020</v>
      </c>
      <c r="AD101">
        <v>2025</v>
      </c>
      <c r="AE101">
        <v>2030</v>
      </c>
      <c r="AF101">
        <v>2035</v>
      </c>
      <c r="AG101">
        <v>2040</v>
      </c>
      <c r="AH101">
        <v>2045</v>
      </c>
      <c r="AI101">
        <v>2050</v>
      </c>
    </row>
    <row r="102" spans="16:44" x14ac:dyDescent="0.3">
      <c r="P102">
        <v>2023</v>
      </c>
      <c r="Q102">
        <f t="shared" si="69"/>
        <v>1409.4020332083694</v>
      </c>
      <c r="R102" t="e">
        <f t="shared" si="70"/>
        <v>#REF!</v>
      </c>
      <c r="S102" t="e">
        <f t="shared" si="71"/>
        <v>#REF!</v>
      </c>
      <c r="T102">
        <f t="shared" si="72"/>
        <v>737.50044313868489</v>
      </c>
      <c r="U102" t="e">
        <f t="shared" si="73"/>
        <v>#REF!</v>
      </c>
      <c r="V102" t="e">
        <f t="shared" si="74"/>
        <v>#REF!</v>
      </c>
      <c r="W102">
        <f t="shared" si="75"/>
        <v>1207.831556187464</v>
      </c>
      <c r="X102" t="e">
        <f t="shared" si="68"/>
        <v>#REF!</v>
      </c>
      <c r="Y102" t="e">
        <f t="shared" si="68"/>
        <v>#REF!</v>
      </c>
      <c r="AB102" t="s">
        <v>159</v>
      </c>
      <c r="AC102" s="37">
        <f>AE77+AE80</f>
        <v>508.79264847141349</v>
      </c>
      <c r="AD102">
        <f>AE90+AE93</f>
        <v>308.15849287181823</v>
      </c>
      <c r="AE102" s="37">
        <f>AI77+AI80</f>
        <v>238.21449932670714</v>
      </c>
      <c r="AF102">
        <f>AI90+AI93</f>
        <v>177.34518485635911</v>
      </c>
      <c r="AG102" s="37">
        <f>AM77+AM80</f>
        <v>124.56071012863976</v>
      </c>
      <c r="AH102">
        <f>AM90+AM93</f>
        <v>78.970058632010662</v>
      </c>
      <c r="AI102" s="37">
        <f>AQ77+AQ80</f>
        <v>39.771691019876826</v>
      </c>
    </row>
    <row r="103" spans="16:44" x14ac:dyDescent="0.3">
      <c r="P103">
        <v>2024</v>
      </c>
      <c r="Q103">
        <f t="shared" si="69"/>
        <v>1354.0937948414789</v>
      </c>
      <c r="R103" t="e">
        <f t="shared" si="70"/>
        <v>#REF!</v>
      </c>
      <c r="S103" t="e">
        <f t="shared" si="71"/>
        <v>#REF!</v>
      </c>
      <c r="T103">
        <f t="shared" si="72"/>
        <v>709.30347295478316</v>
      </c>
      <c r="U103" t="e">
        <f t="shared" si="73"/>
        <v>#REF!</v>
      </c>
      <c r="V103" t="e">
        <f t="shared" si="74"/>
        <v>#REF!</v>
      </c>
      <c r="W103">
        <f>Q103*$K$7+T103*$L$7</f>
        <v>934.98008561512665</v>
      </c>
      <c r="X103" t="e">
        <f t="shared" ref="X103:Y103" si="76">R103*$K$7+U103*$L$7</f>
        <v>#REF!</v>
      </c>
      <c r="Y103" t="e">
        <f t="shared" si="76"/>
        <v>#REF!</v>
      </c>
      <c r="AB103" t="s">
        <v>160</v>
      </c>
      <c r="AC103" s="37">
        <f>AE78+AE76</f>
        <v>567.52900063747848</v>
      </c>
      <c r="AD103">
        <f>AE89+AE91</f>
        <v>333.54411371839825</v>
      </c>
      <c r="AE103" s="37">
        <f>AI78+AI76</f>
        <v>308.9446412632899</v>
      </c>
      <c r="AF103">
        <f>AI89+AI91</f>
        <v>185.36037383235887</v>
      </c>
      <c r="AG103" s="37">
        <f>AM76+AM78</f>
        <v>268.87973479987534</v>
      </c>
      <c r="AH103">
        <f>AM89+AM91</f>
        <v>252.3401895251277</v>
      </c>
      <c r="AI103" s="37">
        <f>AQ76+AQ78</f>
        <v>237.61208487117727</v>
      </c>
    </row>
    <row r="104" spans="16:44" x14ac:dyDescent="0.3">
      <c r="P104">
        <v>2025</v>
      </c>
      <c r="Q104">
        <f t="shared" si="69"/>
        <v>1301.5774564645533</v>
      </c>
      <c r="R104" t="e">
        <f t="shared" si="70"/>
        <v>#REF!</v>
      </c>
      <c r="S104" t="e">
        <f t="shared" si="71"/>
        <v>#REF!</v>
      </c>
      <c r="T104">
        <f t="shared" si="72"/>
        <v>682.5295691483235</v>
      </c>
      <c r="U104" t="e">
        <f t="shared" si="73"/>
        <v>#REF!</v>
      </c>
      <c r="V104" t="e">
        <f t="shared" si="74"/>
        <v>#REF!</v>
      </c>
      <c r="W104">
        <f t="shared" ref="W104:W129" si="77">Q104*$K$7+T104*$L$7</f>
        <v>899.19632970900398</v>
      </c>
      <c r="X104" t="e">
        <f t="shared" ref="X104:X129" si="78">R104*$K$7+U104*$L$7</f>
        <v>#REF!</v>
      </c>
      <c r="Y104" t="e">
        <f t="shared" ref="Y104:Y129" si="79">S104*$K$7+V104*$L$7</f>
        <v>#REF!</v>
      </c>
      <c r="AB104" t="s">
        <v>161</v>
      </c>
      <c r="AC104" s="37">
        <f>AE79</f>
        <v>139.01207719540758</v>
      </c>
      <c r="AD104">
        <f>AE92</f>
        <v>112.85057089397017</v>
      </c>
      <c r="AE104" s="37">
        <f>AI79</f>
        <v>113.15602492572069</v>
      </c>
      <c r="AF104">
        <f>AI92</f>
        <v>113.45788366577547</v>
      </c>
      <c r="AG104" s="37">
        <f>AM79</f>
        <v>113.75614711413454</v>
      </c>
      <c r="AH104">
        <f>AM92</f>
        <v>114.05081527079787</v>
      </c>
      <c r="AI104" s="37">
        <f>AQ79</f>
        <v>114.34188813576552</v>
      </c>
    </row>
    <row r="105" spans="16:44" x14ac:dyDescent="0.3">
      <c r="P105">
        <v>2026</v>
      </c>
      <c r="Q105">
        <f t="shared" si="69"/>
        <v>1251.6813133489845</v>
      </c>
      <c r="R105" t="e">
        <f t="shared" si="70"/>
        <v>#REF!</v>
      </c>
      <c r="S105" t="e">
        <f t="shared" si="71"/>
        <v>#REF!</v>
      </c>
      <c r="T105">
        <f t="shared" si="72"/>
        <v>657.09102156986376</v>
      </c>
      <c r="U105" t="e">
        <f t="shared" si="73"/>
        <v>#REF!</v>
      </c>
      <c r="V105" t="e">
        <f t="shared" si="74"/>
        <v>#REF!</v>
      </c>
      <c r="W105">
        <f t="shared" si="77"/>
        <v>865.19762369255602</v>
      </c>
      <c r="X105" t="e">
        <f t="shared" si="78"/>
        <v>#REF!</v>
      </c>
      <c r="Y105" t="e">
        <f t="shared" si="79"/>
        <v>#REF!</v>
      </c>
      <c r="AB105" t="s">
        <v>171</v>
      </c>
      <c r="AC105" s="37">
        <f>AB100+AE75</f>
        <v>285.36620373498187</v>
      </c>
      <c r="AD105">
        <f>AB100+AE88</f>
        <v>234.56278519571774</v>
      </c>
      <c r="AE105" s="37">
        <f>AB100+AI75</f>
        <v>233.68812256639481</v>
      </c>
      <c r="AF105">
        <f>AI88+AB100</f>
        <v>232.81463317603675</v>
      </c>
      <c r="AG105" s="37">
        <f>AM75+AB100</f>
        <v>231.94231702464367</v>
      </c>
      <c r="AH105">
        <f>AM88+AB100</f>
        <v>231.07117411221552</v>
      </c>
      <c r="AI105" s="37">
        <f>AQ75+AB100</f>
        <v>230.20120443875254</v>
      </c>
    </row>
    <row r="106" spans="16:44" x14ac:dyDescent="0.3">
      <c r="P106">
        <v>2027</v>
      </c>
      <c r="Q106">
        <f t="shared" si="69"/>
        <v>1204.2465308320873</v>
      </c>
      <c r="R106" t="e">
        <f t="shared" si="70"/>
        <v>#REF!</v>
      </c>
      <c r="S106" t="e">
        <f t="shared" si="71"/>
        <v>#REF!</v>
      </c>
      <c r="T106">
        <f t="shared" si="72"/>
        <v>632.90671208599713</v>
      </c>
      <c r="U106" t="e">
        <f t="shared" si="73"/>
        <v>#REF!</v>
      </c>
      <c r="V106" t="e">
        <f t="shared" si="74"/>
        <v>#REF!</v>
      </c>
      <c r="W106">
        <f t="shared" si="77"/>
        <v>832.87564864712863</v>
      </c>
      <c r="X106" t="e">
        <f t="shared" si="78"/>
        <v>#REF!</v>
      </c>
      <c r="Y106" t="e">
        <f t="shared" si="79"/>
        <v>#REF!</v>
      </c>
    </row>
    <row r="107" spans="16:44" x14ac:dyDescent="0.3">
      <c r="P107">
        <v>2028</v>
      </c>
      <c r="Q107">
        <f t="shared" si="69"/>
        <v>1159.1259888805434</v>
      </c>
      <c r="R107" t="e">
        <f t="shared" si="70"/>
        <v>#REF!</v>
      </c>
      <c r="S107" t="e">
        <f t="shared" si="71"/>
        <v>#REF!</v>
      </c>
      <c r="T107">
        <f t="shared" si="72"/>
        <v>609.90152132539117</v>
      </c>
      <c r="U107" t="e">
        <f t="shared" si="73"/>
        <v>#REF!</v>
      </c>
      <c r="V107" t="e">
        <f t="shared" si="74"/>
        <v>#REF!</v>
      </c>
      <c r="W107">
        <f t="shared" si="77"/>
        <v>802.13008496969451</v>
      </c>
      <c r="X107" t="e">
        <f t="shared" si="78"/>
        <v>#REF!</v>
      </c>
      <c r="Y107" t="e">
        <f t="shared" si="79"/>
        <v>#REF!</v>
      </c>
    </row>
    <row r="108" spans="16:44" x14ac:dyDescent="0.3">
      <c r="P108">
        <v>2029</v>
      </c>
      <c r="Q108">
        <f t="shared" si="69"/>
        <v>1116.1832477607718</v>
      </c>
      <c r="R108" t="e">
        <f t="shared" si="70"/>
        <v>#REF!</v>
      </c>
      <c r="S108" t="e">
        <f t="shared" si="71"/>
        <v>#REF!</v>
      </c>
      <c r="T108">
        <f t="shared" si="72"/>
        <v>588.00579773130778</v>
      </c>
      <c r="U108" t="e">
        <f t="shared" si="73"/>
        <v>#REF!</v>
      </c>
      <c r="V108" t="e">
        <f t="shared" si="74"/>
        <v>#REF!</v>
      </c>
      <c r="W108">
        <f t="shared" si="77"/>
        <v>772.86790524162018</v>
      </c>
      <c r="X108" t="e">
        <f t="shared" si="78"/>
        <v>#REF!</v>
      </c>
      <c r="Y108" t="e">
        <f t="shared" si="79"/>
        <v>#REF!</v>
      </c>
      <c r="AB108" t="s">
        <v>169</v>
      </c>
      <c r="AC108">
        <v>2020</v>
      </c>
      <c r="AD108">
        <v>2025</v>
      </c>
      <c r="AE108">
        <v>2030</v>
      </c>
      <c r="AF108">
        <v>2035</v>
      </c>
      <c r="AG108">
        <v>2040</v>
      </c>
      <c r="AH108">
        <v>2045</v>
      </c>
      <c r="AI108">
        <v>2050</v>
      </c>
      <c r="AL108" s="37"/>
      <c r="AM108" s="37"/>
      <c r="AN108" s="37"/>
      <c r="AO108" s="37"/>
      <c r="AP108" s="37"/>
      <c r="AQ108" s="37"/>
      <c r="AR108" s="37"/>
    </row>
    <row r="109" spans="16:44" x14ac:dyDescent="0.3">
      <c r="P109">
        <v>2030</v>
      </c>
      <c r="Q109">
        <f t="shared" si="69"/>
        <v>1075.2916203397613</v>
      </c>
      <c r="R109" t="e">
        <f t="shared" si="70"/>
        <v>#REF!</v>
      </c>
      <c r="S109" t="e">
        <f t="shared" si="71"/>
        <v>#REF!</v>
      </c>
      <c r="T109">
        <f t="shared" si="72"/>
        <v>567.15488146078553</v>
      </c>
      <c r="U109" t="e">
        <f t="shared" si="73"/>
        <v>#REF!</v>
      </c>
      <c r="V109" t="e">
        <f t="shared" si="74"/>
        <v>#REF!</v>
      </c>
      <c r="W109">
        <f t="shared" si="77"/>
        <v>745.0027400684271</v>
      </c>
      <c r="X109" t="e">
        <f t="shared" si="78"/>
        <v>#REF!</v>
      </c>
      <c r="Y109" t="e">
        <f t="shared" si="79"/>
        <v>#REF!</v>
      </c>
      <c r="AB109" t="s">
        <v>159</v>
      </c>
      <c r="AC109">
        <f>AC102/$AE$82</f>
        <v>0.33903689757491734</v>
      </c>
      <c r="AD109">
        <f>AD102/$AE$95</f>
        <v>0.31154940825835592</v>
      </c>
      <c r="AE109">
        <f>AE102/$AI$82</f>
        <v>0.26645819148802458</v>
      </c>
      <c r="AF109">
        <f>AF102/$AI$95</f>
        <v>0.25014198742838589</v>
      </c>
      <c r="AG109">
        <f>AG102/$AM$82</f>
        <v>0.16852138157064522</v>
      </c>
      <c r="AH109">
        <f>AH102/$AM$95</f>
        <v>0.11674496608734315</v>
      </c>
      <c r="AI109">
        <f>AI102/$AQ$82</f>
        <v>6.3949144242637673E-2</v>
      </c>
    </row>
    <row r="110" spans="16:44" x14ac:dyDescent="0.3">
      <c r="P110">
        <v>2031</v>
      </c>
      <c r="Q110">
        <f t="shared" si="69"/>
        <v>1036.3333384767811</v>
      </c>
      <c r="R110" t="e">
        <f t="shared" si="70"/>
        <v>#REF!</v>
      </c>
      <c r="S110" t="e">
        <f t="shared" si="71"/>
        <v>#REF!</v>
      </c>
      <c r="T110">
        <f t="shared" si="72"/>
        <v>547.28867667006557</v>
      </c>
      <c r="U110" t="e">
        <f t="shared" si="73"/>
        <v>#REF!</v>
      </c>
      <c r="V110" t="e">
        <f t="shared" si="74"/>
        <v>#REF!</v>
      </c>
      <c r="W110">
        <f t="shared" si="77"/>
        <v>718.45430830241594</v>
      </c>
      <c r="X110" t="e">
        <f t="shared" si="78"/>
        <v>#REF!</v>
      </c>
      <c r="Y110" t="e">
        <f t="shared" si="79"/>
        <v>#REF!</v>
      </c>
      <c r="AB110" t="s">
        <v>160</v>
      </c>
      <c r="AC110">
        <f t="shared" ref="AC110:AC112" si="80">AC103/$AE$82</f>
        <v>0.37817620250213724</v>
      </c>
      <c r="AD110">
        <f t="shared" ref="AD110:AD112" si="81">AD103/$AE$95</f>
        <v>0.3372143674789112</v>
      </c>
      <c r="AE110">
        <f t="shared" ref="AE110:AE112" si="82">AE103/$AI$82</f>
        <v>0.34557439036500942</v>
      </c>
      <c r="AF110">
        <f t="shared" ref="AF110:AF112" si="83">AF103/$AI$95</f>
        <v>0.26144725800392798</v>
      </c>
      <c r="AG110">
        <f t="shared" ref="AG110:AG112" si="84">AG103/$AM$82</f>
        <v>0.36377429398104627</v>
      </c>
      <c r="AH110">
        <f t="shared" ref="AH110:AH112" si="85">AH103/$AM$95</f>
        <v>0.3730457768286794</v>
      </c>
      <c r="AI110">
        <f t="shared" ref="AI110:AI112" si="86">AI103/$AQ$82</f>
        <v>0.38205791857395965</v>
      </c>
    </row>
    <row r="111" spans="16:44" x14ac:dyDescent="0.3">
      <c r="P111">
        <v>2032</v>
      </c>
      <c r="Q111">
        <f t="shared" si="69"/>
        <v>999.19880261743003</v>
      </c>
      <c r="R111" t="e">
        <f t="shared" si="70"/>
        <v>#REF!</v>
      </c>
      <c r="S111" t="e">
        <f t="shared" si="71"/>
        <v>#REF!</v>
      </c>
      <c r="T111">
        <f t="shared" si="72"/>
        <v>528.35126657758065</v>
      </c>
      <c r="U111" t="e">
        <f t="shared" si="73"/>
        <v>#REF!</v>
      </c>
      <c r="V111" t="e">
        <f t="shared" si="74"/>
        <v>#REF!</v>
      </c>
      <c r="W111">
        <f t="shared" si="77"/>
        <v>693.14790419152791</v>
      </c>
      <c r="X111" t="e">
        <f t="shared" si="78"/>
        <v>#REF!</v>
      </c>
      <c r="Y111" t="e">
        <f t="shared" si="79"/>
        <v>#REF!</v>
      </c>
      <c r="AB111" t="s">
        <v>161</v>
      </c>
      <c r="AC111">
        <f t="shared" si="80"/>
        <v>9.2631494419919691E-2</v>
      </c>
      <c r="AD111">
        <f t="shared" si="81"/>
        <v>0.11409235635851389</v>
      </c>
      <c r="AE111">
        <f t="shared" si="82"/>
        <v>0.126572269290499</v>
      </c>
      <c r="AF111">
        <f t="shared" si="83"/>
        <v>0.16003017241523954</v>
      </c>
      <c r="AG111">
        <f t="shared" si="84"/>
        <v>0.15390361097034044</v>
      </c>
      <c r="AH111">
        <f t="shared" si="85"/>
        <v>0.16860641604773904</v>
      </c>
      <c r="AI111">
        <f t="shared" si="86"/>
        <v>0.18385101839686013</v>
      </c>
      <c r="AL111" s="28" t="s">
        <v>149</v>
      </c>
    </row>
    <row r="112" spans="16:44" x14ac:dyDescent="0.3">
      <c r="P112">
        <v>2033</v>
      </c>
      <c r="Q112">
        <f t="shared" si="69"/>
        <v>963.78590511262485</v>
      </c>
      <c r="R112" t="e">
        <f t="shared" si="70"/>
        <v>#REF!</v>
      </c>
      <c r="S112" t="e">
        <f t="shared" si="71"/>
        <v>#REF!</v>
      </c>
      <c r="T112">
        <f t="shared" si="72"/>
        <v>510.29056642368789</v>
      </c>
      <c r="U112" t="e">
        <f t="shared" si="73"/>
        <v>#REF!</v>
      </c>
      <c r="V112" t="e">
        <f t="shared" si="74"/>
        <v>#REF!</v>
      </c>
      <c r="W112">
        <f t="shared" si="77"/>
        <v>669.0139349648158</v>
      </c>
      <c r="X112" t="e">
        <f t="shared" si="78"/>
        <v>#REF!</v>
      </c>
      <c r="Y112" t="e">
        <f t="shared" si="79"/>
        <v>#REF!</v>
      </c>
      <c r="AB112" t="s">
        <v>171</v>
      </c>
      <c r="AC112">
        <f t="shared" si="80"/>
        <v>0.1901554055030257</v>
      </c>
      <c r="AD112">
        <f t="shared" si="81"/>
        <v>0.2371438679042191</v>
      </c>
      <c r="AE112">
        <f t="shared" si="82"/>
        <v>0.26139514885646709</v>
      </c>
      <c r="AF112">
        <f t="shared" si="83"/>
        <v>0.32838058215244659</v>
      </c>
      <c r="AG112">
        <f t="shared" si="84"/>
        <v>0.31380071347796823</v>
      </c>
      <c r="AH112">
        <f t="shared" si="85"/>
        <v>0.34160284103623839</v>
      </c>
      <c r="AI112">
        <f t="shared" si="86"/>
        <v>0.37014191878654257</v>
      </c>
      <c r="AL112" s="24">
        <v>-1161.73179</v>
      </c>
    </row>
    <row r="113" spans="16:44" x14ac:dyDescent="0.3">
      <c r="P113">
        <v>2034</v>
      </c>
      <c r="Q113">
        <f t="shared" si="69"/>
        <v>929.99941899445218</v>
      </c>
      <c r="R113" t="e">
        <f t="shared" si="70"/>
        <v>#REF!</v>
      </c>
      <c r="S113" t="e">
        <f t="shared" si="71"/>
        <v>#REF!</v>
      </c>
      <c r="T113">
        <f t="shared" si="72"/>
        <v>493.05801006996325</v>
      </c>
      <c r="U113" t="e">
        <f t="shared" si="73"/>
        <v>#REF!</v>
      </c>
      <c r="V113" t="e">
        <f t="shared" si="74"/>
        <v>#REF!</v>
      </c>
      <c r="W113">
        <f t="shared" si="77"/>
        <v>645.98750319353439</v>
      </c>
      <c r="X113" t="e">
        <f t="shared" si="78"/>
        <v>#REF!</v>
      </c>
      <c r="Y113" t="e">
        <f t="shared" si="79"/>
        <v>#REF!</v>
      </c>
    </row>
    <row r="114" spans="16:44" x14ac:dyDescent="0.3">
      <c r="P114">
        <v>2035</v>
      </c>
      <c r="Q114">
        <f t="shared" si="69"/>
        <v>897.750444979755</v>
      </c>
      <c r="R114" t="e">
        <f t="shared" si="70"/>
        <v>#REF!</v>
      </c>
      <c r="S114" t="e">
        <f t="shared" si="71"/>
        <v>#REF!</v>
      </c>
      <c r="T114">
        <f t="shared" si="72"/>
        <v>476.60826651655958</v>
      </c>
      <c r="U114" t="e">
        <f t="shared" si="73"/>
        <v>#REF!</v>
      </c>
      <c r="V114" t="e">
        <f t="shared" si="74"/>
        <v>#REF!</v>
      </c>
      <c r="W114">
        <f t="shared" si="77"/>
        <v>624.008028978678</v>
      </c>
      <c r="X114" t="e">
        <f t="shared" si="78"/>
        <v>#REF!</v>
      </c>
      <c r="Y114" t="e">
        <f t="shared" si="79"/>
        <v>#REF!</v>
      </c>
      <c r="AL114" t="s">
        <v>211</v>
      </c>
    </row>
    <row r="115" spans="16:44" x14ac:dyDescent="0.3">
      <c r="P115">
        <v>2036</v>
      </c>
      <c r="Q115">
        <f t="shared" si="69"/>
        <v>866.9559103671221</v>
      </c>
      <c r="R115" t="e">
        <f t="shared" si="70"/>
        <v>#REF!</v>
      </c>
      <c r="S115" t="e">
        <f t="shared" si="71"/>
        <v>#REF!</v>
      </c>
      <c r="T115">
        <f t="shared" si="72"/>
        <v>460.89898307740765</v>
      </c>
      <c r="U115" t="e">
        <f t="shared" si="73"/>
        <v>#REF!</v>
      </c>
      <c r="V115" t="e">
        <f t="shared" si="74"/>
        <v>#REF!</v>
      </c>
      <c r="W115">
        <f t="shared" si="77"/>
        <v>603.01890762880771</v>
      </c>
      <c r="X115" t="e">
        <f t="shared" si="78"/>
        <v>#REF!</v>
      </c>
      <c r="Y115" t="e">
        <f t="shared" si="79"/>
        <v>#REF!</v>
      </c>
      <c r="AB115" s="4" t="s">
        <v>170</v>
      </c>
      <c r="AC115">
        <v>2020</v>
      </c>
      <c r="AD115">
        <v>2025</v>
      </c>
      <c r="AE115">
        <v>2030</v>
      </c>
      <c r="AF115">
        <v>2035</v>
      </c>
      <c r="AG115">
        <v>2040</v>
      </c>
      <c r="AH115">
        <v>2045</v>
      </c>
      <c r="AI115">
        <v>2050</v>
      </c>
      <c r="AL115">
        <v>2020</v>
      </c>
      <c r="AM115">
        <v>2025</v>
      </c>
      <c r="AN115">
        <v>2030</v>
      </c>
      <c r="AO115">
        <v>2035</v>
      </c>
      <c r="AP115">
        <v>2040</v>
      </c>
      <c r="AQ115">
        <v>2045</v>
      </c>
      <c r="AR115">
        <v>2050</v>
      </c>
    </row>
    <row r="116" spans="16:44" x14ac:dyDescent="0.3">
      <c r="P116">
        <v>2037</v>
      </c>
      <c r="Q116">
        <f t="shared" si="69"/>
        <v>837.53811426541881</v>
      </c>
      <c r="R116" t="e">
        <f t="shared" si="70"/>
        <v>#REF!</v>
      </c>
      <c r="S116" t="e">
        <f t="shared" si="71"/>
        <v>#REF!</v>
      </c>
      <c r="T116">
        <f t="shared" si="72"/>
        <v>445.89055235117382</v>
      </c>
      <c r="U116" t="e">
        <f t="shared" si="73"/>
        <v>#REF!</v>
      </c>
      <c r="V116" t="e">
        <f t="shared" si="74"/>
        <v>#REF!</v>
      </c>
      <c r="W116">
        <f t="shared" si="77"/>
        <v>582.96719902115956</v>
      </c>
      <c r="X116" t="e">
        <f t="shared" si="78"/>
        <v>#REF!</v>
      </c>
      <c r="Y116" t="e">
        <f t="shared" si="79"/>
        <v>#REF!</v>
      </c>
      <c r="AB116" t="s">
        <v>159</v>
      </c>
      <c r="AC116">
        <f>AC109*$W$64+AL117</f>
        <v>508.79264847141343</v>
      </c>
      <c r="AD116">
        <f t="shared" ref="AD116:AI116" si="87">AD109*$W$64+AM117</f>
        <v>472.03472205128003</v>
      </c>
      <c r="AE116">
        <f t="shared" si="87"/>
        <v>406.83735476423908</v>
      </c>
      <c r="AF116">
        <f t="shared" si="87"/>
        <v>383.17112347378975</v>
      </c>
      <c r="AG116">
        <f t="shared" si="87"/>
        <v>260.17066602003985</v>
      </c>
      <c r="AH116">
        <f t="shared" si="87"/>
        <v>180.9005837212878</v>
      </c>
      <c r="AI116">
        <f t="shared" si="87"/>
        <v>99.279774407211477</v>
      </c>
      <c r="AL116">
        <f>Temperature!Q15</f>
        <v>0</v>
      </c>
      <c r="AM116">
        <f>Temperature!Q20</f>
        <v>449.25468741857918</v>
      </c>
      <c r="AN116">
        <f>Temperature!Q25</f>
        <v>696.35654397671965</v>
      </c>
      <c r="AO116">
        <f>Temperature!Q30</f>
        <v>778.30604401242169</v>
      </c>
      <c r="AP116">
        <f>Temperature!Q35</f>
        <v>727.06404868495611</v>
      </c>
      <c r="AQ116">
        <f>Temperature!Q40</f>
        <v>570.14212815736641</v>
      </c>
      <c r="AR116">
        <f>Temperature!Q45</f>
        <v>331.12981162132098</v>
      </c>
    </row>
    <row r="117" spans="16:44" x14ac:dyDescent="0.3">
      <c r="P117">
        <v>2038</v>
      </c>
      <c r="Q117">
        <f t="shared" si="69"/>
        <v>809.42431426038456</v>
      </c>
      <c r="R117" t="e">
        <f t="shared" si="70"/>
        <v>#REF!</v>
      </c>
      <c r="S117" t="e">
        <f t="shared" si="71"/>
        <v>#REF!</v>
      </c>
      <c r="T117">
        <f t="shared" si="72"/>
        <v>431.54590047033088</v>
      </c>
      <c r="U117" t="e">
        <f t="shared" si="73"/>
        <v>#REF!</v>
      </c>
      <c r="V117" t="e">
        <f t="shared" si="74"/>
        <v>#REF!</v>
      </c>
      <c r="W117">
        <f t="shared" si="77"/>
        <v>563.80334529684956</v>
      </c>
      <c r="X117" t="e">
        <f t="shared" si="78"/>
        <v>#REF!</v>
      </c>
      <c r="Y117" t="e">
        <f t="shared" si="79"/>
        <v>#REF!</v>
      </c>
      <c r="AB117" t="s">
        <v>160</v>
      </c>
      <c r="AC117">
        <f t="shared" ref="AC117:AC118" si="88">AC110*$W$64</f>
        <v>567.52900063747848</v>
      </c>
      <c r="AD117">
        <f t="shared" ref="AD117:AD118" si="89">AD110*$W$69</f>
        <v>319.82410259864298</v>
      </c>
      <c r="AE117">
        <f t="shared" ref="AE117:AE118" si="90">AE110*$W$74</f>
        <v>284.53135725475948</v>
      </c>
      <c r="AF117">
        <f t="shared" ref="AF117:AF118" si="91">AF110*$W$79</f>
        <v>187.90349808679315</v>
      </c>
      <c r="AG117">
        <f t="shared" ref="AG117:AG118" si="92">AG110*$W$84</f>
        <v>229.49241483927693</v>
      </c>
      <c r="AH117">
        <f t="shared" ref="AH117:AH118" si="93">AH110*$W$89</f>
        <v>207.76363337576552</v>
      </c>
      <c r="AI117">
        <f t="shared" ref="AI117:AI118" si="94">AI110*$W$94</f>
        <v>188.95729188564826</v>
      </c>
      <c r="AK117" t="s">
        <v>212</v>
      </c>
      <c r="AL117">
        <f>AL116*0.01</f>
        <v>0</v>
      </c>
      <c r="AM117">
        <f t="shared" ref="AM117:AR117" si="95">AM116*0.01</f>
        <v>4.4925468741857921</v>
      </c>
      <c r="AN117">
        <f t="shared" si="95"/>
        <v>6.9635654397671969</v>
      </c>
      <c r="AO117">
        <f t="shared" si="95"/>
        <v>7.7830604401242169</v>
      </c>
      <c r="AP117">
        <f t="shared" si="95"/>
        <v>7.2706404868495609</v>
      </c>
      <c r="AQ117">
        <f t="shared" si="95"/>
        <v>5.7014212815736647</v>
      </c>
      <c r="AR117">
        <f t="shared" si="95"/>
        <v>3.31129811621321</v>
      </c>
    </row>
    <row r="118" spans="16:44" x14ac:dyDescent="0.3">
      <c r="P118">
        <v>2039</v>
      </c>
      <c r="Q118">
        <f t="shared" si="69"/>
        <v>782.54635020547255</v>
      </c>
      <c r="R118" t="e">
        <f t="shared" si="70"/>
        <v>#REF!</v>
      </c>
      <c r="S118" t="e">
        <f t="shared" si="71"/>
        <v>#REF!</v>
      </c>
      <c r="T118">
        <f t="shared" si="72"/>
        <v>417.83029440934195</v>
      </c>
      <c r="U118" t="e">
        <f t="shared" si="73"/>
        <v>#REF!</v>
      </c>
      <c r="V118" t="e">
        <f t="shared" si="74"/>
        <v>#REF!</v>
      </c>
      <c r="W118">
        <f t="shared" si="77"/>
        <v>545.48091393798768</v>
      </c>
      <c r="X118" t="e">
        <f t="shared" si="78"/>
        <v>#REF!</v>
      </c>
      <c r="Y118" t="e">
        <f t="shared" si="79"/>
        <v>#REF!</v>
      </c>
      <c r="AB118" t="s">
        <v>161</v>
      </c>
      <c r="AC118">
        <f t="shared" si="88"/>
        <v>139.01207719540756</v>
      </c>
      <c r="AD118">
        <f t="shared" si="89"/>
        <v>108.20857295769959</v>
      </c>
      <c r="AE118">
        <f t="shared" si="90"/>
        <v>104.21426059379404</v>
      </c>
      <c r="AF118">
        <f t="shared" si="91"/>
        <v>115.01451354217059</v>
      </c>
      <c r="AG118">
        <f t="shared" si="92"/>
        <v>97.092378209407855</v>
      </c>
      <c r="AH118">
        <f t="shared" si="93"/>
        <v>93.903439696710024</v>
      </c>
      <c r="AI118">
        <f t="shared" si="94"/>
        <v>90.928597099510554</v>
      </c>
    </row>
    <row r="119" spans="16:44" x14ac:dyDescent="0.3">
      <c r="P119">
        <v>2040</v>
      </c>
      <c r="Q119">
        <f t="shared" si="69"/>
        <v>756.840301326847</v>
      </c>
      <c r="R119" t="e">
        <f t="shared" si="70"/>
        <v>#REF!</v>
      </c>
      <c r="S119" t="e">
        <f t="shared" si="71"/>
        <v>#REF!</v>
      </c>
      <c r="T119">
        <f t="shared" si="72"/>
        <v>404.71116639245952</v>
      </c>
      <c r="U119" t="e">
        <f t="shared" si="73"/>
        <v>#REF!</v>
      </c>
      <c r="V119" t="e">
        <f t="shared" si="74"/>
        <v>#REF!</v>
      </c>
      <c r="W119">
        <f t="shared" si="77"/>
        <v>527.95636361949505</v>
      </c>
      <c r="X119" t="e">
        <f t="shared" si="78"/>
        <v>#REF!</v>
      </c>
      <c r="Y119" t="e">
        <f t="shared" si="79"/>
        <v>#REF!</v>
      </c>
      <c r="AB119" t="s">
        <v>162</v>
      </c>
      <c r="AC119">
        <f>AC112*$W$64+AL112</f>
        <v>-876.36558626501824</v>
      </c>
      <c r="AD119">
        <f>AD112*$W$69+AL112</f>
        <v>-936.81751571724374</v>
      </c>
      <c r="AE119">
        <f>AE112*$W$74+AL112</f>
        <v>-946.51006478655893</v>
      </c>
      <c r="AF119">
        <f>AF112*$W$79+AL112</f>
        <v>-925.7229652706344</v>
      </c>
      <c r="AG119">
        <f>AG112*$W$84+AL112</f>
        <v>-963.76595045087799</v>
      </c>
      <c r="AH119">
        <f>AH112*$W$89+AL112</f>
        <v>-971.47994469425089</v>
      </c>
      <c r="AI119">
        <f>AI112*$W$94+AL112</f>
        <v>-978.66788479861293</v>
      </c>
    </row>
    <row r="120" spans="16:44" x14ac:dyDescent="0.3">
      <c r="P120">
        <v>2041</v>
      </c>
      <c r="Q120">
        <f t="shared" si="69"/>
        <v>732.24617327118892</v>
      </c>
      <c r="R120" t="e">
        <f t="shared" si="70"/>
        <v>#REF!</v>
      </c>
      <c r="S120" t="e">
        <f t="shared" si="71"/>
        <v>#REF!</v>
      </c>
      <c r="T120">
        <f t="shared" si="72"/>
        <v>392.15795366760324</v>
      </c>
      <c r="U120" t="e">
        <f t="shared" si="73"/>
        <v>#REF!</v>
      </c>
      <c r="V120" t="e">
        <f t="shared" si="74"/>
        <v>#REF!</v>
      </c>
      <c r="W120">
        <f t="shared" si="77"/>
        <v>511.1888305288582</v>
      </c>
      <c r="X120" t="e">
        <f t="shared" si="78"/>
        <v>#REF!</v>
      </c>
      <c r="Y120" t="e">
        <f t="shared" si="79"/>
        <v>#REF!</v>
      </c>
    </row>
    <row r="121" spans="16:44" x14ac:dyDescent="0.3">
      <c r="P121">
        <v>2042</v>
      </c>
      <c r="Q121">
        <f t="shared" si="69"/>
        <v>708.70761210781438</v>
      </c>
      <c r="R121" t="e">
        <f t="shared" si="70"/>
        <v>#REF!</v>
      </c>
      <c r="S121" t="e">
        <f t="shared" si="71"/>
        <v>#REF!</v>
      </c>
      <c r="T121">
        <f t="shared" si="72"/>
        <v>380.14195210993734</v>
      </c>
      <c r="U121" t="e">
        <f t="shared" si="73"/>
        <v>#REF!</v>
      </c>
      <c r="V121" t="e">
        <f t="shared" si="74"/>
        <v>#REF!</v>
      </c>
      <c r="W121">
        <f t="shared" si="77"/>
        <v>495.13993310919432</v>
      </c>
      <c r="X121" t="e">
        <f t="shared" si="78"/>
        <v>#REF!</v>
      </c>
      <c r="Y121" t="e">
        <f t="shared" si="79"/>
        <v>#REF!</v>
      </c>
      <c r="AC121">
        <f>SUM(AC116:AC119)</f>
        <v>338.96814003928125</v>
      </c>
      <c r="AD121">
        <f t="shared" ref="AD121:AI121" si="96">SUM(AD116:AD119)</f>
        <v>-36.750118109621098</v>
      </c>
      <c r="AE121">
        <f t="shared" si="96"/>
        <v>-150.92709217376625</v>
      </c>
      <c r="AF121">
        <f t="shared" si="96"/>
        <v>-239.63383016788089</v>
      </c>
      <c r="AG121">
        <f t="shared" si="96"/>
        <v>-377.01049138215342</v>
      </c>
      <c r="AH121">
        <f t="shared" si="96"/>
        <v>-488.91228790048751</v>
      </c>
      <c r="AI121">
        <f t="shared" si="96"/>
        <v>-599.5022214062426</v>
      </c>
    </row>
    <row r="122" spans="16:44" x14ac:dyDescent="0.3">
      <c r="P122">
        <v>2043</v>
      </c>
      <c r="Q122">
        <f t="shared" si="69"/>
        <v>686.17164263139819</v>
      </c>
      <c r="R122" t="e">
        <f t="shared" si="70"/>
        <v>#REF!</v>
      </c>
      <c r="S122" t="e">
        <f t="shared" si="71"/>
        <v>#REF!</v>
      </c>
      <c r="T122">
        <f t="shared" si="72"/>
        <v>368.63618229113314</v>
      </c>
      <c r="U122" t="e">
        <f t="shared" si="73"/>
        <v>#REF!</v>
      </c>
      <c r="V122" t="e">
        <f t="shared" si="74"/>
        <v>#REF!</v>
      </c>
      <c r="W122">
        <f t="shared" si="77"/>
        <v>479.77359341022589</v>
      </c>
      <c r="X122" t="e">
        <f t="shared" si="78"/>
        <v>#REF!</v>
      </c>
      <c r="Y122" t="e">
        <f t="shared" si="79"/>
        <v>#REF!</v>
      </c>
    </row>
    <row r="123" spans="16:44" x14ac:dyDescent="0.3">
      <c r="P123">
        <v>2044</v>
      </c>
      <c r="Q123">
        <f t="shared" si="69"/>
        <v>664.58842860488426</v>
      </c>
      <c r="R123" t="e">
        <f t="shared" si="70"/>
        <v>#REF!</v>
      </c>
      <c r="S123" t="e">
        <f t="shared" si="71"/>
        <v>#REF!</v>
      </c>
      <c r="T123">
        <f t="shared" si="72"/>
        <v>357.61526680128412</v>
      </c>
      <c r="U123" t="e">
        <f t="shared" si="73"/>
        <v>#REF!</v>
      </c>
      <c r="V123" t="e">
        <f t="shared" si="74"/>
        <v>#REF!</v>
      </c>
      <c r="W123">
        <f t="shared" si="77"/>
        <v>465.05587343254416</v>
      </c>
      <c r="X123" t="e">
        <f t="shared" si="78"/>
        <v>#REF!</v>
      </c>
      <c r="Y123" t="e">
        <f t="shared" si="79"/>
        <v>#REF!</v>
      </c>
    </row>
    <row r="124" spans="16:44" x14ac:dyDescent="0.3">
      <c r="P124">
        <v>2045</v>
      </c>
      <c r="Q124">
        <f t="shared" si="69"/>
        <v>643.91105283960019</v>
      </c>
      <c r="R124" t="e">
        <f t="shared" si="70"/>
        <v>#REF!</v>
      </c>
      <c r="S124" t="e">
        <f t="shared" si="71"/>
        <v>#REF!</v>
      </c>
      <c r="T124">
        <f t="shared" si="72"/>
        <v>347.0553177429349</v>
      </c>
      <c r="U124" t="e">
        <f t="shared" si="73"/>
        <v>#REF!</v>
      </c>
      <c r="V124" t="e">
        <f t="shared" si="74"/>
        <v>#REF!</v>
      </c>
      <c r="W124">
        <f t="shared" si="77"/>
        <v>450.95482502676771</v>
      </c>
      <c r="X124" t="e">
        <f t="shared" si="78"/>
        <v>#REF!</v>
      </c>
      <c r="Y124" t="e">
        <f t="shared" si="79"/>
        <v>#REF!</v>
      </c>
    </row>
    <row r="125" spans="16:44" x14ac:dyDescent="0.3">
      <c r="P125">
        <v>2046</v>
      </c>
      <c r="Q125">
        <f t="shared" si="69"/>
        <v>624.09531523596024</v>
      </c>
      <c r="R125" t="e">
        <f t="shared" si="70"/>
        <v>#REF!</v>
      </c>
      <c r="S125" t="e">
        <f t="shared" si="71"/>
        <v>#REF!</v>
      </c>
      <c r="T125">
        <f t="shared" si="72"/>
        <v>336.93383343317379</v>
      </c>
      <c r="U125" t="e">
        <f t="shared" si="73"/>
        <v>#REF!</v>
      </c>
      <c r="V125" t="e">
        <f t="shared" si="74"/>
        <v>#REF!</v>
      </c>
      <c r="W125">
        <f t="shared" si="77"/>
        <v>437.44035206414901</v>
      </c>
      <c r="X125" t="e">
        <f t="shared" si="78"/>
        <v>#REF!</v>
      </c>
      <c r="Y125" t="e">
        <f t="shared" si="79"/>
        <v>#REF!</v>
      </c>
    </row>
    <row r="126" spans="16:44" x14ac:dyDescent="0.3">
      <c r="P126">
        <v>2047</v>
      </c>
      <c r="Q126">
        <f t="shared" si="69"/>
        <v>605.09954710753243</v>
      </c>
      <c r="R126" t="e">
        <f t="shared" si="70"/>
        <v>#REF!</v>
      </c>
      <c r="S126" t="e">
        <f t="shared" si="71"/>
        <v>#REF!</v>
      </c>
      <c r="T126">
        <f t="shared" si="72"/>
        <v>327.22960345232616</v>
      </c>
      <c r="U126" t="e">
        <f t="shared" si="73"/>
        <v>#REF!</v>
      </c>
      <c r="V126" t="e">
        <f t="shared" si="74"/>
        <v>#REF!</v>
      </c>
      <c r="W126">
        <f t="shared" si="77"/>
        <v>424.4840837316483</v>
      </c>
      <c r="X126" t="e">
        <f t="shared" si="78"/>
        <v>#REF!</v>
      </c>
      <c r="Y126" t="e">
        <f t="shared" si="79"/>
        <v>#REF!</v>
      </c>
    </row>
    <row r="127" spans="16:44" x14ac:dyDescent="0.3">
      <c r="P127">
        <v>2048</v>
      </c>
      <c r="Q127">
        <f t="shared" si="69"/>
        <v>586.88444028719562</v>
      </c>
      <c r="R127" t="e">
        <f t="shared" si="70"/>
        <v>#REF!</v>
      </c>
      <c r="S127" t="e">
        <f t="shared" si="71"/>
        <v>#REF!</v>
      </c>
      <c r="T127">
        <f t="shared" si="72"/>
        <v>317.92262126829917</v>
      </c>
      <c r="U127" t="e">
        <f t="shared" si="73"/>
        <v>#REF!</v>
      </c>
      <c r="V127" t="e">
        <f t="shared" si="74"/>
        <v>#REF!</v>
      </c>
      <c r="W127">
        <f t="shared" si="77"/>
        <v>412.05925792491291</v>
      </c>
      <c r="X127" t="e">
        <f t="shared" si="78"/>
        <v>#REF!</v>
      </c>
      <c r="Y127" t="e">
        <f t="shared" si="79"/>
        <v>#REF!</v>
      </c>
    </row>
    <row r="128" spans="16:44" x14ac:dyDescent="0.3">
      <c r="P128">
        <v>2049</v>
      </c>
      <c r="Q128">
        <f t="shared" si="69"/>
        <v>569.41288966962111</v>
      </c>
      <c r="R128" t="e">
        <f t="shared" si="70"/>
        <v>#REF!</v>
      </c>
      <c r="S128" t="e">
        <f t="shared" si="71"/>
        <v>#REF!</v>
      </c>
      <c r="T128">
        <f t="shared" si="72"/>
        <v>308.99400374560656</v>
      </c>
      <c r="U128" t="e">
        <f t="shared" si="73"/>
        <v>#REF!</v>
      </c>
      <c r="V128" t="e">
        <f t="shared" si="74"/>
        <v>#REF!</v>
      </c>
      <c r="W128">
        <f t="shared" si="77"/>
        <v>400.14061381901166</v>
      </c>
      <c r="X128" t="e">
        <f t="shared" si="78"/>
        <v>#REF!</v>
      </c>
      <c r="Y128" t="e">
        <f t="shared" si="79"/>
        <v>#REF!</v>
      </c>
    </row>
    <row r="129" spans="16:25" x14ac:dyDescent="0.3">
      <c r="P129">
        <v>2050</v>
      </c>
      <c r="Q129">
        <f t="shared" si="69"/>
        <v>552.64984798198464</v>
      </c>
      <c r="R129" t="e">
        <f t="shared" si="70"/>
        <v>#REF!</v>
      </c>
      <c r="S129" t="e">
        <f t="shared" si="71"/>
        <v>#REF!</v>
      </c>
      <c r="T129">
        <f t="shared" si="72"/>
        <v>300.42591691890442</v>
      </c>
      <c r="U129" t="e">
        <f t="shared" si="73"/>
        <v>#REF!</v>
      </c>
      <c r="V129" t="e">
        <f t="shared" si="74"/>
        <v>#REF!</v>
      </c>
      <c r="W129">
        <f t="shared" si="77"/>
        <v>388.70429279098249</v>
      </c>
      <c r="X129" t="e">
        <f t="shared" si="78"/>
        <v>#REF!</v>
      </c>
      <c r="Y129" t="e">
        <f t="shared" si="79"/>
        <v>#REF!</v>
      </c>
    </row>
  </sheetData>
  <mergeCells count="38">
    <mergeCell ref="T62:V62"/>
    <mergeCell ref="W62:Y62"/>
    <mergeCell ref="B62:D62"/>
    <mergeCell ref="E62:G62"/>
    <mergeCell ref="K62:L62"/>
    <mergeCell ref="M62:N62"/>
    <mergeCell ref="Q62:S62"/>
    <mergeCell ref="J1:L1"/>
    <mergeCell ref="J13:L13"/>
    <mergeCell ref="M13:O13"/>
    <mergeCell ref="I27:K27"/>
    <mergeCell ref="L27:N27"/>
    <mergeCell ref="I26:N26"/>
    <mergeCell ref="B13:D13"/>
    <mergeCell ref="E13:G13"/>
    <mergeCell ref="AC27:AE27"/>
    <mergeCell ref="AF27:AH27"/>
    <mergeCell ref="B26:G26"/>
    <mergeCell ref="AC26:AH26"/>
    <mergeCell ref="Q26:V26"/>
    <mergeCell ref="Q27:S27"/>
    <mergeCell ref="T27:V27"/>
    <mergeCell ref="W26:AB26"/>
    <mergeCell ref="W27:Y27"/>
    <mergeCell ref="Z27:AB27"/>
    <mergeCell ref="B27:D27"/>
    <mergeCell ref="E27:G27"/>
    <mergeCell ref="AK86:AM86"/>
    <mergeCell ref="AO86:AQ86"/>
    <mergeCell ref="AC73:AE73"/>
    <mergeCell ref="AG73:AI73"/>
    <mergeCell ref="AK73:AM73"/>
    <mergeCell ref="AO73:AQ73"/>
    <mergeCell ref="Q97:S97"/>
    <mergeCell ref="T97:V97"/>
    <mergeCell ref="W97:Y97"/>
    <mergeCell ref="AC86:AE86"/>
    <mergeCell ref="AG86:AI86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zoomScale="85" zoomScaleNormal="85" workbookViewId="0">
      <selection activeCell="G4" sqref="G4"/>
    </sheetView>
  </sheetViews>
  <sheetFormatPr defaultColWidth="8.6640625" defaultRowHeight="14" x14ac:dyDescent="0.3"/>
  <cols>
    <col min="1" max="2" width="14.33203125" style="24" bestFit="1" customWidth="1"/>
    <col min="3" max="3" width="10.83203125" style="24" customWidth="1"/>
    <col min="4" max="4" width="12.33203125" style="24" bestFit="1" customWidth="1"/>
    <col min="5" max="5" width="11" style="24" customWidth="1"/>
    <col min="6" max="6" width="13.33203125" style="24" customWidth="1"/>
    <col min="7" max="7" width="13.58203125" style="24" bestFit="1" customWidth="1"/>
    <col min="8" max="8" width="16" style="24" bestFit="1" customWidth="1"/>
    <col min="9" max="16384" width="8.6640625" style="24"/>
  </cols>
  <sheetData>
    <row r="1" spans="1:17" ht="28" x14ac:dyDescent="0.3">
      <c r="A1" s="26" t="s">
        <v>178</v>
      </c>
      <c r="B1" s="44" t="s">
        <v>4</v>
      </c>
      <c r="C1" s="44" t="s">
        <v>5</v>
      </c>
      <c r="D1" s="43" t="s">
        <v>118</v>
      </c>
      <c r="E1" s="43" t="s">
        <v>120</v>
      </c>
      <c r="F1" s="43" t="s">
        <v>122</v>
      </c>
      <c r="G1" s="43" t="s">
        <v>174</v>
      </c>
      <c r="H1" s="43" t="s">
        <v>175</v>
      </c>
      <c r="K1" s="44" t="s">
        <v>4</v>
      </c>
      <c r="L1" s="44" t="s">
        <v>5</v>
      </c>
      <c r="M1" s="43" t="s">
        <v>118</v>
      </c>
      <c r="N1" s="43" t="s">
        <v>120</v>
      </c>
      <c r="O1" s="43" t="s">
        <v>122</v>
      </c>
      <c r="P1" s="43" t="s">
        <v>174</v>
      </c>
      <c r="Q1" s="43" t="s">
        <v>175</v>
      </c>
    </row>
    <row r="2" spans="1:17" ht="28" x14ac:dyDescent="0.3">
      <c r="A2" s="26" t="s">
        <v>115</v>
      </c>
      <c r="B2" s="44" t="s">
        <v>116</v>
      </c>
      <c r="C2" s="44" t="s">
        <v>117</v>
      </c>
      <c r="D2" s="44" t="s">
        <v>119</v>
      </c>
      <c r="E2" s="44" t="s">
        <v>121</v>
      </c>
      <c r="F2" s="44" t="s">
        <v>123</v>
      </c>
      <c r="G2" s="44" t="s">
        <v>127</v>
      </c>
      <c r="H2" s="44" t="s">
        <v>127</v>
      </c>
      <c r="K2" s="44" t="s">
        <v>116</v>
      </c>
      <c r="L2" s="44" t="s">
        <v>117</v>
      </c>
      <c r="M2" s="44" t="s">
        <v>119</v>
      </c>
      <c r="N2" s="44" t="s">
        <v>121</v>
      </c>
      <c r="O2" s="44" t="s">
        <v>123</v>
      </c>
      <c r="P2" s="44" t="s">
        <v>127</v>
      </c>
      <c r="Q2" s="44" t="s">
        <v>127</v>
      </c>
    </row>
    <row r="3" spans="1:17" x14ac:dyDescent="0.3">
      <c r="A3" s="25" t="s">
        <v>0</v>
      </c>
      <c r="B3" s="25" t="s">
        <v>1</v>
      </c>
      <c r="C3" s="25" t="s">
        <v>1</v>
      </c>
      <c r="D3" s="25" t="s">
        <v>1</v>
      </c>
      <c r="E3" s="25" t="s">
        <v>1</v>
      </c>
      <c r="F3" s="25" t="s">
        <v>1</v>
      </c>
      <c r="G3" s="25" t="s">
        <v>1</v>
      </c>
      <c r="H3" s="25" t="s">
        <v>1</v>
      </c>
      <c r="I3" s="28" t="s">
        <v>149</v>
      </c>
      <c r="K3" s="25" t="s">
        <v>1</v>
      </c>
      <c r="L3" s="25" t="s">
        <v>1</v>
      </c>
      <c r="M3" s="25" t="s">
        <v>1</v>
      </c>
      <c r="N3" s="25" t="s">
        <v>1</v>
      </c>
      <c r="O3" s="25" t="s">
        <v>1</v>
      </c>
      <c r="P3" s="25" t="s">
        <v>1</v>
      </c>
      <c r="Q3" s="25" t="s">
        <v>1</v>
      </c>
    </row>
    <row r="4" spans="1:17" x14ac:dyDescent="0.3">
      <c r="A4" s="25">
        <v>2020</v>
      </c>
      <c r="B4" s="25">
        <f>Baseline!K33+Temperature!P15*0.01</f>
        <v>1500.6999300392813</v>
      </c>
      <c r="C4" s="25">
        <f>'Elec str'!J48</f>
        <v>1500.6999300392813</v>
      </c>
      <c r="D4" s="24">
        <f>Mode!K3</f>
        <v>1500.6999300392813</v>
      </c>
      <c r="E4" s="24">
        <f>Speed!F3</f>
        <v>1500.6999300392813</v>
      </c>
      <c r="F4" s="24">
        <f>Infrastructure!L11</f>
        <v>1500.6999300392813</v>
      </c>
      <c r="G4" s="24">
        <f>Best!W64+Temperature!Q15*0.01</f>
        <v>1500.6999300392813</v>
      </c>
      <c r="H4" s="24">
        <f>Best!W99</f>
        <v>1500.6999300392813</v>
      </c>
      <c r="I4" s="24">
        <v>-1161.73179</v>
      </c>
      <c r="K4" s="28">
        <f t="shared" ref="K4:K34" si="0">B4+$I$4</f>
        <v>338.96814003928125</v>
      </c>
      <c r="L4" s="28">
        <f t="shared" ref="L4:L34" si="1">C4+$I$4</f>
        <v>338.96814003928125</v>
      </c>
      <c r="M4" s="28">
        <f t="shared" ref="M4:M34" si="2">D4+$I$4</f>
        <v>338.96814003928125</v>
      </c>
      <c r="N4" s="28">
        <f t="shared" ref="N4:N34" si="3">E4+$I$4</f>
        <v>338.96814003928125</v>
      </c>
      <c r="O4" s="28">
        <f t="shared" ref="O4:O34" si="4">F4+$I$4</f>
        <v>338.96814003928125</v>
      </c>
      <c r="P4" s="28">
        <f t="shared" ref="P4:P34" si="5">G4+$I$4</f>
        <v>338.96814003928125</v>
      </c>
      <c r="Q4" s="28">
        <f t="shared" ref="Q4:Q34" si="6">H4+$I$4</f>
        <v>338.96814003928125</v>
      </c>
    </row>
    <row r="5" spans="1:17" x14ac:dyDescent="0.3">
      <c r="A5" s="25">
        <v>2021</v>
      </c>
      <c r="B5" s="41">
        <f>Baseline!K34+Temperature!P16*0.01</f>
        <v>1507.2134711558294</v>
      </c>
      <c r="C5" s="25">
        <f>'Elec str'!J49</f>
        <v>1500.6999300392813</v>
      </c>
      <c r="D5" s="24">
        <f>Mode!K4</f>
        <v>1499.993728736014</v>
      </c>
      <c r="E5" s="24">
        <f>Speed!F4</f>
        <v>1471.2744412149816</v>
      </c>
      <c r="F5" s="24">
        <f>Infrastructure!L12</f>
        <v>1491.5151661721093</v>
      </c>
      <c r="G5" s="24">
        <f>Best!W65+Temperature!Q16*0.01</f>
        <v>1479.8145618864335</v>
      </c>
      <c r="H5" s="24">
        <f>Best!W100</f>
        <v>1461.9033049314066</v>
      </c>
      <c r="K5" s="28">
        <f t="shared" si="0"/>
        <v>345.48168115582939</v>
      </c>
      <c r="L5" s="28">
        <f t="shared" si="1"/>
        <v>338.96814003928125</v>
      </c>
      <c r="M5" s="28">
        <f t="shared" si="2"/>
        <v>338.26193873601392</v>
      </c>
      <c r="N5" s="28">
        <f t="shared" si="3"/>
        <v>309.54265121498156</v>
      </c>
      <c r="O5" s="28">
        <f t="shared" si="4"/>
        <v>329.78337617210923</v>
      </c>
      <c r="P5" s="28">
        <f t="shared" si="5"/>
        <v>318.08277188643342</v>
      </c>
      <c r="Q5" s="28">
        <f t="shared" si="6"/>
        <v>300.17151493140659</v>
      </c>
    </row>
    <row r="6" spans="1:17" x14ac:dyDescent="0.3">
      <c r="A6" s="25">
        <v>2022</v>
      </c>
      <c r="B6" s="41">
        <f>Baseline!K35+Temperature!P17*0.01</f>
        <v>1495.2197436476342</v>
      </c>
      <c r="C6" s="25">
        <f>'Elec str'!J50</f>
        <v>1482.3563339550606</v>
      </c>
      <c r="D6" s="24">
        <f>Mode!K5</f>
        <v>1480.9113915818884</v>
      </c>
      <c r="E6" s="24">
        <f>Speed!F5</f>
        <v>1425.3426288029427</v>
      </c>
      <c r="F6" s="24">
        <f>Infrastructure!L13</f>
        <v>1464.5566010092009</v>
      </c>
      <c r="G6" s="24">
        <f>Best!W66+Temperature!Q17*0.01</f>
        <v>1441.7250382991872</v>
      </c>
      <c r="H6" s="24">
        <f>Best!W101</f>
        <v>1407.4478953379148</v>
      </c>
      <c r="K6" s="28">
        <f t="shared" si="0"/>
        <v>333.48795364763419</v>
      </c>
      <c r="L6" s="28">
        <f t="shared" si="1"/>
        <v>320.62454395506052</v>
      </c>
      <c r="M6" s="28">
        <f t="shared" si="2"/>
        <v>319.17960158188839</v>
      </c>
      <c r="N6" s="28">
        <f t="shared" si="3"/>
        <v>263.61083880294268</v>
      </c>
      <c r="O6" s="28">
        <f t="shared" si="4"/>
        <v>302.82481100920086</v>
      </c>
      <c r="P6" s="28">
        <f t="shared" si="5"/>
        <v>279.99324829918714</v>
      </c>
      <c r="Q6" s="28">
        <f t="shared" si="6"/>
        <v>245.71610533791477</v>
      </c>
    </row>
    <row r="7" spans="1:17" x14ac:dyDescent="0.3">
      <c r="A7" s="25">
        <v>2023</v>
      </c>
      <c r="B7" s="41">
        <f>Baseline!K36+Temperature!P18*0.01</f>
        <v>1334.0711909886477</v>
      </c>
      <c r="C7" s="25">
        <f>'Elec str'!J51</f>
        <v>1304.6289175988527</v>
      </c>
      <c r="D7" s="24">
        <f>Mode!K6</f>
        <v>1314.6572687877083</v>
      </c>
      <c r="E7" s="24">
        <f>Speed!F6</f>
        <v>1242.7018577330869</v>
      </c>
      <c r="F7" s="24">
        <f>Infrastructure!L14</f>
        <v>1294.6219763333072</v>
      </c>
      <c r="G7" s="24">
        <f>Best!W67+Temperature!Q18*0.01</f>
        <v>1251.7009090445674</v>
      </c>
      <c r="H7" s="24">
        <f>Best!W102</f>
        <v>1207.831556187464</v>
      </c>
      <c r="K7" s="28">
        <f t="shared" si="0"/>
        <v>172.33940098864764</v>
      </c>
      <c r="L7" s="28">
        <f t="shared" si="1"/>
        <v>142.89712759885265</v>
      </c>
      <c r="M7" s="28">
        <f t="shared" si="2"/>
        <v>152.92547878770824</v>
      </c>
      <c r="N7" s="28">
        <f t="shared" si="3"/>
        <v>80.970067733086807</v>
      </c>
      <c r="O7" s="28">
        <f t="shared" si="4"/>
        <v>132.89018633330716</v>
      </c>
      <c r="P7" s="28">
        <f t="shared" si="5"/>
        <v>89.969119044567378</v>
      </c>
      <c r="Q7" s="28">
        <f t="shared" si="6"/>
        <v>46.099766187463956</v>
      </c>
    </row>
    <row r="8" spans="1:17" x14ac:dyDescent="0.3">
      <c r="A8" s="25">
        <v>2024</v>
      </c>
      <c r="B8" s="41">
        <f>Baseline!K37+Temperature!P19*0.01</f>
        <v>1078.239367759887</v>
      </c>
      <c r="C8" s="25">
        <f>'Elec str'!J52</f>
        <v>1035.2448729093508</v>
      </c>
      <c r="D8" s="24">
        <f>Mode!K7</f>
        <v>1056.0669100063121</v>
      </c>
      <c r="E8" s="24">
        <f>Speed!F7</f>
        <v>981.90150372035123</v>
      </c>
      <c r="F8" s="24">
        <f>Infrastructure!L15</f>
        <v>1038.1550236381504</v>
      </c>
      <c r="G8" s="24">
        <f>Best!W68+Temperature!Q19*0.01</f>
        <v>980.04270391665875</v>
      </c>
      <c r="H8" s="24">
        <f>Best!W103</f>
        <v>934.98008561512665</v>
      </c>
      <c r="K8" s="28">
        <f t="shared" si="0"/>
        <v>-83.492422240113001</v>
      </c>
      <c r="L8" s="28">
        <f t="shared" si="1"/>
        <v>-126.48691709064929</v>
      </c>
      <c r="M8" s="28">
        <f t="shared" si="2"/>
        <v>-105.66487999368792</v>
      </c>
      <c r="N8" s="28">
        <f t="shared" si="3"/>
        <v>-179.83028627964882</v>
      </c>
      <c r="O8" s="28">
        <f t="shared" si="4"/>
        <v>-123.57676636184965</v>
      </c>
      <c r="P8" s="28">
        <f t="shared" si="5"/>
        <v>-181.68908608334129</v>
      </c>
      <c r="Q8" s="28">
        <f t="shared" si="6"/>
        <v>-226.75170438487339</v>
      </c>
    </row>
    <row r="9" spans="1:17" x14ac:dyDescent="0.3">
      <c r="A9" s="25">
        <v>2025</v>
      </c>
      <c r="B9" s="41">
        <f>Baseline!K38+Temperature!P20*0.01</f>
        <v>1082.724920537373</v>
      </c>
      <c r="C9" s="25">
        <f>'Elec str'!J53</f>
        <v>1020.4141289704758</v>
      </c>
      <c r="D9" s="24">
        <f>Mode!K8</f>
        <v>1054.9702315033953</v>
      </c>
      <c r="E9" s="24">
        <f>Speed!F8</f>
        <v>964.04874910725391</v>
      </c>
      <c r="F9" s="24">
        <f>Infrastructure!L16</f>
        <v>1033.0091927812673</v>
      </c>
      <c r="G9" s="24">
        <f>Best!W69+Temperature!Q20*0.01</f>
        <v>952.92219116757201</v>
      </c>
      <c r="H9" s="24">
        <f>Best!W104</f>
        <v>899.19632970900398</v>
      </c>
      <c r="K9" s="28">
        <f t="shared" si="0"/>
        <v>-79.006869462627037</v>
      </c>
      <c r="L9" s="28">
        <f t="shared" si="1"/>
        <v>-141.31766102952429</v>
      </c>
      <c r="M9" s="28">
        <f t="shared" si="2"/>
        <v>-106.76155849660472</v>
      </c>
      <c r="N9" s="28">
        <f t="shared" si="3"/>
        <v>-197.68304089274613</v>
      </c>
      <c r="O9" s="28">
        <f t="shared" si="4"/>
        <v>-128.72259721873274</v>
      </c>
      <c r="P9" s="28">
        <f t="shared" si="5"/>
        <v>-208.80959883242804</v>
      </c>
      <c r="Q9" s="28">
        <f t="shared" si="6"/>
        <v>-262.53546029099607</v>
      </c>
    </row>
    <row r="10" spans="1:17" x14ac:dyDescent="0.3">
      <c r="A10" s="25">
        <v>2026</v>
      </c>
      <c r="B10" s="41">
        <f>Baseline!K39+Temperature!P21*0.01</f>
        <v>1087.2263760862822</v>
      </c>
      <c r="C10" s="25">
        <f>'Elec str'!J54</f>
        <v>1005.9562509738992</v>
      </c>
      <c r="D10" s="24">
        <f>Mode!K9</f>
        <v>1053.8735530004785</v>
      </c>
      <c r="E10" s="24">
        <f>Speed!F9</f>
        <v>946.8335928731957</v>
      </c>
      <c r="F10" s="24">
        <f>Infrastructure!L17</f>
        <v>1028.0192961927739</v>
      </c>
      <c r="G10" s="24">
        <f>Best!W70+Temperature!Q21*0.01</f>
        <v>926.71536363128575</v>
      </c>
      <c r="H10" s="24">
        <f>Best!W105</f>
        <v>865.19762369255602</v>
      </c>
      <c r="K10" s="28">
        <f t="shared" si="0"/>
        <v>-74.505413913717803</v>
      </c>
      <c r="L10" s="28">
        <f t="shared" si="1"/>
        <v>-155.77553902610089</v>
      </c>
      <c r="M10" s="28">
        <f t="shared" si="2"/>
        <v>-107.85823699952152</v>
      </c>
      <c r="N10" s="28">
        <f t="shared" si="3"/>
        <v>-214.89819712680435</v>
      </c>
      <c r="O10" s="28">
        <f t="shared" si="4"/>
        <v>-133.71249380722611</v>
      </c>
      <c r="P10" s="28">
        <f t="shared" si="5"/>
        <v>-235.01642636871429</v>
      </c>
      <c r="Q10" s="28">
        <f t="shared" si="6"/>
        <v>-296.53416630744402</v>
      </c>
    </row>
    <row r="11" spans="1:17" x14ac:dyDescent="0.3">
      <c r="A11" s="25">
        <v>2027</v>
      </c>
      <c r="B11" s="41">
        <f>Baseline!K40+Temperature!P22*0.01</f>
        <v>1091.7438648745476</v>
      </c>
      <c r="C11" s="25">
        <f>'Elec str'!J55</f>
        <v>991.86338985873795</v>
      </c>
      <c r="D11" s="24">
        <f>Mode!K10</f>
        <v>1052.7768744975617</v>
      </c>
      <c r="E11" s="24">
        <f>Speed!F10</f>
        <v>930.22247720875373</v>
      </c>
      <c r="F11" s="24">
        <f>Infrastructure!L18</f>
        <v>1023.1783517412508</v>
      </c>
      <c r="G11" s="24">
        <f>Best!W71+Temperature!Q22*0.01</f>
        <v>901.38575503369646</v>
      </c>
      <c r="H11" s="24">
        <f>Best!W106</f>
        <v>832.87564864712863</v>
      </c>
      <c r="K11" s="28">
        <f t="shared" si="0"/>
        <v>-69.987925125452421</v>
      </c>
      <c r="L11" s="28">
        <f t="shared" si="1"/>
        <v>-169.8684001412621</v>
      </c>
      <c r="M11" s="28">
        <f t="shared" si="2"/>
        <v>-108.95491550243833</v>
      </c>
      <c r="N11" s="28">
        <f t="shared" si="3"/>
        <v>-231.50931279124632</v>
      </c>
      <c r="O11" s="28">
        <f t="shared" si="4"/>
        <v>-138.55343825874922</v>
      </c>
      <c r="P11" s="28">
        <f t="shared" si="5"/>
        <v>-260.34603496630359</v>
      </c>
      <c r="Q11" s="28">
        <f t="shared" si="6"/>
        <v>-328.85614135287142</v>
      </c>
    </row>
    <row r="12" spans="1:17" x14ac:dyDescent="0.3">
      <c r="A12" s="25">
        <v>2028</v>
      </c>
      <c r="B12" s="41">
        <f>Baseline!K41+Temperature!P23*0.01</f>
        <v>1096.2775188011776</v>
      </c>
      <c r="C12" s="25">
        <f>'Elec str'!J56</f>
        <v>978.12784814109932</v>
      </c>
      <c r="D12" s="24">
        <f>Mode!K11</f>
        <v>1051.6801959946449</v>
      </c>
      <c r="E12" s="24">
        <f>Speed!F11</f>
        <v>914.18415863618895</v>
      </c>
      <c r="F12" s="24">
        <f>Infrastructure!L19</f>
        <v>1018.4797880088902</v>
      </c>
      <c r="G12" s="24">
        <f>Best!W72+Temperature!Q23*0.01</f>
        <v>876.8986565804837</v>
      </c>
      <c r="H12" s="24">
        <f>Best!W107</f>
        <v>802.13008496969451</v>
      </c>
      <c r="K12" s="28">
        <f t="shared" si="0"/>
        <v>-65.454271198822426</v>
      </c>
      <c r="L12" s="28">
        <f t="shared" si="1"/>
        <v>-183.60394185890073</v>
      </c>
      <c r="M12" s="28">
        <f t="shared" si="2"/>
        <v>-110.05159400535513</v>
      </c>
      <c r="N12" s="28">
        <f t="shared" si="3"/>
        <v>-247.54763136381109</v>
      </c>
      <c r="O12" s="28">
        <f t="shared" si="4"/>
        <v>-143.25200199110986</v>
      </c>
      <c r="P12" s="28">
        <f t="shared" si="5"/>
        <v>-284.83313341951634</v>
      </c>
      <c r="Q12" s="28">
        <f t="shared" si="6"/>
        <v>-359.60170503030554</v>
      </c>
    </row>
    <row r="13" spans="1:17" x14ac:dyDescent="0.3">
      <c r="A13" s="25">
        <v>2029</v>
      </c>
      <c r="B13" s="41">
        <f>Baseline!K42+Temperature!P24*0.01</f>
        <v>1100.8274712159337</v>
      </c>
      <c r="C13" s="25">
        <f>'Elec str'!J57</f>
        <v>964.74207713280839</v>
      </c>
      <c r="D13" s="24">
        <f>Mode!K12</f>
        <v>1050.5835174917281</v>
      </c>
      <c r="E13" s="24">
        <f>Speed!F12</f>
        <v>898.68951187964342</v>
      </c>
      <c r="F13" s="24">
        <f>Infrastructure!L20</f>
        <v>1013.9174145296413</v>
      </c>
      <c r="G13" s="24">
        <f>Best!W73+Temperature!Q24*0.01</f>
        <v>853.22101352139327</v>
      </c>
      <c r="H13" s="24">
        <f>Best!W108</f>
        <v>772.86790524162018</v>
      </c>
      <c r="K13" s="28">
        <f t="shared" si="0"/>
        <v>-60.90431878406639</v>
      </c>
      <c r="L13" s="28">
        <f t="shared" si="1"/>
        <v>-196.98971286719166</v>
      </c>
      <c r="M13" s="28">
        <f t="shared" si="2"/>
        <v>-111.14827250827193</v>
      </c>
      <c r="N13" s="28">
        <f t="shared" si="3"/>
        <v>-263.04227812035663</v>
      </c>
      <c r="O13" s="28">
        <f t="shared" si="4"/>
        <v>-147.81437547035875</v>
      </c>
      <c r="P13" s="28">
        <f t="shared" si="5"/>
        <v>-308.51077647860677</v>
      </c>
      <c r="Q13" s="28">
        <f t="shared" si="6"/>
        <v>-388.86388475837987</v>
      </c>
    </row>
    <row r="14" spans="1:17" x14ac:dyDescent="0.3">
      <c r="A14" s="25">
        <v>2030</v>
      </c>
      <c r="B14" s="41">
        <f>Baseline!K43+Temperature!P25*0.01</f>
        <v>1105.3938569393281</v>
      </c>
      <c r="C14" s="25">
        <f>'Elec str'!J58</f>
        <v>951.69867420947094</v>
      </c>
      <c r="D14" s="24">
        <f>Mode!K13</f>
        <v>1049.4868389888113</v>
      </c>
      <c r="E14" s="24">
        <f>Speed!F13</f>
        <v>883.71135334831615</v>
      </c>
      <c r="F14" s="24">
        <f>Infrastructure!L21</f>
        <v>1009.4853945783709</v>
      </c>
      <c r="G14" s="24">
        <f>Best!W74+Temperature!Q25*0.01</f>
        <v>830.32132917401316</v>
      </c>
      <c r="H14" s="24">
        <f>Best!W109</f>
        <v>745.0027400684271</v>
      </c>
      <c r="K14" s="28">
        <f t="shared" si="0"/>
        <v>-56.337933060671958</v>
      </c>
      <c r="L14" s="28">
        <f t="shared" si="1"/>
        <v>-210.03311579052911</v>
      </c>
      <c r="M14" s="28">
        <f t="shared" si="2"/>
        <v>-112.24495101118873</v>
      </c>
      <c r="N14" s="28">
        <f t="shared" si="3"/>
        <v>-278.02043665168389</v>
      </c>
      <c r="O14" s="28">
        <f t="shared" si="4"/>
        <v>-152.24639542162913</v>
      </c>
      <c r="P14" s="28">
        <f t="shared" si="5"/>
        <v>-331.41046082598689</v>
      </c>
      <c r="Q14" s="28">
        <f t="shared" si="6"/>
        <v>-416.72904993157294</v>
      </c>
    </row>
    <row r="15" spans="1:17" x14ac:dyDescent="0.3">
      <c r="A15" s="25">
        <v>2031</v>
      </c>
      <c r="B15" s="41">
        <f>Baseline!K44+Temperature!P26*0.01</f>
        <v>1109.9768122829598</v>
      </c>
      <c r="C15" s="25">
        <f>'Elec str'!J59</f>
        <v>938.99038012701567</v>
      </c>
      <c r="D15" s="24">
        <f>Mode!K14</f>
        <v>1048.3901604858945</v>
      </c>
      <c r="E15" s="24">
        <f>Speed!F14</f>
        <v>869.2242819819503</v>
      </c>
      <c r="F15" s="24">
        <f>Infrastructure!L22</f>
        <v>1005.1782202595308</v>
      </c>
      <c r="G15" s="24">
        <f>Best!W75+Temperature!Q26*0.01</f>
        <v>808.16957575647154</v>
      </c>
      <c r="H15" s="24">
        <f>Best!W110</f>
        <v>718.45430830241594</v>
      </c>
      <c r="K15" s="28">
        <f t="shared" si="0"/>
        <v>-51.754977717040219</v>
      </c>
      <c r="L15" s="28">
        <f t="shared" si="1"/>
        <v>-222.74140987298438</v>
      </c>
      <c r="M15" s="28">
        <f t="shared" si="2"/>
        <v>-113.34162951410553</v>
      </c>
      <c r="N15" s="28">
        <f t="shared" si="3"/>
        <v>-292.50750801804975</v>
      </c>
      <c r="O15" s="28">
        <f t="shared" si="4"/>
        <v>-156.55356974046924</v>
      </c>
      <c r="P15" s="28">
        <f t="shared" si="5"/>
        <v>-353.5622142435285</v>
      </c>
      <c r="Q15" s="28">
        <f t="shared" si="6"/>
        <v>-443.27748169758411</v>
      </c>
    </row>
    <row r="16" spans="1:17" x14ac:dyDescent="0.3">
      <c r="A16" s="25">
        <v>2032</v>
      </c>
      <c r="B16" s="41">
        <f>Baseline!K45+Temperature!P27*0.01</f>
        <v>1114.5764750701837</v>
      </c>
      <c r="C16" s="25">
        <f>'Elec str'!J60</f>
        <v>926.61007638587341</v>
      </c>
      <c r="D16" s="24">
        <f>Mode!K15</f>
        <v>1047.2934819829777</v>
      </c>
      <c r="E16" s="24">
        <f>Speed!F15</f>
        <v>855.20453549837043</v>
      </c>
      <c r="F16" s="24">
        <f>Infrastructure!L23</f>
        <v>1000.9906896717696</v>
      </c>
      <c r="G16" s="24">
        <f>Best!W76+Temperature!Q27*0.01</f>
        <v>786.73711144532172</v>
      </c>
      <c r="H16" s="24">
        <f>Best!W111</f>
        <v>693.14790419152791</v>
      </c>
      <c r="K16" s="28">
        <f t="shared" si="0"/>
        <v>-47.155314929816313</v>
      </c>
      <c r="L16" s="28">
        <f t="shared" si="1"/>
        <v>-235.12171361412663</v>
      </c>
      <c r="M16" s="28">
        <f t="shared" si="2"/>
        <v>-114.43830801702234</v>
      </c>
      <c r="N16" s="28">
        <f t="shared" si="3"/>
        <v>-306.52725450162961</v>
      </c>
      <c r="O16" s="28">
        <f t="shared" si="4"/>
        <v>-160.74110032823046</v>
      </c>
      <c r="P16" s="28">
        <f t="shared" si="5"/>
        <v>-374.99467855467833</v>
      </c>
      <c r="Q16" s="28">
        <f t="shared" si="6"/>
        <v>-468.58388580847213</v>
      </c>
    </row>
    <row r="17" spans="1:17" x14ac:dyDescent="0.3">
      <c r="A17" s="25">
        <v>2033</v>
      </c>
      <c r="B17" s="41">
        <f>Baseline!K46+Temperature!P28*0.01</f>
        <v>1119.1929846571272</v>
      </c>
      <c r="C17" s="25">
        <f>'Elec str'!J61</f>
        <v>914.55078264197346</v>
      </c>
      <c r="D17" s="24">
        <f>Mode!K16</f>
        <v>1046.1968034800609</v>
      </c>
      <c r="E17" s="24">
        <f>Speed!F16</f>
        <v>841.62986033172967</v>
      </c>
      <c r="F17" s="24">
        <f>Infrastructure!L24</f>
        <v>996.91788594942636</v>
      </c>
      <c r="G17" s="24">
        <f>Best!W77+Temperature!Q28*0.01</f>
        <v>765.99660313383947</v>
      </c>
      <c r="H17" s="24">
        <f>Best!W112</f>
        <v>669.0139349648158</v>
      </c>
      <c r="K17" s="28">
        <f t="shared" si="0"/>
        <v>-42.53880534287282</v>
      </c>
      <c r="L17" s="28">
        <f t="shared" si="1"/>
        <v>-247.18100735802659</v>
      </c>
      <c r="M17" s="28">
        <f t="shared" si="2"/>
        <v>-115.53498651993914</v>
      </c>
      <c r="N17" s="28">
        <f t="shared" si="3"/>
        <v>-320.10192966827037</v>
      </c>
      <c r="O17" s="28">
        <f t="shared" si="4"/>
        <v>-164.81390405057368</v>
      </c>
      <c r="P17" s="28">
        <f t="shared" si="5"/>
        <v>-395.73518686616057</v>
      </c>
      <c r="Q17" s="28">
        <f t="shared" si="6"/>
        <v>-492.71785503518424</v>
      </c>
    </row>
    <row r="18" spans="1:17" x14ac:dyDescent="0.3">
      <c r="A18" s="25">
        <v>2034</v>
      </c>
      <c r="B18" s="41">
        <f>Baseline!K47+Temperature!P29*0.01</f>
        <v>1123.8264819540564</v>
      </c>
      <c r="C18" s="25">
        <f>'Elec str'!J62</f>
        <v>902.80565416374066</v>
      </c>
      <c r="D18" s="24">
        <f>Mode!K17</f>
        <v>1045.1001249771441</v>
      </c>
      <c r="E18" s="24">
        <f>Speed!F17</f>
        <v>828.47939376404634</v>
      </c>
      <c r="F18" s="24">
        <f>Infrastructure!L25</f>
        <v>992.95515800336284</v>
      </c>
      <c r="G18" s="24">
        <f>Best!W78+Temperature!Q29*0.01</f>
        <v>745.92195441811918</v>
      </c>
      <c r="H18" s="24">
        <f>Best!W113</f>
        <v>645.98750319353439</v>
      </c>
      <c r="K18" s="28">
        <f t="shared" si="0"/>
        <v>-37.905308045943684</v>
      </c>
      <c r="L18" s="28">
        <f t="shared" si="1"/>
        <v>-258.92613583625939</v>
      </c>
      <c r="M18" s="28">
        <f t="shared" si="2"/>
        <v>-116.63166502285594</v>
      </c>
      <c r="N18" s="28">
        <f t="shared" si="3"/>
        <v>-333.25239623595371</v>
      </c>
      <c r="O18" s="28">
        <f t="shared" si="4"/>
        <v>-168.77663199663721</v>
      </c>
      <c r="P18" s="28">
        <f t="shared" si="5"/>
        <v>-415.80983558188086</v>
      </c>
      <c r="Q18" s="28">
        <f t="shared" si="6"/>
        <v>-515.74428680646565</v>
      </c>
    </row>
    <row r="19" spans="1:17" x14ac:dyDescent="0.3">
      <c r="A19" s="25">
        <v>2035</v>
      </c>
      <c r="B19" s="41">
        <f>Baseline!K48+Temperature!P30*0.01</f>
        <v>1128.4771094471041</v>
      </c>
      <c r="C19" s="25">
        <f>'Elec str'!J63</f>
        <v>891.36797933429682</v>
      </c>
      <c r="D19" s="24">
        <f>Mode!K18</f>
        <v>1044.0034464742273</v>
      </c>
      <c r="E19" s="24">
        <f>Speed!F18</f>
        <v>815.73355693690712</v>
      </c>
      <c r="F19" s="24">
        <f>Infrastructure!L26</f>
        <v>989.09810280252759</v>
      </c>
      <c r="G19" s="24">
        <f>Best!W79+Temperature!Q30*0.01</f>
        <v>726.488238384542</v>
      </c>
      <c r="H19" s="24">
        <f>Best!W114</f>
        <v>624.008028978678</v>
      </c>
      <c r="K19" s="28">
        <f t="shared" si="0"/>
        <v>-33.254680552895934</v>
      </c>
      <c r="L19" s="28">
        <f t="shared" si="1"/>
        <v>-270.36381066570323</v>
      </c>
      <c r="M19" s="28">
        <f t="shared" si="2"/>
        <v>-117.72834352577274</v>
      </c>
      <c r="N19" s="28">
        <f t="shared" si="3"/>
        <v>-345.99823306309293</v>
      </c>
      <c r="O19" s="28">
        <f t="shared" si="4"/>
        <v>-172.63368719747245</v>
      </c>
      <c r="P19" s="28">
        <f t="shared" si="5"/>
        <v>-435.24355161545805</v>
      </c>
      <c r="Q19" s="28">
        <f t="shared" si="6"/>
        <v>-537.72376102132205</v>
      </c>
    </row>
    <row r="20" spans="1:17" x14ac:dyDescent="0.3">
      <c r="A20" s="25">
        <v>2036</v>
      </c>
      <c r="B20" s="41">
        <f>Baseline!K49+Temperature!P31*0.01</f>
        <v>1133.1450112203593</v>
      </c>
      <c r="C20" s="25">
        <f>'Elec str'!J64</f>
        <v>880.23117719808624</v>
      </c>
      <c r="D20" s="24">
        <f>Mode!K19</f>
        <v>1042.9067679713105</v>
      </c>
      <c r="E20" s="24">
        <f>Speed!F19</f>
        <v>803.37395758937828</v>
      </c>
      <c r="F20" s="24">
        <f>Infrastructure!L27</f>
        <v>985.34254905434591</v>
      </c>
      <c r="G20" s="24">
        <f>Best!W80+Temperature!Q31*0.01</f>
        <v>707.67163481322473</v>
      </c>
      <c r="H20" s="24">
        <f>Best!W115</f>
        <v>603.01890762880771</v>
      </c>
      <c r="K20" s="28">
        <f t="shared" si="0"/>
        <v>-28.586778779640781</v>
      </c>
      <c r="L20" s="28">
        <f t="shared" si="1"/>
        <v>-281.5006128019138</v>
      </c>
      <c r="M20" s="28">
        <f t="shared" si="2"/>
        <v>-118.82502202868955</v>
      </c>
      <c r="N20" s="28">
        <f t="shared" si="3"/>
        <v>-358.35783241062177</v>
      </c>
      <c r="O20" s="28">
        <f t="shared" si="4"/>
        <v>-176.38924094565414</v>
      </c>
      <c r="P20" s="28">
        <f t="shared" si="5"/>
        <v>-454.06015518677532</v>
      </c>
      <c r="Q20" s="28">
        <f t="shared" si="6"/>
        <v>-558.71288237119234</v>
      </c>
    </row>
    <row r="21" spans="1:17" x14ac:dyDescent="0.3">
      <c r="A21" s="25">
        <v>2037</v>
      </c>
      <c r="B21" s="41">
        <f>Baseline!K50+Temperature!P32*0.01</f>
        <v>1137.8303329783312</v>
      </c>
      <c r="C21" s="25">
        <f>'Elec str'!J65</f>
        <v>869.38879505114846</v>
      </c>
      <c r="D21" s="24">
        <f>Mode!K20</f>
        <v>1041.8100894683937</v>
      </c>
      <c r="E21" s="24">
        <f>Speed!F20</f>
        <v>791.38330150595471</v>
      </c>
      <c r="F21" s="24">
        <f>Infrastructure!L28</f>
        <v>981.68454215676638</v>
      </c>
      <c r="G21" s="24">
        <f>Best!W81+Temperature!Q32*0.01</f>
        <v>689.44937144853327</v>
      </c>
      <c r="H21" s="24">
        <f>Best!W116</f>
        <v>582.96719902115956</v>
      </c>
      <c r="K21" s="28">
        <f t="shared" si="0"/>
        <v>-23.901457021668875</v>
      </c>
      <c r="L21" s="28">
        <f t="shared" si="1"/>
        <v>-292.34299494885158</v>
      </c>
      <c r="M21" s="28">
        <f t="shared" si="2"/>
        <v>-119.92170053160635</v>
      </c>
      <c r="N21" s="28">
        <f t="shared" si="3"/>
        <v>-370.34848849404534</v>
      </c>
      <c r="O21" s="28">
        <f t="shared" si="4"/>
        <v>-180.04724784323366</v>
      </c>
      <c r="P21" s="28">
        <f t="shared" si="5"/>
        <v>-472.28241855146678</v>
      </c>
      <c r="Q21" s="28">
        <f t="shared" si="6"/>
        <v>-578.76459097884049</v>
      </c>
    </row>
    <row r="22" spans="1:17" x14ac:dyDescent="0.3">
      <c r="A22" s="25">
        <v>2038</v>
      </c>
      <c r="B22" s="41">
        <f>Baseline!K51+Temperature!P33*0.01</f>
        <v>1142.5332220687947</v>
      </c>
      <c r="C22" s="25">
        <f>'Elec str'!J66</f>
        <v>858.83450607428585</v>
      </c>
      <c r="D22" s="24">
        <f>Mode!K21</f>
        <v>1040.7134109654769</v>
      </c>
      <c r="E22" s="24">
        <f>Speed!F21</f>
        <v>779.74531177792596</v>
      </c>
      <c r="F22" s="24">
        <f>Infrastructure!L29</f>
        <v>978.12033030784266</v>
      </c>
      <c r="G22" s="24">
        <f>Best!W82+Temperature!Q33*0.01</f>
        <v>671.79966902027172</v>
      </c>
      <c r="H22" s="24">
        <f>Best!W117</f>
        <v>563.80334529684956</v>
      </c>
      <c r="K22" s="28">
        <f t="shared" si="0"/>
        <v>-19.198567931205389</v>
      </c>
      <c r="L22" s="28">
        <f t="shared" si="1"/>
        <v>-302.89728392571419</v>
      </c>
      <c r="M22" s="28">
        <f t="shared" si="2"/>
        <v>-121.01837903452315</v>
      </c>
      <c r="N22" s="28">
        <f t="shared" si="3"/>
        <v>-381.98647822207408</v>
      </c>
      <c r="O22" s="28">
        <f t="shared" si="4"/>
        <v>-183.61145969215738</v>
      </c>
      <c r="P22" s="28">
        <f t="shared" si="5"/>
        <v>-489.93212097972832</v>
      </c>
      <c r="Q22" s="28">
        <f t="shared" si="6"/>
        <v>-597.92844470315049</v>
      </c>
    </row>
    <row r="23" spans="1:17" x14ac:dyDescent="0.3">
      <c r="A23" s="25">
        <v>2039</v>
      </c>
      <c r="B23" s="41">
        <f>Baseline!K52+Temperature!P34*0.01</f>
        <v>1147.2538275060206</v>
      </c>
      <c r="C23" s="25">
        <f>'Elec str'!J67</f>
        <v>848.56210700837948</v>
      </c>
      <c r="D23" s="24">
        <f>Mode!K22</f>
        <v>1039.6167324625601</v>
      </c>
      <c r="E23" s="24">
        <f>Speed!F22</f>
        <v>768.44465508549217</v>
      </c>
      <c r="F23" s="24">
        <f>Infrastructure!L30</f>
        <v>974.64635167028428</v>
      </c>
      <c r="G23" s="24">
        <f>Best!W83+Temperature!Q34*0.01</f>
        <v>654.70168972818419</v>
      </c>
      <c r="H23" s="24">
        <f>Best!W118</f>
        <v>545.48091393798768</v>
      </c>
      <c r="K23" s="28">
        <f t="shared" si="0"/>
        <v>-14.477962493979476</v>
      </c>
      <c r="L23" s="28">
        <f t="shared" si="1"/>
        <v>-313.16968299162056</v>
      </c>
      <c r="M23" s="28">
        <f t="shared" si="2"/>
        <v>-122.11505753743995</v>
      </c>
      <c r="N23" s="28">
        <f t="shared" si="3"/>
        <v>-393.28713491450787</v>
      </c>
      <c r="O23" s="28">
        <f t="shared" si="4"/>
        <v>-187.08543832971577</v>
      </c>
      <c r="P23" s="28">
        <f t="shared" si="5"/>
        <v>-507.03010027181585</v>
      </c>
      <c r="Q23" s="28">
        <f t="shared" si="6"/>
        <v>-616.25087606201237</v>
      </c>
    </row>
    <row r="24" spans="1:17" x14ac:dyDescent="0.3">
      <c r="A24" s="25">
        <v>2040</v>
      </c>
      <c r="B24" s="41">
        <f>Baseline!K53+Temperature!P35*0.01</f>
        <v>1151.9922999944024</v>
      </c>
      <c r="C24" s="25">
        <f>'Elec str'!J68</f>
        <v>838.56551587112017</v>
      </c>
      <c r="D24" s="24">
        <f>Mode!K23</f>
        <v>1038.5200539596433</v>
      </c>
      <c r="E24" s="24">
        <f>Speed!F23</f>
        <v>757.4668742985566</v>
      </c>
      <c r="F24" s="24">
        <f>Infrastructure!L31</f>
        <v>971.2592224986646</v>
      </c>
      <c r="G24" s="24">
        <f>Best!W84+Temperature!Q35*0.01</f>
        <v>638.13548892837844</v>
      </c>
      <c r="H24" s="24">
        <f>Best!W119</f>
        <v>527.95636361949505</v>
      </c>
      <c r="K24" s="28">
        <f t="shared" si="0"/>
        <v>-9.739490005597645</v>
      </c>
      <c r="L24" s="28">
        <f t="shared" si="1"/>
        <v>-323.16627412887988</v>
      </c>
      <c r="M24" s="28">
        <f t="shared" si="2"/>
        <v>-123.21173604035675</v>
      </c>
      <c r="N24" s="28">
        <f t="shared" si="3"/>
        <v>-404.26491570144344</v>
      </c>
      <c r="O24" s="28">
        <f t="shared" si="4"/>
        <v>-190.47256750133545</v>
      </c>
      <c r="P24" s="28">
        <f t="shared" si="5"/>
        <v>-523.59630107162161</v>
      </c>
      <c r="Q24" s="28">
        <f t="shared" si="6"/>
        <v>-633.775426380505</v>
      </c>
    </row>
    <row r="25" spans="1:17" x14ac:dyDescent="0.3">
      <c r="A25" s="25">
        <v>2041</v>
      </c>
      <c r="B25" s="41">
        <f>Baseline!K54+Temperature!P36*0.01</f>
        <v>1156.7487919524876</v>
      </c>
      <c r="C25" s="25">
        <f>'Elec str'!J69</f>
        <v>828.8387697144384</v>
      </c>
      <c r="D25" s="24">
        <f>Mode!K24</f>
        <v>1037.4233754567265</v>
      </c>
      <c r="E25" s="24">
        <f>Speed!F24</f>
        <v>746.79832677322486</v>
      </c>
      <c r="F25" s="24">
        <f>Infrastructure!L32</f>
        <v>967.95572614609739</v>
      </c>
      <c r="G25" s="24">
        <f>Best!W85+Temperature!Q36*0.01</f>
        <v>622.08196978353908</v>
      </c>
      <c r="H25" s="24">
        <f>Best!W120</f>
        <v>511.1888305288582</v>
      </c>
      <c r="K25" s="28">
        <f t="shared" si="0"/>
        <v>-4.9829980475124103</v>
      </c>
      <c r="L25" s="28">
        <f t="shared" si="1"/>
        <v>-332.89302028556165</v>
      </c>
      <c r="M25" s="28">
        <f t="shared" si="2"/>
        <v>-124.30841454327356</v>
      </c>
      <c r="N25" s="28">
        <f t="shared" si="3"/>
        <v>-414.93346322677519</v>
      </c>
      <c r="O25" s="28">
        <f t="shared" si="4"/>
        <v>-193.77606385390266</v>
      </c>
      <c r="P25" s="28">
        <f t="shared" si="5"/>
        <v>-539.64982021646097</v>
      </c>
      <c r="Q25" s="28">
        <f t="shared" si="6"/>
        <v>-650.54295947114178</v>
      </c>
    </row>
    <row r="26" spans="1:17" x14ac:dyDescent="0.3">
      <c r="A26" s="25">
        <v>2042</v>
      </c>
      <c r="B26" s="41">
        <f>Baseline!K55+Temperature!P37*0.01</f>
        <v>1161.5234575374168</v>
      </c>
      <c r="C26" s="25">
        <f>'Elec str'!J70</f>
        <v>819.3760224219227</v>
      </c>
      <c r="D26" s="24">
        <f>Mode!K25</f>
        <v>1036.3266969538097</v>
      </c>
      <c r="E26" s="24">
        <f>Speed!F25</f>
        <v>736.42612779026331</v>
      </c>
      <c r="F26" s="24">
        <f>Infrastructure!L33</f>
        <v>964.73280287530019</v>
      </c>
      <c r="G26" s="24">
        <f>Best!W86+Temperature!Q37*0.01</f>
        <v>606.52284065968365</v>
      </c>
      <c r="H26" s="24">
        <f>Best!W121</f>
        <v>495.13993310919432</v>
      </c>
      <c r="K26" s="28">
        <f t="shared" si="0"/>
        <v>-0.20833246258325744</v>
      </c>
      <c r="L26" s="28">
        <f t="shared" si="1"/>
        <v>-342.35576757807735</v>
      </c>
      <c r="M26" s="28">
        <f t="shared" si="2"/>
        <v>-125.40509304619036</v>
      </c>
      <c r="N26" s="28">
        <f t="shared" si="3"/>
        <v>-425.30566220973674</v>
      </c>
      <c r="O26" s="28">
        <f t="shared" si="4"/>
        <v>-196.99898712469985</v>
      </c>
      <c r="P26" s="28">
        <f t="shared" si="5"/>
        <v>-555.20894934031639</v>
      </c>
      <c r="Q26" s="28">
        <f t="shared" si="6"/>
        <v>-666.59185689080573</v>
      </c>
    </row>
    <row r="27" spans="1:17" x14ac:dyDescent="0.3">
      <c r="A27" s="25">
        <v>2043</v>
      </c>
      <c r="B27" s="41">
        <f>Baseline!K56+Temperature!P38*0.01</f>
        <v>1166.3164526697856</v>
      </c>
      <c r="C27" s="25">
        <f>'Elec str'!J71</f>
        <v>810.1715425455335</v>
      </c>
      <c r="D27" s="24">
        <f>Mode!K26</f>
        <v>1035.2300184508929</v>
      </c>
      <c r="E27" s="24">
        <f>Speed!F26</f>
        <v>726.33809864245154</v>
      </c>
      <c r="F27" s="24">
        <f>Infrastructure!L34</f>
        <v>961.58754040620875</v>
      </c>
      <c r="G27" s="24">
        <f>Best!W87+Temperature!Q38*0.01</f>
        <v>591.44057507098034</v>
      </c>
      <c r="H27" s="24">
        <f>Best!W122</f>
        <v>479.77359341022589</v>
      </c>
      <c r="K27" s="28">
        <f t="shared" si="0"/>
        <v>4.5846626697855299</v>
      </c>
      <c r="L27" s="28">
        <f t="shared" si="1"/>
        <v>-351.56024745446655</v>
      </c>
      <c r="M27" s="28">
        <f t="shared" si="2"/>
        <v>-126.50177154910716</v>
      </c>
      <c r="N27" s="28">
        <f t="shared" si="3"/>
        <v>-435.39369135754851</v>
      </c>
      <c r="O27" s="28">
        <f t="shared" si="4"/>
        <v>-200.1442495937913</v>
      </c>
      <c r="P27" s="28">
        <f t="shared" si="5"/>
        <v>-570.2912149290197</v>
      </c>
      <c r="Q27" s="28">
        <f t="shared" si="6"/>
        <v>-681.95819658977416</v>
      </c>
    </row>
    <row r="28" spans="1:17" x14ac:dyDescent="0.3">
      <c r="A28" s="25">
        <v>2044</v>
      </c>
      <c r="B28" s="41">
        <f>Baseline!K57+Temperature!P39*0.01</f>
        <v>1171.1279350589323</v>
      </c>
      <c r="C28" s="25">
        <f>'Elec str'!J72</f>
        <v>801.21971118092779</v>
      </c>
      <c r="D28" s="24">
        <f>Mode!K27</f>
        <v>1034.1333399479761</v>
      </c>
      <c r="E28" s="24">
        <f>Speed!F27</f>
        <v>716.52271893106706</v>
      </c>
      <c r="F28" s="24">
        <f>Infrastructure!L35</f>
        <v>958.51716513876261</v>
      </c>
      <c r="G28" s="24">
        <f>Best!W88+Temperature!Q39*0.01</f>
        <v>576.81837399104916</v>
      </c>
      <c r="H28" s="24">
        <f>Best!W123</f>
        <v>465.05587343254416</v>
      </c>
      <c r="K28" s="28">
        <f t="shared" si="0"/>
        <v>9.396145058932234</v>
      </c>
      <c r="L28" s="28">
        <f t="shared" si="1"/>
        <v>-360.51207881907226</v>
      </c>
      <c r="M28" s="28">
        <f t="shared" si="2"/>
        <v>-127.59845005202396</v>
      </c>
      <c r="N28" s="28">
        <f t="shared" si="3"/>
        <v>-445.20907106893299</v>
      </c>
      <c r="O28" s="28">
        <f t="shared" si="4"/>
        <v>-203.21462486123744</v>
      </c>
      <c r="P28" s="28">
        <f t="shared" si="5"/>
        <v>-584.91341600895089</v>
      </c>
      <c r="Q28" s="28">
        <f t="shared" si="6"/>
        <v>-696.67591656745594</v>
      </c>
    </row>
    <row r="29" spans="1:17" x14ac:dyDescent="0.3">
      <c r="A29" s="25">
        <v>2045</v>
      </c>
      <c r="B29" s="41">
        <f>Baseline!K58+Temperature!P40*0.01</f>
        <v>1175.9580642286628</v>
      </c>
      <c r="C29" s="25">
        <f>'Elec str'!J73</f>
        <v>792.51501988072414</v>
      </c>
      <c r="D29" s="24">
        <f>Mode!K28</f>
        <v>1033.0366614450593</v>
      </c>
      <c r="E29" s="24">
        <f>Speed!F28</f>
        <v>706.96908267865274</v>
      </c>
      <c r="F29" s="24">
        <f>Infrastructure!L36</f>
        <v>955.51903399525611</v>
      </c>
      <c r="G29" s="24">
        <f>Best!W89+Temperature!Q40*0.01</f>
        <v>562.64013036440178</v>
      </c>
      <c r="H29" s="24">
        <f>Best!W124</f>
        <v>450.95482502676771</v>
      </c>
      <c r="K29" s="28">
        <f t="shared" si="0"/>
        <v>14.22627422866276</v>
      </c>
      <c r="L29" s="28">
        <f t="shared" si="1"/>
        <v>-369.21677011927591</v>
      </c>
      <c r="M29" s="28">
        <f t="shared" si="2"/>
        <v>-128.69512855494077</v>
      </c>
      <c r="N29" s="28">
        <f t="shared" si="3"/>
        <v>-454.76270732134731</v>
      </c>
      <c r="O29" s="28">
        <f t="shared" si="4"/>
        <v>-206.21275600474394</v>
      </c>
      <c r="P29" s="28">
        <f t="shared" si="5"/>
        <v>-599.09165963559826</v>
      </c>
      <c r="Q29" s="28">
        <f t="shared" si="6"/>
        <v>-710.77696497323234</v>
      </c>
    </row>
    <row r="30" spans="1:17" x14ac:dyDescent="0.3">
      <c r="A30" s="25">
        <v>2046</v>
      </c>
      <c r="B30" s="41">
        <f>Baseline!K59+Temperature!P41*0.01</f>
        <v>1180.8070015434198</v>
      </c>
      <c r="C30" s="25">
        <f>'Elec str'!J74</f>
        <v>784.05206860504768</v>
      </c>
      <c r="D30" s="24">
        <f>Mode!K29</f>
        <v>1031.9399829421425</v>
      </c>
      <c r="E30" s="24">
        <f>Speed!F29</f>
        <v>697.66685790656527</v>
      </c>
      <c r="F30" s="24">
        <f>Infrastructure!L37</f>
        <v>952.59062683183129</v>
      </c>
      <c r="G30" s="24">
        <f>Best!W90+Temperature!Q41*0.01</f>
        <v>548.89039566544864</v>
      </c>
      <c r="H30" s="24">
        <f>Best!W125</f>
        <v>437.44035206414901</v>
      </c>
      <c r="K30" s="28">
        <f t="shared" si="0"/>
        <v>19.075211543419755</v>
      </c>
      <c r="L30" s="28">
        <f t="shared" si="1"/>
        <v>-377.67972139495237</v>
      </c>
      <c r="M30" s="28">
        <f t="shared" si="2"/>
        <v>-129.79180705785757</v>
      </c>
      <c r="N30" s="28">
        <f t="shared" si="3"/>
        <v>-464.06493209343478</v>
      </c>
      <c r="O30" s="28">
        <f t="shared" si="4"/>
        <v>-209.14116316816876</v>
      </c>
      <c r="P30" s="28">
        <f t="shared" si="5"/>
        <v>-612.84139433455141</v>
      </c>
      <c r="Q30" s="28">
        <f t="shared" si="6"/>
        <v>-724.29143793585104</v>
      </c>
    </row>
    <row r="31" spans="1:17" x14ac:dyDescent="0.3">
      <c r="A31" s="25">
        <v>2047</v>
      </c>
      <c r="B31" s="41">
        <f>Baseline!K60+Temperature!P42*0.01</f>
        <v>1185.6749102349077</v>
      </c>
      <c r="C31" s="25">
        <f>'Elec str'!J75</f>
        <v>775.82556370870486</v>
      </c>
      <c r="D31" s="24">
        <f>Mode!K30</f>
        <v>1030.8433044392257</v>
      </c>
      <c r="E31" s="24">
        <f>Speed!F30</f>
        <v>688.60624936232409</v>
      </c>
      <c r="F31" s="24">
        <f>Infrastructure!L38</f>
        <v>949.72953937331272</v>
      </c>
      <c r="G31" s="24">
        <f>Best!W91+Temperature!Q42*0.01</f>
        <v>535.55434836494237</v>
      </c>
      <c r="H31" s="24">
        <f>Best!W126</f>
        <v>424.4840837316483</v>
      </c>
      <c r="K31" s="28">
        <f t="shared" si="0"/>
        <v>23.94312023490761</v>
      </c>
      <c r="L31" s="28">
        <f t="shared" si="1"/>
        <v>-385.90622629129518</v>
      </c>
      <c r="M31" s="28">
        <f t="shared" si="2"/>
        <v>-130.88848556077437</v>
      </c>
      <c r="N31" s="28">
        <f t="shared" si="3"/>
        <v>-473.12554063767595</v>
      </c>
      <c r="O31" s="28">
        <f t="shared" si="4"/>
        <v>-212.00225062668733</v>
      </c>
      <c r="P31" s="28">
        <f t="shared" si="5"/>
        <v>-626.17744163505768</v>
      </c>
      <c r="Q31" s="28">
        <f t="shared" si="6"/>
        <v>-737.24770626835175</v>
      </c>
    </row>
    <row r="32" spans="1:17" x14ac:dyDescent="0.3">
      <c r="A32" s="25">
        <v>2048</v>
      </c>
      <c r="B32" s="41">
        <f>Baseline!K61+Temperature!P43*0.01</f>
        <v>1190.5619554291807</v>
      </c>
      <c r="C32" s="25">
        <f>'Elec str'!J76</f>
        <v>767.83031596435285</v>
      </c>
      <c r="D32" s="24">
        <f>Mode!K31</f>
        <v>1029.7466259363089</v>
      </c>
      <c r="E32" s="24">
        <f>Speed!F31</f>
        <v>679.77796411408917</v>
      </c>
      <c r="F32" s="24">
        <f>Infrastructure!L39</f>
        <v>946.93347662976066</v>
      </c>
      <c r="G32" s="24">
        <f>Best!W92+Temperature!Q43*0.01</f>
        <v>522.61776417500971</v>
      </c>
      <c r="H32" s="24">
        <f>Best!W127</f>
        <v>412.05925792491291</v>
      </c>
      <c r="K32" s="28">
        <f t="shared" si="0"/>
        <v>28.830165429180624</v>
      </c>
      <c r="L32" s="28">
        <f t="shared" si="1"/>
        <v>-393.9014740356472</v>
      </c>
      <c r="M32" s="28">
        <f t="shared" si="2"/>
        <v>-131.98516406369117</v>
      </c>
      <c r="N32" s="28">
        <f t="shared" si="3"/>
        <v>-481.95382588591087</v>
      </c>
      <c r="O32" s="28">
        <f t="shared" si="4"/>
        <v>-214.79831337023938</v>
      </c>
      <c r="P32" s="28">
        <f t="shared" si="5"/>
        <v>-639.11402582499034</v>
      </c>
      <c r="Q32" s="28">
        <f t="shared" si="6"/>
        <v>-749.67253207508713</v>
      </c>
    </row>
    <row r="33" spans="1:17" x14ac:dyDescent="0.3">
      <c r="A33" s="25">
        <v>2049</v>
      </c>
      <c r="B33" s="41">
        <f>Baseline!K62+Temperature!P44*0.01</f>
        <v>1195.468304174201</v>
      </c>
      <c r="C33" s="25">
        <f>'Elec str'!J77</f>
        <v>760.06123862103391</v>
      </c>
      <c r="D33" s="24">
        <f>Mode!K32</f>
        <v>1028.6499474333921</v>
      </c>
      <c r="E33" s="24">
        <f>Speed!F32</f>
        <v>671.1731797582147</v>
      </c>
      <c r="F33" s="24">
        <f>Infrastructure!L40</f>
        <v>944.20024675684999</v>
      </c>
      <c r="G33" s="24">
        <f>Best!W93+Temperature!Q44*0.01</f>
        <v>510.06698795414883</v>
      </c>
      <c r="H33" s="24">
        <f>Best!W128</f>
        <v>400.14061381901166</v>
      </c>
      <c r="K33" s="28">
        <f t="shared" si="0"/>
        <v>33.73651417420092</v>
      </c>
      <c r="L33" s="28">
        <f t="shared" si="1"/>
        <v>-401.67055137896614</v>
      </c>
      <c r="M33" s="28">
        <f t="shared" si="2"/>
        <v>-133.08184256660797</v>
      </c>
      <c r="N33" s="28">
        <f t="shared" si="3"/>
        <v>-490.55861024178535</v>
      </c>
      <c r="O33" s="28">
        <f t="shared" si="4"/>
        <v>-217.53154324315005</v>
      </c>
      <c r="P33" s="28">
        <f t="shared" si="5"/>
        <v>-651.66480204585127</v>
      </c>
      <c r="Q33" s="28">
        <f t="shared" si="6"/>
        <v>-761.59117618098844</v>
      </c>
    </row>
    <row r="34" spans="1:17" x14ac:dyDescent="0.3">
      <c r="A34" s="25">
        <v>2050</v>
      </c>
      <c r="B34" s="41">
        <f>Baseline!K63+Temperature!P45*0.01</f>
        <v>1200.3941254678857</v>
      </c>
      <c r="C34" s="25">
        <f>'Elec str'!J78</f>
        <v>752.51334549745889</v>
      </c>
      <c r="D34" s="24">
        <f>Mode!K33</f>
        <v>1027.5532689304753</v>
      </c>
      <c r="E34" s="24">
        <f>Speed!F33</f>
        <v>662.783515011237</v>
      </c>
      <c r="F34" s="24">
        <f>Infrastructure!L41</f>
        <v>941.52775532555938</v>
      </c>
      <c r="G34" s="24">
        <f>Best!W94+Temperature!Q45*0.01</f>
        <v>497.88890716286215</v>
      </c>
      <c r="H34" s="24">
        <f>Best!W129</f>
        <v>388.70429279098249</v>
      </c>
      <c r="K34" s="28">
        <f t="shared" si="0"/>
        <v>38.662335467885669</v>
      </c>
      <c r="L34" s="28">
        <f t="shared" si="1"/>
        <v>-409.21844450254116</v>
      </c>
      <c r="M34" s="28">
        <f t="shared" si="2"/>
        <v>-134.17852106952478</v>
      </c>
      <c r="N34" s="28">
        <f t="shared" si="3"/>
        <v>-498.94827498876305</v>
      </c>
      <c r="O34" s="28">
        <f t="shared" si="4"/>
        <v>-220.20403467444066</v>
      </c>
      <c r="P34" s="28">
        <f t="shared" si="5"/>
        <v>-663.84288283713795</v>
      </c>
      <c r="Q34" s="28">
        <f t="shared" si="6"/>
        <v>-773.02749720901761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A272-E505-43B2-9CC3-094D5EFABE93}">
  <dimension ref="A1:F33"/>
  <sheetViews>
    <sheetView workbookViewId="0">
      <selection activeCell="A3" sqref="A3:B33"/>
    </sheetView>
  </sheetViews>
  <sheetFormatPr defaultColWidth="8.83203125" defaultRowHeight="14" x14ac:dyDescent="0.3"/>
  <cols>
    <col min="2" max="2" width="24.1640625" bestFit="1" customWidth="1"/>
    <col min="5" max="5" width="12.33203125" bestFit="1" customWidth="1"/>
    <col min="6" max="6" width="10.33203125" bestFit="1" customWidth="1"/>
  </cols>
  <sheetData>
    <row r="1" spans="1:6" x14ac:dyDescent="0.3">
      <c r="C1" s="57" t="s">
        <v>16</v>
      </c>
      <c r="D1" s="57"/>
    </row>
    <row r="2" spans="1:6" x14ac:dyDescent="0.3">
      <c r="A2" t="s">
        <v>0</v>
      </c>
      <c r="B2" t="s">
        <v>19</v>
      </c>
      <c r="C2" t="s">
        <v>17</v>
      </c>
      <c r="D2" t="s">
        <v>18</v>
      </c>
      <c r="E2" t="s">
        <v>20</v>
      </c>
      <c r="F2" t="s">
        <v>21</v>
      </c>
    </row>
    <row r="3" spans="1:6" x14ac:dyDescent="0.3">
      <c r="A3">
        <v>2020</v>
      </c>
      <c r="B3" s="4">
        <v>200559.63623512711</v>
      </c>
      <c r="C3" s="2">
        <v>0.95</v>
      </c>
      <c r="D3" s="2">
        <v>0.05</v>
      </c>
      <c r="E3">
        <f>$B3*C3</f>
        <v>190531.65442337075</v>
      </c>
      <c r="F3">
        <f>$B3*D3</f>
        <v>10027.981811756355</v>
      </c>
    </row>
    <row r="4" spans="1:6" x14ac:dyDescent="0.3">
      <c r="A4">
        <v>2021</v>
      </c>
      <c r="B4" s="4">
        <v>215140.16806481886</v>
      </c>
      <c r="C4" s="2">
        <v>0.95</v>
      </c>
      <c r="D4" s="2">
        <v>0.05</v>
      </c>
      <c r="E4">
        <f t="shared" ref="E4:E33" si="0">$B4*C4</f>
        <v>204383.1596615779</v>
      </c>
      <c r="F4">
        <f t="shared" ref="F4:F33" si="1">$B4*D4</f>
        <v>10757.008403240943</v>
      </c>
    </row>
    <row r="5" spans="1:6" x14ac:dyDescent="0.3">
      <c r="A5">
        <v>2022</v>
      </c>
      <c r="B5" s="4">
        <v>229192.77684721778</v>
      </c>
      <c r="C5" s="2">
        <v>0.92500000000000004</v>
      </c>
      <c r="D5" s="2">
        <v>7.4999999999999997E-2</v>
      </c>
      <c r="E5">
        <f t="shared" si="0"/>
        <v>212003.31858367648</v>
      </c>
      <c r="F5">
        <f t="shared" si="1"/>
        <v>17189.458263541332</v>
      </c>
    </row>
    <row r="6" spans="1:6" x14ac:dyDescent="0.3">
      <c r="A6">
        <v>2023</v>
      </c>
      <c r="B6" s="4">
        <v>242592.24936137997</v>
      </c>
      <c r="C6" s="2">
        <v>0.7</v>
      </c>
      <c r="D6" s="2">
        <v>0.3</v>
      </c>
      <c r="E6">
        <f t="shared" si="0"/>
        <v>169814.57455296596</v>
      </c>
      <c r="F6">
        <f t="shared" si="1"/>
        <v>72777.674808413984</v>
      </c>
    </row>
    <row r="7" spans="1:6" x14ac:dyDescent="0.3">
      <c r="A7">
        <v>2024</v>
      </c>
      <c r="B7" s="4">
        <v>255239.19355126569</v>
      </c>
      <c r="C7" s="2">
        <v>0.35</v>
      </c>
      <c r="D7" s="2">
        <v>0.65</v>
      </c>
      <c r="E7">
        <f t="shared" si="0"/>
        <v>89333.717742942987</v>
      </c>
      <c r="F7">
        <f t="shared" si="1"/>
        <v>165905.47580832269</v>
      </c>
    </row>
    <row r="8" spans="1:6" x14ac:dyDescent="0.3">
      <c r="A8">
        <v>2025</v>
      </c>
      <c r="B8" s="4">
        <v>267061.52763374522</v>
      </c>
      <c r="C8" s="2">
        <v>0.35</v>
      </c>
      <c r="D8" s="2">
        <v>0.65</v>
      </c>
      <c r="E8">
        <f t="shared" si="0"/>
        <v>93471.534671810819</v>
      </c>
      <c r="F8">
        <f t="shared" si="1"/>
        <v>173589.99296193439</v>
      </c>
    </row>
    <row r="9" spans="1:6" x14ac:dyDescent="0.3">
      <c r="A9">
        <v>2026</v>
      </c>
      <c r="B9" s="4">
        <v>278014.11450898577</v>
      </c>
      <c r="C9" s="2">
        <v>0.35</v>
      </c>
      <c r="D9" s="2">
        <v>0.65</v>
      </c>
      <c r="E9">
        <f t="shared" si="0"/>
        <v>97304.940078145009</v>
      </c>
      <c r="F9">
        <f t="shared" si="1"/>
        <v>180709.17443084077</v>
      </c>
    </row>
    <row r="10" spans="1:6" x14ac:dyDescent="0.3">
      <c r="A10">
        <v>2027</v>
      </c>
      <c r="B10" s="4">
        <v>288076.86784696596</v>
      </c>
      <c r="C10" s="2">
        <v>0.35</v>
      </c>
      <c r="D10" s="2">
        <v>0.65</v>
      </c>
      <c r="E10">
        <f t="shared" si="0"/>
        <v>100826.90374643808</v>
      </c>
      <c r="F10">
        <f t="shared" si="1"/>
        <v>187249.9641005279</v>
      </c>
    </row>
    <row r="11" spans="1:6" x14ac:dyDescent="0.3">
      <c r="A11">
        <v>2028</v>
      </c>
      <c r="B11" s="4">
        <v>297251.75582574459</v>
      </c>
      <c r="C11" s="2">
        <v>0.35</v>
      </c>
      <c r="D11" s="2">
        <v>0.65</v>
      </c>
      <c r="E11">
        <f t="shared" si="0"/>
        <v>104038.1145390106</v>
      </c>
      <c r="F11">
        <f t="shared" si="1"/>
        <v>193213.641286734</v>
      </c>
    </row>
    <row r="12" spans="1:6" x14ac:dyDescent="0.3">
      <c r="A12">
        <v>2029</v>
      </c>
      <c r="B12" s="4">
        <v>305559.15022057231</v>
      </c>
      <c r="C12" s="2">
        <v>0.35</v>
      </c>
      <c r="D12" s="2">
        <v>0.65</v>
      </c>
      <c r="E12">
        <f t="shared" si="0"/>
        <v>106945.7025772003</v>
      </c>
      <c r="F12">
        <f t="shared" si="1"/>
        <v>198613.447643372</v>
      </c>
    </row>
    <row r="13" spans="1:6" x14ac:dyDescent="0.3">
      <c r="A13">
        <v>2030</v>
      </c>
      <c r="B13" s="4">
        <v>313033.92878553236</v>
      </c>
      <c r="C13" s="2">
        <v>0.35</v>
      </c>
      <c r="D13" s="2">
        <v>0.65</v>
      </c>
      <c r="E13">
        <f t="shared" si="0"/>
        <v>109561.87507493632</v>
      </c>
      <c r="F13">
        <f t="shared" si="1"/>
        <v>203472.05371059605</v>
      </c>
    </row>
    <row r="14" spans="1:6" x14ac:dyDescent="0.3">
      <c r="A14">
        <v>2031</v>
      </c>
      <c r="B14" s="4">
        <v>319721.66061800119</v>
      </c>
      <c r="C14" s="2">
        <v>0.35</v>
      </c>
      <c r="D14" s="2">
        <v>0.65</v>
      </c>
      <c r="E14">
        <f t="shared" si="0"/>
        <v>111902.58121630042</v>
      </c>
      <c r="F14">
        <f t="shared" si="1"/>
        <v>207819.07940170079</v>
      </c>
    </row>
    <row r="15" spans="1:6" x14ac:dyDescent="0.3">
      <c r="A15">
        <v>2032</v>
      </c>
      <c r="B15" s="4">
        <v>325675.11009615927</v>
      </c>
      <c r="C15" s="2">
        <v>0.35</v>
      </c>
      <c r="D15" s="2">
        <v>0.65</v>
      </c>
      <c r="E15">
        <f t="shared" si="0"/>
        <v>113986.28853365574</v>
      </c>
      <c r="F15">
        <f t="shared" si="1"/>
        <v>211688.82156250352</v>
      </c>
    </row>
    <row r="16" spans="1:6" x14ac:dyDescent="0.3">
      <c r="A16">
        <v>2033</v>
      </c>
      <c r="B16" s="4">
        <v>330951.20289898082</v>
      </c>
      <c r="C16" s="2">
        <v>0.35</v>
      </c>
      <c r="D16" s="2">
        <v>0.65</v>
      </c>
      <c r="E16">
        <f t="shared" si="0"/>
        <v>115832.92101464327</v>
      </c>
      <c r="F16">
        <f t="shared" si="1"/>
        <v>215118.28188433754</v>
      </c>
    </row>
    <row r="17" spans="1:6" x14ac:dyDescent="0.3">
      <c r="A17">
        <v>2034</v>
      </c>
      <c r="B17" s="4">
        <v>335608.51893556362</v>
      </c>
      <c r="C17" s="2">
        <v>0.35</v>
      </c>
      <c r="D17" s="2">
        <v>0.65</v>
      </c>
      <c r="E17">
        <f t="shared" si="0"/>
        <v>117462.98162744725</v>
      </c>
      <c r="F17">
        <f t="shared" si="1"/>
        <v>218145.53730811636</v>
      </c>
    </row>
    <row r="18" spans="1:6" x14ac:dyDescent="0.3">
      <c r="A18">
        <v>2035</v>
      </c>
      <c r="B18" s="4">
        <v>339705.31697264942</v>
      </c>
      <c r="C18" s="2">
        <v>0.35</v>
      </c>
      <c r="D18" s="2">
        <v>0.65</v>
      </c>
      <c r="E18">
        <f t="shared" si="0"/>
        <v>118896.86094042729</v>
      </c>
      <c r="F18">
        <f t="shared" si="1"/>
        <v>220808.45603222214</v>
      </c>
    </row>
    <row r="19" spans="1:6" x14ac:dyDescent="0.3">
      <c r="A19">
        <v>2036</v>
      </c>
      <c r="B19" s="4">
        <v>343298.05494447012</v>
      </c>
      <c r="C19" s="2">
        <v>0.35</v>
      </c>
      <c r="D19" s="2">
        <v>0.65</v>
      </c>
      <c r="E19">
        <f t="shared" si="0"/>
        <v>120154.31923056454</v>
      </c>
      <c r="F19">
        <f t="shared" si="1"/>
        <v>223143.7357139056</v>
      </c>
    </row>
    <row r="20" spans="1:6" x14ac:dyDescent="0.3">
      <c r="A20">
        <v>2037</v>
      </c>
      <c r="B20" s="4">
        <v>346440.34606042469</v>
      </c>
      <c r="C20" s="2">
        <v>0.35</v>
      </c>
      <c r="D20" s="2">
        <v>0.65</v>
      </c>
      <c r="E20">
        <f t="shared" si="0"/>
        <v>121254.12112114864</v>
      </c>
      <c r="F20">
        <f t="shared" si="1"/>
        <v>225186.22493927606</v>
      </c>
    </row>
    <row r="21" spans="1:6" x14ac:dyDescent="0.3">
      <c r="A21">
        <v>2038</v>
      </c>
      <c r="B21" s="4">
        <v>349182.28026007046</v>
      </c>
      <c r="C21" s="2">
        <v>0.35</v>
      </c>
      <c r="D21" s="2">
        <v>0.65</v>
      </c>
      <c r="E21">
        <f t="shared" si="0"/>
        <v>122213.79809102466</v>
      </c>
      <c r="F21">
        <f t="shared" si="1"/>
        <v>226968.4821690458</v>
      </c>
    </row>
    <row r="22" spans="1:6" x14ac:dyDescent="0.3">
      <c r="A22">
        <v>2039</v>
      </c>
      <c r="B22" s="4">
        <v>351570.03943894739</v>
      </c>
      <c r="C22" s="2">
        <v>0.35</v>
      </c>
      <c r="D22" s="2">
        <v>0.65</v>
      </c>
      <c r="E22">
        <f t="shared" si="0"/>
        <v>123049.51380363158</v>
      </c>
      <c r="F22">
        <f t="shared" si="1"/>
        <v>228520.5256353158</v>
      </c>
    </row>
    <row r="23" spans="1:6" x14ac:dyDescent="0.3">
      <c r="A23">
        <v>2040</v>
      </c>
      <c r="B23" s="4">
        <v>353645.73974293063</v>
      </c>
      <c r="C23" s="2">
        <v>0.35</v>
      </c>
      <c r="D23" s="2">
        <v>0.65</v>
      </c>
      <c r="E23">
        <f t="shared" si="0"/>
        <v>123776.00891002572</v>
      </c>
      <c r="F23">
        <f t="shared" si="1"/>
        <v>229869.73083290493</v>
      </c>
    </row>
    <row r="24" spans="1:6" x14ac:dyDescent="0.3">
      <c r="A24">
        <v>2041</v>
      </c>
      <c r="B24" s="4">
        <v>355447.44237443258</v>
      </c>
      <c r="C24" s="2">
        <v>0.35</v>
      </c>
      <c r="D24" s="2">
        <v>0.65</v>
      </c>
      <c r="E24">
        <f t="shared" si="0"/>
        <v>124406.60483105139</v>
      </c>
      <c r="F24">
        <f t="shared" si="1"/>
        <v>231040.83754338117</v>
      </c>
    </row>
    <row r="25" spans="1:6" x14ac:dyDescent="0.3">
      <c r="A25">
        <v>2042</v>
      </c>
      <c r="B25" s="4">
        <v>357009.28380069404</v>
      </c>
      <c r="C25" s="2">
        <v>0.35</v>
      </c>
      <c r="D25" s="2">
        <v>0.65</v>
      </c>
      <c r="E25">
        <f t="shared" si="0"/>
        <v>124953.24933024291</v>
      </c>
      <c r="F25">
        <f t="shared" si="1"/>
        <v>232056.03447045112</v>
      </c>
    </row>
    <row r="26" spans="1:6" x14ac:dyDescent="0.3">
      <c r="A26">
        <v>2043</v>
      </c>
      <c r="B26" s="4">
        <v>358361.68570513139</v>
      </c>
      <c r="C26" s="2">
        <v>0.35</v>
      </c>
      <c r="D26" s="2">
        <v>0.65</v>
      </c>
      <c r="E26">
        <f t="shared" si="0"/>
        <v>125426.58999679597</v>
      </c>
      <c r="F26">
        <f t="shared" si="1"/>
        <v>232935.0957083354</v>
      </c>
    </row>
    <row r="27" spans="1:6" x14ac:dyDescent="0.3">
      <c r="A27">
        <v>2044</v>
      </c>
      <c r="B27" s="4">
        <v>359531.61371208774</v>
      </c>
      <c r="C27" s="2">
        <v>0.35</v>
      </c>
      <c r="D27" s="2">
        <v>0.65</v>
      </c>
      <c r="E27">
        <f t="shared" si="0"/>
        <v>125836.06479923071</v>
      </c>
      <c r="F27">
        <f t="shared" si="1"/>
        <v>233695.54891285705</v>
      </c>
    </row>
    <row r="28" spans="1:6" x14ac:dyDescent="0.3">
      <c r="A28">
        <v>2045</v>
      </c>
      <c r="B28" s="4">
        <v>360542.86146407865</v>
      </c>
      <c r="C28" s="2">
        <v>0.35</v>
      </c>
      <c r="D28" s="2">
        <v>0.65</v>
      </c>
      <c r="E28">
        <f t="shared" si="0"/>
        <v>126190.00151242752</v>
      </c>
      <c r="F28">
        <f t="shared" si="1"/>
        <v>234352.85995165113</v>
      </c>
    </row>
    <row r="29" spans="1:6" x14ac:dyDescent="0.3">
      <c r="A29">
        <v>2046</v>
      </c>
      <c r="B29" s="4">
        <v>361416.34291742649</v>
      </c>
      <c r="C29" s="2">
        <v>0.35</v>
      </c>
      <c r="D29" s="2">
        <v>0.65</v>
      </c>
      <c r="E29">
        <f t="shared" si="0"/>
        <v>126495.72002109926</v>
      </c>
      <c r="F29">
        <f t="shared" si="1"/>
        <v>234920.62289632723</v>
      </c>
    </row>
    <row r="30" spans="1:6" x14ac:dyDescent="0.3">
      <c r="A30">
        <v>2047</v>
      </c>
      <c r="B30" s="4">
        <v>362170.38078368676</v>
      </c>
      <c r="C30" s="2">
        <v>0.35</v>
      </c>
      <c r="D30" s="2">
        <v>0.65</v>
      </c>
      <c r="E30">
        <f t="shared" si="0"/>
        <v>126759.63327429036</v>
      </c>
      <c r="F30">
        <f t="shared" si="1"/>
        <v>235410.7475093964</v>
      </c>
    </row>
    <row r="31" spans="1:6" x14ac:dyDescent="0.3">
      <c r="A31">
        <v>2048</v>
      </c>
      <c r="B31" s="4">
        <v>362820.98300273082</v>
      </c>
      <c r="C31" s="2">
        <v>0.35</v>
      </c>
      <c r="D31" s="2">
        <v>0.65</v>
      </c>
      <c r="E31">
        <f t="shared" si="0"/>
        <v>126987.34405095578</v>
      </c>
      <c r="F31">
        <f t="shared" si="1"/>
        <v>235833.63895177504</v>
      </c>
    </row>
    <row r="32" spans="1:6" x14ac:dyDescent="0.3">
      <c r="A32">
        <v>2049</v>
      </c>
      <c r="B32" s="4">
        <v>363382.1021480824</v>
      </c>
      <c r="C32" s="2">
        <v>0.35</v>
      </c>
      <c r="D32" s="2">
        <v>0.65</v>
      </c>
      <c r="E32">
        <f t="shared" si="0"/>
        <v>127183.73575182883</v>
      </c>
      <c r="F32">
        <f t="shared" si="1"/>
        <v>236198.36639625358</v>
      </c>
    </row>
    <row r="33" spans="1:6" x14ac:dyDescent="0.3">
      <c r="A33">
        <v>2050</v>
      </c>
      <c r="B33" s="4">
        <v>363865.87490218662</v>
      </c>
      <c r="C33" s="2">
        <v>0.35</v>
      </c>
      <c r="D33" s="2">
        <v>0.65</v>
      </c>
      <c r="E33">
        <f t="shared" si="0"/>
        <v>127353.0562157653</v>
      </c>
      <c r="F33">
        <f t="shared" si="1"/>
        <v>236512.81868642132</v>
      </c>
    </row>
  </sheetData>
  <mergeCells count="1">
    <mergeCell ref="C1:D1"/>
  </mergeCells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9518-3CE0-46DE-9038-D10F9526A29D}">
  <dimension ref="A1:B32"/>
  <sheetViews>
    <sheetView workbookViewId="0">
      <selection activeCell="D7" sqref="D7"/>
    </sheetView>
  </sheetViews>
  <sheetFormatPr defaultRowHeight="14" x14ac:dyDescent="0.3"/>
  <sheetData>
    <row r="1" spans="1:2" x14ac:dyDescent="0.3">
      <c r="A1" t="s">
        <v>215</v>
      </c>
      <c r="B1" t="s">
        <v>216</v>
      </c>
    </row>
    <row r="2" spans="1:2" x14ac:dyDescent="0.3">
      <c r="A2">
        <v>2020</v>
      </c>
      <c r="B2">
        <v>109858.31046040371</v>
      </c>
    </row>
    <row r="3" spans="1:2" x14ac:dyDescent="0.3">
      <c r="A3">
        <v>2021</v>
      </c>
      <c r="B3">
        <v>115616.2389161579</v>
      </c>
    </row>
    <row r="4" spans="1:2" x14ac:dyDescent="0.3">
      <c r="A4">
        <v>2022</v>
      </c>
      <c r="B4">
        <v>121374.1673719121</v>
      </c>
    </row>
    <row r="5" spans="1:2" x14ac:dyDescent="0.3">
      <c r="A5">
        <v>2023</v>
      </c>
      <c r="B5">
        <v>127132.0958276663</v>
      </c>
    </row>
    <row r="6" spans="1:2" x14ac:dyDescent="0.3">
      <c r="A6">
        <v>2024</v>
      </c>
      <c r="B6">
        <v>132890.0242834205</v>
      </c>
    </row>
    <row r="7" spans="1:2" x14ac:dyDescent="0.3">
      <c r="A7">
        <v>2025</v>
      </c>
      <c r="B7">
        <v>138647.95273917471</v>
      </c>
    </row>
    <row r="8" spans="1:2" x14ac:dyDescent="0.3">
      <c r="A8">
        <v>2026</v>
      </c>
      <c r="B8">
        <v>142784.10587270791</v>
      </c>
    </row>
    <row r="9" spans="1:2" x14ac:dyDescent="0.3">
      <c r="A9">
        <v>2027</v>
      </c>
      <c r="B9">
        <v>146920.25900624119</v>
      </c>
    </row>
    <row r="10" spans="1:2" x14ac:dyDescent="0.3">
      <c r="A10">
        <v>2028</v>
      </c>
      <c r="B10">
        <v>151056.41213977439</v>
      </c>
    </row>
    <row r="11" spans="1:2" x14ac:dyDescent="0.3">
      <c r="A11">
        <v>2029</v>
      </c>
      <c r="B11">
        <v>155192.5652733077</v>
      </c>
    </row>
    <row r="12" spans="1:2" x14ac:dyDescent="0.3">
      <c r="A12">
        <v>2030</v>
      </c>
      <c r="B12">
        <v>159328.71840684101</v>
      </c>
    </row>
    <row r="13" spans="1:2" x14ac:dyDescent="0.3">
      <c r="A13">
        <v>2031</v>
      </c>
      <c r="B13">
        <v>162448.58422542631</v>
      </c>
    </row>
    <row r="14" spans="1:2" x14ac:dyDescent="0.3">
      <c r="A14">
        <v>2032</v>
      </c>
      <c r="B14">
        <v>165568.4500440117</v>
      </c>
    </row>
    <row r="15" spans="1:2" x14ac:dyDescent="0.3">
      <c r="A15">
        <v>2033</v>
      </c>
      <c r="B15">
        <v>168688.315862597</v>
      </c>
    </row>
    <row r="16" spans="1:2" x14ac:dyDescent="0.3">
      <c r="A16">
        <v>2034</v>
      </c>
      <c r="B16">
        <v>171808.18168118241</v>
      </c>
    </row>
    <row r="17" spans="1:2" x14ac:dyDescent="0.3">
      <c r="A17">
        <v>2035</v>
      </c>
      <c r="B17">
        <v>174928.04749976771</v>
      </c>
    </row>
    <row r="18" spans="1:2" x14ac:dyDescent="0.3">
      <c r="A18">
        <v>2036</v>
      </c>
      <c r="B18">
        <v>174699.02057758969</v>
      </c>
    </row>
    <row r="19" spans="1:2" x14ac:dyDescent="0.3">
      <c r="A19">
        <v>2037</v>
      </c>
      <c r="B19">
        <v>174469.99365541179</v>
      </c>
    </row>
    <row r="20" spans="1:2" x14ac:dyDescent="0.3">
      <c r="A20">
        <v>2038</v>
      </c>
      <c r="B20">
        <v>174240.96673323389</v>
      </c>
    </row>
    <row r="21" spans="1:2" x14ac:dyDescent="0.3">
      <c r="A21">
        <v>2039</v>
      </c>
      <c r="B21">
        <v>174011.9398110559</v>
      </c>
    </row>
    <row r="22" spans="1:2" x14ac:dyDescent="0.3">
      <c r="A22">
        <v>2040</v>
      </c>
      <c r="B22">
        <v>173782.912888878</v>
      </c>
    </row>
    <row r="23" spans="1:2" x14ac:dyDescent="0.3">
      <c r="A23">
        <v>2041</v>
      </c>
      <c r="B23">
        <v>173596.18187842731</v>
      </c>
    </row>
    <row r="24" spans="1:2" x14ac:dyDescent="0.3">
      <c r="A24">
        <v>2042</v>
      </c>
      <c r="B24">
        <v>173409.45086797659</v>
      </c>
    </row>
    <row r="25" spans="1:2" x14ac:dyDescent="0.3">
      <c r="A25">
        <v>2043</v>
      </c>
      <c r="B25">
        <v>173222.71985752601</v>
      </c>
    </row>
    <row r="26" spans="1:2" x14ac:dyDescent="0.3">
      <c r="A26">
        <v>2044</v>
      </c>
      <c r="B26">
        <v>173035.98884707529</v>
      </c>
    </row>
    <row r="27" spans="1:2" x14ac:dyDescent="0.3">
      <c r="A27">
        <v>2045</v>
      </c>
      <c r="B27">
        <v>172849.2578366246</v>
      </c>
    </row>
    <row r="28" spans="1:2" x14ac:dyDescent="0.3">
      <c r="A28">
        <v>2046</v>
      </c>
      <c r="B28">
        <v>172361.1982091426</v>
      </c>
    </row>
    <row r="29" spans="1:2" x14ac:dyDescent="0.3">
      <c r="A29">
        <v>2047</v>
      </c>
      <c r="B29">
        <v>171873.13858166061</v>
      </c>
    </row>
    <row r="30" spans="1:2" x14ac:dyDescent="0.3">
      <c r="A30">
        <v>2048</v>
      </c>
      <c r="B30">
        <v>171385.07895417869</v>
      </c>
    </row>
    <row r="31" spans="1:2" x14ac:dyDescent="0.3">
      <c r="A31">
        <v>2049</v>
      </c>
      <c r="B31">
        <v>170897.01932669681</v>
      </c>
    </row>
    <row r="32" spans="1:2" x14ac:dyDescent="0.3">
      <c r="A32">
        <v>2050</v>
      </c>
      <c r="B32">
        <v>170408.95969921481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568E-90EF-40FE-88D6-920C71E6F4C3}">
  <dimension ref="A1:V34"/>
  <sheetViews>
    <sheetView zoomScaleNormal="100" workbookViewId="0">
      <selection activeCell="C3" sqref="C3"/>
    </sheetView>
  </sheetViews>
  <sheetFormatPr defaultColWidth="8.83203125" defaultRowHeight="14" x14ac:dyDescent="0.3"/>
  <cols>
    <col min="2" max="2" width="11.33203125" bestFit="1" customWidth="1"/>
    <col min="3" max="3" width="8.6640625" bestFit="1" customWidth="1"/>
    <col min="4" max="8" width="9.6640625" bestFit="1" customWidth="1"/>
    <col min="9" max="9" width="8.6640625" bestFit="1" customWidth="1"/>
    <col min="10" max="22" width="9.6640625" bestFit="1" customWidth="1"/>
  </cols>
  <sheetData>
    <row r="1" spans="1:22" x14ac:dyDescent="0.3">
      <c r="B1" s="62" t="s">
        <v>150</v>
      </c>
      <c r="C1" s="63"/>
      <c r="D1" s="64"/>
      <c r="E1" s="65" t="s">
        <v>151</v>
      </c>
      <c r="F1" s="66"/>
      <c r="G1" s="67"/>
      <c r="H1" s="68" t="s">
        <v>118</v>
      </c>
      <c r="I1" s="69"/>
      <c r="J1" s="70"/>
      <c r="K1" s="71" t="s">
        <v>120</v>
      </c>
      <c r="L1" s="72"/>
      <c r="M1" s="73"/>
      <c r="N1" s="68" t="s">
        <v>122</v>
      </c>
      <c r="O1" s="69"/>
      <c r="P1" s="69"/>
      <c r="Q1" s="61" t="s">
        <v>174</v>
      </c>
      <c r="R1" s="61"/>
      <c r="S1" s="61"/>
      <c r="T1" s="60" t="s">
        <v>175</v>
      </c>
      <c r="U1" s="60"/>
      <c r="V1" s="60"/>
    </row>
    <row r="2" spans="1:22" x14ac:dyDescent="0.3">
      <c r="B2" s="30" t="s">
        <v>1</v>
      </c>
      <c r="C2" s="25" t="s">
        <v>2</v>
      </c>
      <c r="D2" s="32" t="s">
        <v>3</v>
      </c>
      <c r="E2" s="33" t="s">
        <v>1</v>
      </c>
      <c r="F2" s="33" t="s">
        <v>2</v>
      </c>
      <c r="G2" s="33" t="s">
        <v>3</v>
      </c>
      <c r="H2" s="30" t="s">
        <v>1</v>
      </c>
      <c r="I2" s="25" t="s">
        <v>2</v>
      </c>
      <c r="J2" s="32" t="s">
        <v>3</v>
      </c>
      <c r="K2" s="33" t="s">
        <v>1</v>
      </c>
      <c r="L2" s="33" t="s">
        <v>2</v>
      </c>
      <c r="M2" s="33" t="s">
        <v>3</v>
      </c>
      <c r="N2" s="30" t="s">
        <v>1</v>
      </c>
      <c r="O2" s="25" t="s">
        <v>2</v>
      </c>
      <c r="P2" s="32" t="s">
        <v>3</v>
      </c>
      <c r="Q2" s="33" t="s">
        <v>1</v>
      </c>
      <c r="R2" s="33" t="s">
        <v>2</v>
      </c>
      <c r="S2" s="33" t="s">
        <v>3</v>
      </c>
      <c r="T2" s="25" t="s">
        <v>1</v>
      </c>
      <c r="U2" s="25" t="s">
        <v>2</v>
      </c>
      <c r="V2" s="25" t="s">
        <v>3</v>
      </c>
    </row>
    <row r="3" spans="1:22" x14ac:dyDescent="0.3">
      <c r="A3">
        <v>2020</v>
      </c>
      <c r="B3" s="31">
        <f>Production!$B3*单位碳足迹!K4/1000</f>
        <v>67983.326861575872</v>
      </c>
      <c r="C3" s="31">
        <f>$B3+Error!$B2</f>
        <v>177841.63732197956</v>
      </c>
      <c r="D3" s="31">
        <f>$B3-Error!$B2</f>
        <v>-41874.983598827836</v>
      </c>
      <c r="E3" s="31">
        <f>Production!$B3*单位碳足迹!L4/1000</f>
        <v>67983.326861575872</v>
      </c>
      <c r="F3" s="31">
        <f>$E3+Error!$B2</f>
        <v>177841.63732197956</v>
      </c>
      <c r="G3" s="31">
        <f>$E3-Error!$B2</f>
        <v>-41874.983598827836</v>
      </c>
      <c r="H3" s="31">
        <f>Production!$B3*单位碳足迹!M4/1000</f>
        <v>67983.326861575872</v>
      </c>
      <c r="I3" s="31">
        <f>$H3+Error!$B2</f>
        <v>177841.63732197956</v>
      </c>
      <c r="J3" s="31">
        <f>$H3-Error!$B2</f>
        <v>-41874.983598827836</v>
      </c>
      <c r="K3" s="31">
        <f>Production!$B3*单位碳足迹!N4/1000</f>
        <v>67983.326861575872</v>
      </c>
      <c r="L3" s="31">
        <f>$K3+Error!$B2</f>
        <v>177841.63732197956</v>
      </c>
      <c r="M3" s="31">
        <f>$K3-Error!$B2</f>
        <v>-41874.983598827836</v>
      </c>
      <c r="N3" s="31">
        <f>Production!$B3*单位碳足迹!O4/1000</f>
        <v>67983.326861575872</v>
      </c>
      <c r="O3" s="31">
        <f>$N3+Error!$B2</f>
        <v>177841.63732197956</v>
      </c>
      <c r="P3" s="31">
        <f>$N3-Error!$B2</f>
        <v>-41874.983598827836</v>
      </c>
      <c r="Q3" s="31">
        <f>Production!$B3*单位碳足迹!P4/1000</f>
        <v>67983.326861575872</v>
      </c>
      <c r="R3" s="31">
        <f>$Q3+Error!$B2</f>
        <v>177841.63732197956</v>
      </c>
      <c r="S3" s="31">
        <f>$Q3-Error!$B2</f>
        <v>-41874.983598827836</v>
      </c>
      <c r="T3" s="31">
        <f>Production!$B3*单位碳足迹!Q4/1000</f>
        <v>67983.326861575872</v>
      </c>
      <c r="U3" s="31">
        <f>$T3+Error!$B2</f>
        <v>177841.63732197956</v>
      </c>
      <c r="V3" s="31">
        <f>$T3-Error!$B2</f>
        <v>-41874.983598827836</v>
      </c>
    </row>
    <row r="4" spans="1:22" x14ac:dyDescent="0.3">
      <c r="A4">
        <v>2021</v>
      </c>
      <c r="B4" s="31">
        <f>Production!$B4*单位碳足迹!K5/1000</f>
        <v>74326.9869471813</v>
      </c>
      <c r="C4" s="31">
        <f>$B4+Error!$B3</f>
        <v>189943.2258633392</v>
      </c>
      <c r="D4" s="31">
        <f>$B4-Error!$B3</f>
        <v>-41289.251968976605</v>
      </c>
      <c r="E4" s="31">
        <f>Production!$B4*单位碳足迹!L5/1000</f>
        <v>72925.66261667003</v>
      </c>
      <c r="F4" s="31">
        <f>$E4+Error!$B3</f>
        <v>188541.90153282793</v>
      </c>
      <c r="G4" s="31">
        <f>$E4-Error!$B3</f>
        <v>-42690.576299487875</v>
      </c>
      <c r="H4" s="31">
        <f>Production!$B4*单位碳足迹!M5/1000</f>
        <v>72773.730349597492</v>
      </c>
      <c r="I4" s="31">
        <f>$H4+Error!$B3</f>
        <v>188389.96926575538</v>
      </c>
      <c r="J4" s="31">
        <f>$H4-Error!$B3</f>
        <v>-42842.508566560413</v>
      </c>
      <c r="K4" s="31">
        <f>Production!$B4*单位碳足迹!N5/1000</f>
        <v>66595.05800562074</v>
      </c>
      <c r="L4" s="31">
        <f>$K4+Error!$B3</f>
        <v>182211.29692177864</v>
      </c>
      <c r="M4" s="31">
        <f>$K4-Error!$B3</f>
        <v>-49021.180910537165</v>
      </c>
      <c r="N4" s="31">
        <f>Production!$B4*单位碳足迹!O5/1000</f>
        <v>70949.650974650969</v>
      </c>
      <c r="O4" s="31">
        <f>$N4+Error!$B3</f>
        <v>186565.88989080887</v>
      </c>
      <c r="P4" s="31">
        <f>$N4-Error!$B3</f>
        <v>-44666.587941506936</v>
      </c>
      <c r="Q4" s="31">
        <f>Production!$B4*单位碳足迹!P5/1000</f>
        <v>68432.381002170732</v>
      </c>
      <c r="R4" s="31">
        <f>$Q4+Error!$B3</f>
        <v>184048.61991832865</v>
      </c>
      <c r="S4" s="31">
        <f>$Q4-Error!$B3</f>
        <v>-47183.857913987173</v>
      </c>
      <c r="T4" s="31">
        <f>Production!$B4*单位碳足迹!Q5/1000</f>
        <v>64578.950170614102</v>
      </c>
      <c r="U4" s="31">
        <f>$T4+Error!$B3</f>
        <v>180195.18908677201</v>
      </c>
      <c r="V4" s="31">
        <f>$T4-Error!$B3</f>
        <v>-51037.288745543803</v>
      </c>
    </row>
    <row r="5" spans="1:22" x14ac:dyDescent="0.3">
      <c r="A5">
        <v>2022</v>
      </c>
      <c r="B5" s="31">
        <f>Production!$B5*单位碳足迹!K6/1000</f>
        <v>76433.030141597526</v>
      </c>
      <c r="C5" s="31">
        <f>$B5+Error!$B4</f>
        <v>197807.19751350963</v>
      </c>
      <c r="D5" s="31">
        <f>$B5-Error!$B4</f>
        <v>-44941.137230314576</v>
      </c>
      <c r="E5" s="31">
        <f>Production!$B5*单位碳足迹!L6/1000</f>
        <v>73484.829554433149</v>
      </c>
      <c r="F5" s="31">
        <f>$E5+Error!$B4</f>
        <v>194858.99692634525</v>
      </c>
      <c r="G5" s="31">
        <f>$E5-Error!$B4</f>
        <v>-47889.337817478954</v>
      </c>
      <c r="H5" s="31">
        <f>Production!$B5*单位碳足迹!M6/1000</f>
        <v>73153.659199541624</v>
      </c>
      <c r="I5" s="31">
        <f>$H5+Error!$B4</f>
        <v>194527.82657145371</v>
      </c>
      <c r="J5" s="31">
        <f>$H5-Error!$B4</f>
        <v>-48220.508172370479</v>
      </c>
      <c r="K5" s="31">
        <f>Production!$B5*单位碳足迹!N6/1000</f>
        <v>60417.700152270743</v>
      </c>
      <c r="L5" s="31">
        <f>$K5+Error!$B4</f>
        <v>181791.86752418283</v>
      </c>
      <c r="M5" s="31">
        <f>$K5-Error!$B4</f>
        <v>-60956.467219641359</v>
      </c>
      <c r="N5" s="31">
        <f>Production!$B5*单位碳足迹!O6/1000</f>
        <v>69405.259333432681</v>
      </c>
      <c r="O5" s="31">
        <f>$N5+Error!$B4</f>
        <v>190779.42670534478</v>
      </c>
      <c r="P5" s="31">
        <f>$N5-Error!$B4</f>
        <v>-51968.908038479422</v>
      </c>
      <c r="Q5" s="31">
        <f>Production!$B5*单位碳足迹!P6/1000</f>
        <v>64172.43007616324</v>
      </c>
      <c r="R5" s="31">
        <f>$Q5+Error!$B4</f>
        <v>185546.59744807534</v>
      </c>
      <c r="S5" s="31">
        <f>$Q5-Error!$B4</f>
        <v>-57201.737295748862</v>
      </c>
      <c r="T5" s="31">
        <f>Production!$B5*单位碳足迹!Q6/1000</f>
        <v>56316.356498480156</v>
      </c>
      <c r="U5" s="31">
        <f>$T5+Error!$B4</f>
        <v>177690.52387039227</v>
      </c>
      <c r="V5" s="31">
        <f>$T5-Error!$B4</f>
        <v>-65057.810873431947</v>
      </c>
    </row>
    <row r="6" spans="1:22" x14ac:dyDescent="0.3">
      <c r="A6">
        <v>2023</v>
      </c>
      <c r="B6" s="31">
        <f>Production!$B6*单位碳足迹!K7/1000</f>
        <v>41808.202939428869</v>
      </c>
      <c r="C6" s="31">
        <f>$B6+Error!$B5</f>
        <v>168940.29876709517</v>
      </c>
      <c r="D6" s="31">
        <f>$B6-Error!$B5</f>
        <v>-85323.892888237431</v>
      </c>
      <c r="E6" s="31">
        <f>Production!$B6*单位碳足迹!L7/1000</f>
        <v>34665.735611485798</v>
      </c>
      <c r="F6" s="31">
        <f>$E6+Error!$B5</f>
        <v>161797.8314391521</v>
      </c>
      <c r="G6" s="31">
        <f>$E6-Error!$B5</f>
        <v>-92466.360216180503</v>
      </c>
      <c r="H6" s="31">
        <f>Production!$B6*单位碳足迹!M7/1000</f>
        <v>37098.535883776145</v>
      </c>
      <c r="I6" s="31">
        <f>$H6+Error!$B5</f>
        <v>164230.63171144243</v>
      </c>
      <c r="J6" s="31">
        <f>$H6-Error!$B5</f>
        <v>-90033.559943890155</v>
      </c>
      <c r="K6" s="31">
        <f>Production!$B6*单位碳足迹!N7/1000</f>
        <v>19642.710862312819</v>
      </c>
      <c r="L6" s="31">
        <f>$K6+Error!$B5</f>
        <v>146774.80668997913</v>
      </c>
      <c r="M6" s="31">
        <f>$K6-Error!$B5</f>
        <v>-107489.38496535349</v>
      </c>
      <c r="N6" s="31">
        <f>Production!$B6*单位碳足迹!O7/1000</f>
        <v>32238.129220649898</v>
      </c>
      <c r="O6" s="31">
        <f>$N6+Error!$B5</f>
        <v>159370.22504831621</v>
      </c>
      <c r="P6" s="31">
        <f>$N6-Error!$B5</f>
        <v>-94893.966607016395</v>
      </c>
      <c r="Q6" s="31">
        <f>Production!$B6*单位碳足迹!P7/1000</f>
        <v>21825.810962083371</v>
      </c>
      <c r="R6" s="31">
        <f>$Q6+Error!$B5</f>
        <v>148957.90678974969</v>
      </c>
      <c r="S6" s="31">
        <f>$Q6-Error!$B5</f>
        <v>-105306.28486558293</v>
      </c>
      <c r="T6" s="31">
        <f>Production!$B6*单位碳足迹!Q7/1000</f>
        <v>11183.445974450569</v>
      </c>
      <c r="U6" s="31">
        <f>$T6+Error!$B5</f>
        <v>138315.54180211687</v>
      </c>
      <c r="V6" s="31">
        <f>$T6-Error!$B5</f>
        <v>-115948.64985321573</v>
      </c>
    </row>
    <row r="7" spans="1:22" x14ac:dyDescent="0.3">
      <c r="A7">
        <v>2024</v>
      </c>
      <c r="B7" s="31">
        <f>Production!$B7*单位碳足迹!K8/1000</f>
        <v>-21310.538520208203</v>
      </c>
      <c r="C7" s="31">
        <f>$B7+Error!$B6</f>
        <v>111579.48576321229</v>
      </c>
      <c r="D7" s="31">
        <f>$B7-Error!$B6</f>
        <v>-154200.56280362871</v>
      </c>
      <c r="E7" s="31">
        <f>Production!$B7*单位碳足迹!L8/1000</f>
        <v>-32284.418713003128</v>
      </c>
      <c r="F7" s="31">
        <f>$E7+Error!$B6</f>
        <v>100605.60557041736</v>
      </c>
      <c r="G7" s="31">
        <f>$E7-Error!$B6</f>
        <v>-165174.44299642363</v>
      </c>
      <c r="H7" s="31">
        <f>Production!$B7*单位碳足迹!M8/1000</f>
        <v>-26969.818756280172</v>
      </c>
      <c r="I7" s="31">
        <f>$H7+Error!$B6</f>
        <v>105920.20552714032</v>
      </c>
      <c r="J7" s="31">
        <f>$H7-Error!$B6</f>
        <v>-159859.84303970067</v>
      </c>
      <c r="K7" s="31">
        <f>Production!$B7*单位碳足迹!N8/1000</f>
        <v>-45899.737246110803</v>
      </c>
      <c r="L7" s="31">
        <f>$K7+Error!$B6</f>
        <v>86990.287037309696</v>
      </c>
      <c r="M7" s="31">
        <f>$K7-Error!$B6</f>
        <v>-178789.7615295313</v>
      </c>
      <c r="N7" s="31">
        <f>Production!$B7*单位碳足迹!O8/1000</f>
        <v>-31541.634187871685</v>
      </c>
      <c r="O7" s="31">
        <f>$N7+Error!$B6</f>
        <v>101348.39009554882</v>
      </c>
      <c r="P7" s="31">
        <f>$N7-Error!$B6</f>
        <v>-164431.65847129218</v>
      </c>
      <c r="Q7" s="31">
        <f>Production!$B7*单位碳足迹!P8/1000</f>
        <v>-46374.175808978522</v>
      </c>
      <c r="R7" s="31">
        <f>$Q7+Error!$B6</f>
        <v>86515.848474441969</v>
      </c>
      <c r="S7" s="31">
        <f>$Q7-Error!$B6</f>
        <v>-179264.20009239903</v>
      </c>
      <c r="T7" s="31">
        <f>Production!$B7*单位碳足迹!Q8/1000</f>
        <v>-57875.922163570081</v>
      </c>
      <c r="U7" s="31">
        <f>$T7+Error!$B6</f>
        <v>75014.102119850417</v>
      </c>
      <c r="V7" s="31">
        <f>$T7-Error!$B6</f>
        <v>-190765.94644699059</v>
      </c>
    </row>
    <row r="8" spans="1:22" x14ac:dyDescent="0.3">
      <c r="A8">
        <v>2025</v>
      </c>
      <c r="B8" s="31">
        <f>Production!$B8*单位碳足迹!K9/1000</f>
        <v>-21099.695252249072</v>
      </c>
      <c r="C8" s="31">
        <f>$B8+Error!$B7</f>
        <v>117548.25748692564</v>
      </c>
      <c r="D8" s="31">
        <f>$B8-Error!$B7</f>
        <v>-159747.64799142379</v>
      </c>
      <c r="E8" s="31">
        <f>Production!$B8*单位碳足迹!L9/1000</f>
        <v>-37740.510436172539</v>
      </c>
      <c r="F8" s="31">
        <f>$E8+Error!$B7</f>
        <v>100907.44230300217</v>
      </c>
      <c r="G8" s="31">
        <f>$E8-Error!$B7</f>
        <v>-176388.46317534725</v>
      </c>
      <c r="H8" s="31">
        <f>Production!$B8*单位碳足迹!M9/1000</f>
        <v>-28511.904904662711</v>
      </c>
      <c r="I8" s="31">
        <f>$H8+Error!$B7</f>
        <v>110136.04783451199</v>
      </c>
      <c r="J8" s="31">
        <f>$H8-Error!$B7</f>
        <v>-167159.85764383743</v>
      </c>
      <c r="K8" s="31">
        <f>Production!$B8*单位碳足迹!N9/1000</f>
        <v>-52793.534888100905</v>
      </c>
      <c r="L8" s="31">
        <f>$K8+Error!$B7</f>
        <v>85854.417851073813</v>
      </c>
      <c r="M8" s="31">
        <f>$K8-Error!$B7</f>
        <v>-191441.48762727561</v>
      </c>
      <c r="N8" s="31">
        <f>Production!$B8*单位碳足迹!O9/1000</f>
        <v>-34376.85345421805</v>
      </c>
      <c r="O8" s="31">
        <f>$N8+Error!$B7</f>
        <v>104271.09928495667</v>
      </c>
      <c r="P8" s="31">
        <f>$N8-Error!$B7</f>
        <v>-173024.80619339275</v>
      </c>
      <c r="Q8" s="31">
        <f>Production!$B8*单位碳足迹!P9/1000</f>
        <v>-55765.010448777735</v>
      </c>
      <c r="R8" s="31">
        <f>$Q8+Error!$B7</f>
        <v>82882.942290396983</v>
      </c>
      <c r="S8" s="31">
        <f>$Q8-Error!$B7</f>
        <v>-194412.96318795244</v>
      </c>
      <c r="T8" s="31">
        <f>Production!$B8*单位碳足迹!Q9/1000</f>
        <v>-70113.121083341874</v>
      </c>
      <c r="U8" s="31">
        <f>$T8+Error!$B7</f>
        <v>68534.831655832837</v>
      </c>
      <c r="V8" s="31">
        <f>$T8-Error!$B7</f>
        <v>-208761.0738225166</v>
      </c>
    </row>
    <row r="9" spans="1:22" x14ac:dyDescent="0.3">
      <c r="A9">
        <v>2026</v>
      </c>
      <c r="B9" s="31">
        <f>Production!$B9*单位碳足迹!K10/1000</f>
        <v>-20713.556675347721</v>
      </c>
      <c r="C9" s="31">
        <f>$B9+Error!$B8</f>
        <v>122070.54919736019</v>
      </c>
      <c r="D9" s="31">
        <f>$B9-Error!$B8</f>
        <v>-163497.66254805564</v>
      </c>
      <c r="E9" s="31">
        <f>Production!$B9*单位碳足迹!L10/1000</f>
        <v>-43307.798544501391</v>
      </c>
      <c r="F9" s="31">
        <f>$E9+Error!$B8</f>
        <v>99476.307328206516</v>
      </c>
      <c r="G9" s="31">
        <f>$E9-Error!$B8</f>
        <v>-186091.9044172093</v>
      </c>
      <c r="H9" s="31">
        <f>Production!$B9*单位碳足迹!M10/1000</f>
        <v>-29986.112251922303</v>
      </c>
      <c r="I9" s="31">
        <f>$H9+Error!$B8</f>
        <v>112797.99362078561</v>
      </c>
      <c r="J9" s="31">
        <f>$H9-Error!$B8</f>
        <v>-172770.21812463022</v>
      </c>
      <c r="K9" s="31">
        <f>Production!$B9*单位碳足迹!N10/1000</f>
        <v>-59744.731983785976</v>
      </c>
      <c r="L9" s="31">
        <f>$K9+Error!$B8</f>
        <v>83039.373888921924</v>
      </c>
      <c r="M9" s="31">
        <f>$K9-Error!$B8</f>
        <v>-202528.83785649389</v>
      </c>
      <c r="N9" s="31">
        <f>Production!$B9*单位碳足迹!O10/1000</f>
        <v>-37173.960564604211</v>
      </c>
      <c r="O9" s="31">
        <f>$N9+Error!$B8</f>
        <v>105610.1453081037</v>
      </c>
      <c r="P9" s="31">
        <f>$N9-Error!$B8</f>
        <v>-179958.06643731211</v>
      </c>
      <c r="Q9" s="31">
        <f>Production!$B9*单位碳足迹!P10/1000</f>
        <v>-65337.883671964359</v>
      </c>
      <c r="R9" s="31">
        <f>$Q9+Error!$B8</f>
        <v>77446.222200743548</v>
      </c>
      <c r="S9" s="31">
        <f>$Q9-Error!$B8</f>
        <v>-208121.98954467225</v>
      </c>
      <c r="T9" s="31">
        <f>Production!$B9*单位碳足迹!Q10/1000</f>
        <v>-82440.683667624369</v>
      </c>
      <c r="U9" s="31">
        <f>$T9+Error!$B8</f>
        <v>60343.422205083538</v>
      </c>
      <c r="V9" s="31">
        <f>$T9-Error!$B8</f>
        <v>-225224.78954033228</v>
      </c>
    </row>
    <row r="10" spans="1:22" x14ac:dyDescent="0.3">
      <c r="A10">
        <v>2027</v>
      </c>
      <c r="B10" s="31">
        <f>Production!$B10*单位碳足迹!K11/1000</f>
        <v>-20161.902257248305</v>
      </c>
      <c r="C10" s="31">
        <f>$B10+Error!$B9</f>
        <v>126758.35674899288</v>
      </c>
      <c r="D10" s="31">
        <f>$B10-Error!$B9</f>
        <v>-167082.16126348948</v>
      </c>
      <c r="E10" s="31">
        <f>Production!$B10*单位碳足迹!L11/1000</f>
        <v>-48935.156658869899</v>
      </c>
      <c r="F10" s="31">
        <f>$E10+Error!$B9</f>
        <v>97985.102347371285</v>
      </c>
      <c r="G10" s="31">
        <f>$E10-Error!$B9</f>
        <v>-195855.4156651111</v>
      </c>
      <c r="H10" s="31">
        <f>Production!$B10*单位碳足迹!M11/1000</f>
        <v>-31387.390794473267</v>
      </c>
      <c r="I10" s="31">
        <f>$H10+Error!$B9</f>
        <v>115532.86821176793</v>
      </c>
      <c r="J10" s="31">
        <f>$H10-Error!$B9</f>
        <v>-178307.64980071445</v>
      </c>
      <c r="K10" s="31">
        <f>Production!$B10*单位碳足迹!N11/1000</f>
        <v>-66692.47770630577</v>
      </c>
      <c r="L10" s="31">
        <f>$K10+Error!$B9</f>
        <v>80227.781299935421</v>
      </c>
      <c r="M10" s="31">
        <f>$K10-Error!$B9</f>
        <v>-213612.73671254696</v>
      </c>
      <c r="N10" s="31">
        <f>Production!$B10*单位碳足迹!O11/1000</f>
        <v>-39914.040523008458</v>
      </c>
      <c r="O10" s="31">
        <f>$N10+Error!$B9</f>
        <v>107006.21848323273</v>
      </c>
      <c r="P10" s="31">
        <f>$N10-Error!$B9</f>
        <v>-186834.29952924966</v>
      </c>
      <c r="Q10" s="31">
        <f>Production!$B10*单位碳足迹!P11/1000</f>
        <v>-74999.670309469424</v>
      </c>
      <c r="R10" s="31">
        <f>$Q10+Error!$B9</f>
        <v>71920.588696771767</v>
      </c>
      <c r="S10" s="31">
        <f>$Q10-Error!$B9</f>
        <v>-221919.92931571061</v>
      </c>
      <c r="T10" s="31">
        <f>Production!$B10*单位碳足迹!Q11/1000</f>
        <v>-94735.84717317429</v>
      </c>
      <c r="U10" s="31">
        <f>$T10+Error!$B9</f>
        <v>52184.411833066901</v>
      </c>
      <c r="V10" s="31">
        <f>$T10-Error!$B9</f>
        <v>-241656.10617941548</v>
      </c>
    </row>
    <row r="11" spans="1:22" x14ac:dyDescent="0.3">
      <c r="A11">
        <v>2028</v>
      </c>
      <c r="B11" s="31">
        <f>Production!$B11*单位碳足迹!K12/1000</f>
        <v>-19456.397040144428</v>
      </c>
      <c r="C11" s="31">
        <f>$B11+Error!$B10</f>
        <v>131600.01509962996</v>
      </c>
      <c r="D11" s="31">
        <f>$B11-Error!$B10</f>
        <v>-170512.80917991881</v>
      </c>
      <c r="E11" s="31">
        <f>Production!$B11*单位碳足迹!L12/1000</f>
        <v>-54576.594094086162</v>
      </c>
      <c r="F11" s="31">
        <f>$E11+Error!$B10</f>
        <v>96479.818045688226</v>
      </c>
      <c r="G11" s="31">
        <f>$E11-Error!$B10</f>
        <v>-205633.00623386056</v>
      </c>
      <c r="H11" s="31">
        <f>Production!$B11*单位碳足迹!M12/1000</f>
        <v>-32713.029549513798</v>
      </c>
      <c r="I11" s="31">
        <f>$H11+Error!$B10</f>
        <v>118343.38259026059</v>
      </c>
      <c r="J11" s="31">
        <f>$H11-Error!$B10</f>
        <v>-183769.44168928819</v>
      </c>
      <c r="K11" s="31">
        <f>Production!$B11*单位碳足迹!N12/1000</f>
        <v>-73583.968073397016</v>
      </c>
      <c r="L11" s="31">
        <f>$K11+Error!$B10</f>
        <v>77472.444066377371</v>
      </c>
      <c r="M11" s="31">
        <f>$K11-Error!$B10</f>
        <v>-224640.38021317142</v>
      </c>
      <c r="N11" s="31">
        <f>Production!$B11*单位碳足迹!O12/1000</f>
        <v>-42581.909117410469</v>
      </c>
      <c r="O11" s="31">
        <f>$N11+Error!$B10</f>
        <v>108474.50302236392</v>
      </c>
      <c r="P11" s="31">
        <f>$N11-Error!$B10</f>
        <v>-193638.32125718484</v>
      </c>
      <c r="Q11" s="31">
        <f>Production!$B11*单位碳足迹!P12/1000</f>
        <v>-84667.149026299798</v>
      </c>
      <c r="R11" s="31">
        <f>$Q11+Error!$B10</f>
        <v>66389.26311347459</v>
      </c>
      <c r="S11" s="31">
        <f>$Q11-Error!$B10</f>
        <v>-235723.56116607419</v>
      </c>
      <c r="T11" s="31">
        <f>Production!$B11*单位碳足迹!Q12/1000</f>
        <v>-106892.2382181898</v>
      </c>
      <c r="U11" s="31">
        <f>$T11+Error!$B10</f>
        <v>44164.173921584588</v>
      </c>
      <c r="V11" s="31">
        <f>$T11-Error!$B10</f>
        <v>-257948.65035796419</v>
      </c>
    </row>
    <row r="12" spans="1:22" x14ac:dyDescent="0.3">
      <c r="A12">
        <v>2029</v>
      </c>
      <c r="B12" s="31">
        <f>Production!$B12*单位碳足迹!K13/1000</f>
        <v>-18609.871892422165</v>
      </c>
      <c r="C12" s="31">
        <f>$B12+Error!$B11</f>
        <v>136582.69338088552</v>
      </c>
      <c r="D12" s="31">
        <f>$B12-Error!$B11</f>
        <v>-173802.43716572988</v>
      </c>
      <c r="E12" s="31">
        <f>Production!$B12*单位碳足迹!L13/1000</f>
        <v>-60192.009265893626</v>
      </c>
      <c r="F12" s="31">
        <f>$E12+Error!$B11</f>
        <v>95000.556007414067</v>
      </c>
      <c r="G12" s="31">
        <f>$E12-Error!$B11</f>
        <v>-215384.57453920133</v>
      </c>
      <c r="H12" s="31">
        <f>Production!$B12*单位碳足迹!M13/1000</f>
        <v>-33962.371696112168</v>
      </c>
      <c r="I12" s="31">
        <f>$H12+Error!$B11</f>
        <v>121230.19357719553</v>
      </c>
      <c r="J12" s="31">
        <f>$H12-Error!$B11</f>
        <v>-189154.93696941988</v>
      </c>
      <c r="K12" s="31">
        <f>Production!$B12*单位碳足迹!N13/1000</f>
        <v>-80374.974974539611</v>
      </c>
      <c r="L12" s="31">
        <f>$K12+Error!$B11</f>
        <v>74817.590298768089</v>
      </c>
      <c r="M12" s="31">
        <f>$K12-Error!$B11</f>
        <v>-235567.54024784733</v>
      </c>
      <c r="N12" s="31">
        <f>Production!$B12*单位碳足迹!O13/1000</f>
        <v>-45166.034959107426</v>
      </c>
      <c r="O12" s="31">
        <f>$N12+Error!$B11</f>
        <v>110026.53031420027</v>
      </c>
      <c r="P12" s="31">
        <f>$N12-Error!$B11</f>
        <v>-200358.60023241513</v>
      </c>
      <c r="Q12" s="31">
        <f>Production!$B12*单位碳足迹!P13/1000</f>
        <v>-94268.290694692012</v>
      </c>
      <c r="R12" s="31">
        <f>$Q12+Error!$B11</f>
        <v>60924.274578615688</v>
      </c>
      <c r="S12" s="31">
        <f>$Q12-Error!$B11</f>
        <v>-249460.85596799973</v>
      </c>
      <c r="T12" s="31">
        <f>Production!$B12*单位碳足迹!Q13/1000</f>
        <v>-118820.91817824112</v>
      </c>
      <c r="U12" s="31">
        <f>$T12+Error!$B11</f>
        <v>36371.647095066583</v>
      </c>
      <c r="V12" s="31">
        <f>$T12-Error!$B11</f>
        <v>-274013.48345154885</v>
      </c>
    </row>
    <row r="13" spans="1:22" x14ac:dyDescent="0.3">
      <c r="A13">
        <v>2030</v>
      </c>
      <c r="B13" s="31">
        <f>Production!$B13*单位碳足迹!K14/1000</f>
        <v>-17635.684525638477</v>
      </c>
      <c r="C13" s="31">
        <f>$B13+Error!$B12</f>
        <v>141693.03388120254</v>
      </c>
      <c r="D13" s="31">
        <f>$B13-Error!$B12</f>
        <v>-176964.40293247948</v>
      </c>
      <c r="E13" s="31">
        <f>Production!$B13*单位碳足迹!L14/1000</f>
        <v>-65747.491410975956</v>
      </c>
      <c r="F13" s="31">
        <f>$E13+Error!$B12</f>
        <v>93581.226995865058</v>
      </c>
      <c r="G13" s="31">
        <f>$E13-Error!$B12</f>
        <v>-225076.20981781697</v>
      </c>
      <c r="H13" s="31">
        <f>Production!$B13*单位碳足迹!M14/1000</f>
        <v>-35136.478001372023</v>
      </c>
      <c r="I13" s="31">
        <f>$H13+Error!$B12</f>
        <v>124192.240405469</v>
      </c>
      <c r="J13" s="31">
        <f>$H13-Error!$B12</f>
        <v>-194465.19640821303</v>
      </c>
      <c r="K13" s="31">
        <f>Production!$B13*单位碳足迹!N14/1000</f>
        <v>-87029.829567745837</v>
      </c>
      <c r="L13" s="31">
        <f>$K13+Error!$B12</f>
        <v>72298.888839095176</v>
      </c>
      <c r="M13" s="31">
        <f>$K13-Error!$B12</f>
        <v>-246358.54797458684</v>
      </c>
      <c r="N13" s="31">
        <f>Production!$B13*单位碳足迹!O14/1000</f>
        <v>-47658.287302268254</v>
      </c>
      <c r="O13" s="31">
        <f>$N13+Error!$B12</f>
        <v>111670.43110457275</v>
      </c>
      <c r="P13" s="31">
        <f>$N13-Error!$B12</f>
        <v>-206987.00570910927</v>
      </c>
      <c r="Q13" s="31">
        <f>Production!$B13*单位碳足迹!P14/1000</f>
        <v>-103742.71859298245</v>
      </c>
      <c r="R13" s="31">
        <f>$Q13+Error!$B12</f>
        <v>55585.999813858565</v>
      </c>
      <c r="S13" s="31">
        <f>$Q13-Error!$B12</f>
        <v>-263071.43699982343</v>
      </c>
      <c r="T13" s="31">
        <f>Production!$B13*单位碳足迹!Q14/1000</f>
        <v>-130450.33173914257</v>
      </c>
      <c r="U13" s="31">
        <f>$T13+Error!$B12</f>
        <v>28878.386667698447</v>
      </c>
      <c r="V13" s="31">
        <f>$T13-Error!$B12</f>
        <v>-289779.05014598358</v>
      </c>
    </row>
    <row r="14" spans="1:22" x14ac:dyDescent="0.3">
      <c r="A14">
        <v>2031</v>
      </c>
      <c r="B14" s="31">
        <f>Production!$B14*单位碳足迹!K15/1000</f>
        <v>-16547.187420939747</v>
      </c>
      <c r="C14" s="31">
        <f>$B14+Error!$B13</f>
        <v>145901.39680448658</v>
      </c>
      <c r="D14" s="31">
        <f>$B14-Error!$B13</f>
        <v>-178995.77164636605</v>
      </c>
      <c r="E14" s="31">
        <f>Production!$B14*单位碳足迹!L15/1000</f>
        <v>-71215.253452985402</v>
      </c>
      <c r="F14" s="31">
        <f>$E14+Error!$B13</f>
        <v>91233.33077244091</v>
      </c>
      <c r="G14" s="31">
        <f>$E14-Error!$B13</f>
        <v>-233663.83767841171</v>
      </c>
      <c r="H14" s="31">
        <f>Production!$B14*单位碳足迹!M15/1000</f>
        <v>-36237.774005400075</v>
      </c>
      <c r="I14" s="31">
        <f>$H14+Error!$B13</f>
        <v>126210.81022002624</v>
      </c>
      <c r="J14" s="31">
        <f>$H14-Error!$B13</f>
        <v>-198686.35823082639</v>
      </c>
      <c r="K14" s="31">
        <f>Production!$B14*单位碳足迹!N15/1000</f>
        <v>-93520.986206764166</v>
      </c>
      <c r="L14" s="31">
        <f>$K14+Error!$B13</f>
        <v>68927.598018662145</v>
      </c>
      <c r="M14" s="31">
        <f>$K14-Error!$B13</f>
        <v>-255969.57043219049</v>
      </c>
      <c r="N14" s="31">
        <f>Production!$B14*单位碳足迹!O15/1000</f>
        <v>-50053.567293098888</v>
      </c>
      <c r="O14" s="31">
        <f>$N14+Error!$B13</f>
        <v>112395.01693232742</v>
      </c>
      <c r="P14" s="31">
        <f>$N14-Error!$B13</f>
        <v>-212502.15151852521</v>
      </c>
      <c r="Q14" s="31">
        <f>Production!$B14*单位碳足迹!P15/1000</f>
        <v>-113041.49826971843</v>
      </c>
      <c r="R14" s="31">
        <f>$Q14+Error!$B13</f>
        <v>49407.08595570788</v>
      </c>
      <c r="S14" s="31">
        <f>$Q14-Error!$B13</f>
        <v>-275490.08249514474</v>
      </c>
      <c r="T14" s="31">
        <f>Production!$B14*单位碳足迹!Q15/1000</f>
        <v>-141725.41256291722</v>
      </c>
      <c r="U14" s="31">
        <f>$T14+Error!$B13</f>
        <v>20723.171662509092</v>
      </c>
      <c r="V14" s="31">
        <f>$T14-Error!$B13</f>
        <v>-304173.99678834353</v>
      </c>
    </row>
    <row r="15" spans="1:22" x14ac:dyDescent="0.3">
      <c r="A15">
        <v>2032</v>
      </c>
      <c r="B15" s="31">
        <f>Production!$B15*单位碳足迹!K16/1000</f>
        <v>-15357.312381386992</v>
      </c>
      <c r="C15" s="31">
        <f>$B15+Error!$B14</f>
        <v>150211.13766262471</v>
      </c>
      <c r="D15" s="31">
        <f>$B15-Error!$B14</f>
        <v>-180925.76242539869</v>
      </c>
      <c r="E15" s="31">
        <f>Production!$B15*单位碳足迹!L16/1000</f>
        <v>-76573.28996727831</v>
      </c>
      <c r="F15" s="31">
        <f>$E15+Error!$B14</f>
        <v>88995.160076733388</v>
      </c>
      <c r="G15" s="31">
        <f>$E15-Error!$B14</f>
        <v>-242141.74001129001</v>
      </c>
      <c r="H15" s="31">
        <f>Production!$B15*单位碳足迹!M16/1000</f>
        <v>-37269.708562661937</v>
      </c>
      <c r="I15" s="31">
        <f>$H15+Error!$B14</f>
        <v>128298.74148134976</v>
      </c>
      <c r="J15" s="31">
        <f>$H15-Error!$B14</f>
        <v>-202838.15860667365</v>
      </c>
      <c r="K15" s="31">
        <f>Production!$B15*单位碳足迹!N16/1000</f>
        <v>-99828.297357291653</v>
      </c>
      <c r="L15" s="31">
        <f>$K15+Error!$B14</f>
        <v>65740.152686720045</v>
      </c>
      <c r="M15" s="31">
        <f>$K15-Error!$B14</f>
        <v>-265396.74740130338</v>
      </c>
      <c r="N15" s="31">
        <f>Production!$B15*单位碳足迹!O16/1000</f>
        <v>-52349.375546374242</v>
      </c>
      <c r="O15" s="31">
        <f>$N15+Error!$B14</f>
        <v>113219.07449763746</v>
      </c>
      <c r="P15" s="31">
        <f>$N15-Error!$B14</f>
        <v>-217917.82559038594</v>
      </c>
      <c r="Q15" s="31">
        <f>Production!$B15*单位碳足迹!P16/1000</f>
        <v>-122126.43322376872</v>
      </c>
      <c r="R15" s="31">
        <f>$Q15+Error!$B14</f>
        <v>43442.016820242978</v>
      </c>
      <c r="S15" s="31">
        <f>$Q15-Error!$B14</f>
        <v>-287694.88326778042</v>
      </c>
      <c r="T15" s="31">
        <f>Production!$B15*单位碳足迹!Q16/1000</f>
        <v>-152606.10859996031</v>
      </c>
      <c r="U15" s="31">
        <f>$T15+Error!$B14</f>
        <v>12962.341444051388</v>
      </c>
      <c r="V15" s="31">
        <f>$T15-Error!$B14</f>
        <v>-318174.55864397204</v>
      </c>
    </row>
    <row r="16" spans="1:22" x14ac:dyDescent="0.3">
      <c r="A16">
        <v>2033</v>
      </c>
      <c r="B16" s="31">
        <f>Production!$B16*单位碳足迹!K17/1000</f>
        <v>-14078.268798109353</v>
      </c>
      <c r="C16" s="31">
        <f>$B16+Error!$B15</f>
        <v>154610.04706448765</v>
      </c>
      <c r="D16" s="31">
        <f>$B16-Error!$B15</f>
        <v>-182766.58466070634</v>
      </c>
      <c r="E16" s="31">
        <f>Production!$B16*单位碳足迹!L17/1000</f>
        <v>-81804.85171892072</v>
      </c>
      <c r="F16" s="31">
        <f>$E16+Error!$B15</f>
        <v>86883.464143676276</v>
      </c>
      <c r="G16" s="31">
        <f>$E16-Error!$B15</f>
        <v>-250493.16758151772</v>
      </c>
      <c r="H16" s="31">
        <f>Production!$B16*单位碳足迹!M17/1000</f>
        <v>-38236.44276569139</v>
      </c>
      <c r="I16" s="31">
        <f>$H16+Error!$B15</f>
        <v>130451.87309690561</v>
      </c>
      <c r="J16" s="31">
        <f>$H16-Error!$B15</f>
        <v>-206924.7586282884</v>
      </c>
      <c r="K16" s="31">
        <f>Production!$B16*单位碳足迹!N17/1000</f>
        <v>-105938.11867399904</v>
      </c>
      <c r="L16" s="31">
        <f>$K16+Error!$B15</f>
        <v>62750.197188597958</v>
      </c>
      <c r="M16" s="31">
        <f>$K16-Error!$B15</f>
        <v>-274626.43453659606</v>
      </c>
      <c r="N16" s="31">
        <f>Production!$B16*单位碳足迹!O17/1000</f>
        <v>-54545.359800014572</v>
      </c>
      <c r="O16" s="31">
        <f>$N16+Error!$B15</f>
        <v>114142.95606258242</v>
      </c>
      <c r="P16" s="31">
        <f>$N16-Error!$B15</f>
        <v>-223233.67566261155</v>
      </c>
      <c r="Q16" s="31">
        <f>Production!$B16*单位碳足迹!P17/1000</f>
        <v>-130969.0361228088</v>
      </c>
      <c r="R16" s="31">
        <f>$Q16+Error!$B15</f>
        <v>37719.279739788195</v>
      </c>
      <c r="S16" s="31">
        <f>$Q16-Error!$B15</f>
        <v>-299657.35198540578</v>
      </c>
      <c r="T16" s="31">
        <f>Production!$B16*单位碳足迹!Q17/1000</f>
        <v>-163065.56681369987</v>
      </c>
      <c r="U16" s="31">
        <f>$T16+Error!$B15</f>
        <v>5622.7490488971234</v>
      </c>
      <c r="V16" s="31">
        <f>$T16-Error!$B15</f>
        <v>-331753.88267629687</v>
      </c>
    </row>
    <row r="17" spans="1:22" x14ac:dyDescent="0.3">
      <c r="A17">
        <v>2034</v>
      </c>
      <c r="B17" s="31">
        <f>Production!$B17*单位碳足迹!K18/1000</f>
        <v>-12721.344293095464</v>
      </c>
      <c r="C17" s="31">
        <f>$B17+Error!$B16</f>
        <v>159086.83738808695</v>
      </c>
      <c r="D17" s="31">
        <f>$B17-Error!$B16</f>
        <v>-184529.52597427787</v>
      </c>
      <c r="E17" s="31">
        <f>Production!$B17*单位碳足迹!L18/1000</f>
        <v>-86897.81696171558</v>
      </c>
      <c r="F17" s="31">
        <f>$E17+Error!$B16</f>
        <v>84910.36471946683</v>
      </c>
      <c r="G17" s="31">
        <f>$E17-Error!$B16</f>
        <v>-258705.99864289799</v>
      </c>
      <c r="H17" s="31">
        <f>Production!$B17*单位碳足迹!M18/1000</f>
        <v>-39142.580359309468</v>
      </c>
      <c r="I17" s="31">
        <f>$H17+Error!$B16</f>
        <v>132665.60132187293</v>
      </c>
      <c r="J17" s="31">
        <f>$H17-Error!$B16</f>
        <v>-210950.76204049189</v>
      </c>
      <c r="K17" s="31">
        <f>Production!$B17*单位碳足迹!N18/1000</f>
        <v>-111842.34313247602</v>
      </c>
      <c r="L17" s="31">
        <f>$K17+Error!$B16</f>
        <v>59965.838548706393</v>
      </c>
      <c r="M17" s="31">
        <f>$K17-Error!$B16</f>
        <v>-283650.52481365844</v>
      </c>
      <c r="N17" s="31">
        <f>Production!$B17*单位碳足迹!O18/1000</f>
        <v>-56642.875495324079</v>
      </c>
      <c r="O17" s="31">
        <f>$N17+Error!$B16</f>
        <v>115165.30618585832</v>
      </c>
      <c r="P17" s="31">
        <f>$N17-Error!$B16</f>
        <v>-228451.0571765065</v>
      </c>
      <c r="Q17" s="31">
        <f>Production!$B17*单位碳足迹!P18/1000</f>
        <v>-139549.32307847525</v>
      </c>
      <c r="R17" s="31">
        <f>$Q17+Error!$B16</f>
        <v>32258.858602707158</v>
      </c>
      <c r="S17" s="31">
        <f>$Q17-Error!$B16</f>
        <v>-311357.50475965766</v>
      </c>
      <c r="T17" s="31">
        <f>Production!$B17*单位碳足迹!Q18/1000</f>
        <v>-173088.17624459649</v>
      </c>
      <c r="U17" s="31">
        <f>$T17+Error!$B16</f>
        <v>-1279.9945634140749</v>
      </c>
      <c r="V17" s="31">
        <f>$T17-Error!$B16</f>
        <v>-344896.3579257789</v>
      </c>
    </row>
    <row r="18" spans="1:22" x14ac:dyDescent="0.3">
      <c r="A18">
        <v>2035</v>
      </c>
      <c r="B18" s="31">
        <f>Production!$B18*单位碳足迹!K19/1000</f>
        <v>-11296.791798045713</v>
      </c>
      <c r="C18" s="31">
        <f>$B18+Error!$B17</f>
        <v>163631.255701722</v>
      </c>
      <c r="D18" s="31">
        <f>$B18-Error!$B17</f>
        <v>-186224.83929781342</v>
      </c>
      <c r="E18" s="31">
        <f>Production!$B18*单位碳足迹!L19/1000</f>
        <v>-91844.024000126097</v>
      </c>
      <c r="F18" s="31">
        <f>$E18+Error!$B17</f>
        <v>83084.023499641611</v>
      </c>
      <c r="G18" s="31">
        <f>$E18-Error!$B17</f>
        <v>-266772.07149989379</v>
      </c>
      <c r="H18" s="31">
        <f>Production!$B18*单位碳足迹!M19/1000</f>
        <v>-39992.94425408759</v>
      </c>
      <c r="I18" s="31">
        <f>$H18+Error!$B17</f>
        <v>134935.1032456801</v>
      </c>
      <c r="J18" s="31">
        <f>$H18-Error!$B17</f>
        <v>-214920.99175385531</v>
      </c>
      <c r="K18" s="31">
        <f>Production!$B18*单位碳足迹!N19/1000</f>
        <v>-117537.43943467461</v>
      </c>
      <c r="L18" s="31">
        <f>$K18+Error!$B17</f>
        <v>57390.608065093096</v>
      </c>
      <c r="M18" s="31">
        <f>$K18-Error!$B17</f>
        <v>-292465.48693444231</v>
      </c>
      <c r="N18" s="31">
        <f>Production!$B18*单位碳足迹!O19/1000</f>
        <v>-58644.581429574595</v>
      </c>
      <c r="O18" s="31">
        <f>$N18+Error!$B17</f>
        <v>116283.46607019311</v>
      </c>
      <c r="P18" s="31">
        <f>$N18-Error!$B17</f>
        <v>-233572.62892934232</v>
      </c>
      <c r="Q18" s="31">
        <f>Production!$B18*单位碳足迹!P19/1000</f>
        <v>-147854.54866183086</v>
      </c>
      <c r="R18" s="31">
        <f>$Q18+Error!$B17</f>
        <v>27073.498837936844</v>
      </c>
      <c r="S18" s="31">
        <f>$Q18-Error!$B17</f>
        <v>-322782.59616159857</v>
      </c>
      <c r="T18" s="31">
        <f>Production!$B18*单位碳足迹!Q19/1000</f>
        <v>-182667.6206814734</v>
      </c>
      <c r="U18" s="31">
        <f>$T18+Error!$B17</f>
        <v>-7739.5731817056949</v>
      </c>
      <c r="V18" s="31">
        <f>$T18-Error!$B17</f>
        <v>-357595.66818124114</v>
      </c>
    </row>
    <row r="19" spans="1:22" x14ac:dyDescent="0.3">
      <c r="A19">
        <v>2036</v>
      </c>
      <c r="B19" s="31">
        <f>Production!$B19*单位碳足迹!K20/1000</f>
        <v>-9813.7855521785332</v>
      </c>
      <c r="C19" s="31">
        <f>$B19+Error!$B18</f>
        <v>164885.23502541115</v>
      </c>
      <c r="D19" s="31">
        <f>$B19-Error!$B18</f>
        <v>-184512.80612976823</v>
      </c>
      <c r="E19" s="31">
        <f>Production!$B19*单位碳足迹!L20/1000</f>
        <v>-96638.61284057342</v>
      </c>
      <c r="F19" s="31">
        <f>$E19+Error!$B18</f>
        <v>78060.40773701627</v>
      </c>
      <c r="G19" s="31">
        <f>$E19-Error!$B18</f>
        <v>-271337.63341816311</v>
      </c>
      <c r="H19" s="31">
        <f>Production!$B19*单位碳足迹!M20/1000</f>
        <v>-40792.398941182932</v>
      </c>
      <c r="I19" s="31">
        <f>$H19+Error!$B18</f>
        <v>133906.62163640675</v>
      </c>
      <c r="J19" s="31">
        <f>$H19-Error!$B18</f>
        <v>-215491.41951877263</v>
      </c>
      <c r="K19" s="31">
        <f>Production!$B19*单位碳足迹!N20/1000</f>
        <v>-123023.54684068284</v>
      </c>
      <c r="L19" s="31">
        <f>$K19+Error!$B18</f>
        <v>51675.473736906846</v>
      </c>
      <c r="M19" s="31">
        <f>$K19-Error!$B18</f>
        <v>-297722.56741827255</v>
      </c>
      <c r="N19" s="31">
        <f>Production!$B19*单位碳足迹!O20/1000</f>
        <v>-60554.083329774548</v>
      </c>
      <c r="O19" s="31">
        <f>$N19+Error!$B18</f>
        <v>114144.93724781513</v>
      </c>
      <c r="P19" s="31">
        <f>$N19-Error!$B18</f>
        <v>-235253.10390736425</v>
      </c>
      <c r="Q19" s="31">
        <f>Production!$B19*单位碳足迹!P20/1000</f>
        <v>-155877.96810340422</v>
      </c>
      <c r="R19" s="31">
        <f>$Q19+Error!$B18</f>
        <v>18821.052474185475</v>
      </c>
      <c r="S19" s="31">
        <f>$Q19-Error!$B18</f>
        <v>-330576.98868099391</v>
      </c>
      <c r="T19" s="31">
        <f>Production!$B19*单位碳足迹!Q20/1000</f>
        <v>-191805.04579044884</v>
      </c>
      <c r="U19" s="31">
        <f>$T19+Error!$B18</f>
        <v>-17106.025212859153</v>
      </c>
      <c r="V19" s="31">
        <f>$T19-Error!$B18</f>
        <v>-366504.06636803853</v>
      </c>
    </row>
    <row r="20" spans="1:22" x14ac:dyDescent="0.3">
      <c r="A20">
        <v>2037</v>
      </c>
      <c r="B20" s="31">
        <f>Production!$B20*单位碳足迹!K21/1000</f>
        <v>-8280.4290419353329</v>
      </c>
      <c r="C20" s="31">
        <f>$B20+Error!$B19</f>
        <v>166189.56461347645</v>
      </c>
      <c r="D20" s="31">
        <f>$B20-Error!$B19</f>
        <v>-182750.42269734712</v>
      </c>
      <c r="E20" s="31">
        <f>Production!$B20*单位碳足迹!L21/1000</f>
        <v>-101279.40833842114</v>
      </c>
      <c r="F20" s="31">
        <f>$E20+Error!$B19</f>
        <v>73190.585316990648</v>
      </c>
      <c r="G20" s="31">
        <f>$E20-Error!$B19</f>
        <v>-275749.4019938329</v>
      </c>
      <c r="H20" s="31">
        <f>Production!$B20*单位碳足迹!M21/1000</f>
        <v>-41545.715432324323</v>
      </c>
      <c r="I20" s="31">
        <f>$H20+Error!$B19</f>
        <v>132924.27822308746</v>
      </c>
      <c r="J20" s="31">
        <f>$H20-Error!$B19</f>
        <v>-216015.70908773612</v>
      </c>
      <c r="K20" s="31">
        <f>Production!$B20*单位碳足迹!N21/1000</f>
        <v>-128303.65851683228</v>
      </c>
      <c r="L20" s="31">
        <f>$K20+Error!$B19</f>
        <v>46166.33513857951</v>
      </c>
      <c r="M20" s="31">
        <f>$K20-Error!$B19</f>
        <v>-302773.65217224404</v>
      </c>
      <c r="N20" s="31">
        <f>Production!$B20*单位碳足迹!O21/1000</f>
        <v>-62375.630850036927</v>
      </c>
      <c r="O20" s="31">
        <f>$N20+Error!$B19</f>
        <v>112094.36280537487</v>
      </c>
      <c r="P20" s="31">
        <f>$N20-Error!$B19</f>
        <v>-236845.62450544871</v>
      </c>
      <c r="Q20" s="31">
        <f>Production!$B20*单位碳足迹!P21/1000</f>
        <v>-163617.6845212245</v>
      </c>
      <c r="R20" s="31">
        <f>$Q20+Error!$B19</f>
        <v>10852.309134187293</v>
      </c>
      <c r="S20" s="31">
        <f>$Q20-Error!$B19</f>
        <v>-338087.67817663628</v>
      </c>
      <c r="T20" s="31">
        <f>Production!$B20*单位碳足迹!Q21/1000</f>
        <v>-200507.40518622965</v>
      </c>
      <c r="U20" s="31">
        <f>$T20+Error!$B19</f>
        <v>-26037.411530817859</v>
      </c>
      <c r="V20" s="31">
        <f>$T20-Error!$B19</f>
        <v>-374977.39884164144</v>
      </c>
    </row>
    <row r="21" spans="1:22" x14ac:dyDescent="0.3">
      <c r="A21">
        <v>2038</v>
      </c>
      <c r="B21" s="31">
        <f>Production!$B21*单位碳足迹!K22/1000</f>
        <v>-6703.7997279461615</v>
      </c>
      <c r="C21" s="31">
        <f>$B21+Error!$B20</f>
        <v>167537.16700528772</v>
      </c>
      <c r="D21" s="31">
        <f>$B21-Error!$B20</f>
        <v>-180944.76646118006</v>
      </c>
      <c r="E21" s="31">
        <f>Production!$B21*单位碳足迹!L22/1000</f>
        <v>-105766.36428576286</v>
      </c>
      <c r="F21" s="31">
        <f>$E21+Error!$B20</f>
        <v>68474.602447471028</v>
      </c>
      <c r="G21" s="31">
        <f>$E21-Error!$B20</f>
        <v>-280007.33101899677</v>
      </c>
      <c r="H21" s="31">
        <f>Production!$B21*单位碳足迹!M22/1000</f>
        <v>-42257.473544652297</v>
      </c>
      <c r="I21" s="31">
        <f>$H21+Error!$B20</f>
        <v>131983.4931885816</v>
      </c>
      <c r="J21" s="31">
        <f>$H21-Error!$B20</f>
        <v>-216498.44027788617</v>
      </c>
      <c r="K21" s="31">
        <f>Production!$B21*单位碳足迹!N22/1000</f>
        <v>-133382.90949409758</v>
      </c>
      <c r="L21" s="31">
        <f>$K21+Error!$B20</f>
        <v>40858.057239136309</v>
      </c>
      <c r="M21" s="31">
        <f>$K21-Error!$B20</f>
        <v>-307623.87622733146</v>
      </c>
      <c r="N21" s="31">
        <f>Production!$B21*单位碳足迹!O22/1000</f>
        <v>-64113.868177187534</v>
      </c>
      <c r="O21" s="31">
        <f>$N21+Error!$B20</f>
        <v>110127.09855604635</v>
      </c>
      <c r="P21" s="31">
        <f>$N21-Error!$B20</f>
        <v>-238354.83491042143</v>
      </c>
      <c r="Q21" s="31">
        <f>Production!$B21*单位碳足迹!P22/1000</f>
        <v>-171075.61517635424</v>
      </c>
      <c r="R21" s="31">
        <f>$Q21+Error!$B20</f>
        <v>3165.3515568796429</v>
      </c>
      <c r="S21" s="31">
        <f>$Q21-Error!$B20</f>
        <v>-345316.58190958813</v>
      </c>
      <c r="T21" s="31">
        <f>Production!$B21*单位碳足迹!Q22/1000</f>
        <v>-208786.01775380355</v>
      </c>
      <c r="U21" s="31">
        <f>$T21+Error!$B20</f>
        <v>-34545.051020569663</v>
      </c>
      <c r="V21" s="31">
        <f>$T21-Error!$B20</f>
        <v>-383026.98448703741</v>
      </c>
    </row>
    <row r="22" spans="1:22" x14ac:dyDescent="0.3">
      <c r="A22">
        <v>2039</v>
      </c>
      <c r="B22" s="31">
        <f>Production!$B22*单位碳足迹!K23/1000</f>
        <v>-5090.0178450039657</v>
      </c>
      <c r="C22" s="31">
        <f>$B22+Error!$B21</f>
        <v>168921.92196605194</v>
      </c>
      <c r="D22" s="31">
        <f>$B22-Error!$B21</f>
        <v>-179101.95765605985</v>
      </c>
      <c r="E22" s="31">
        <f>Production!$B22*单位碳足迹!L23/1000</f>
        <v>-110101.07780044668</v>
      </c>
      <c r="F22" s="31">
        <f>$E22+Error!$B21</f>
        <v>63910.862010609213</v>
      </c>
      <c r="G22" s="31">
        <f>$E22-Error!$B21</f>
        <v>-284113.01761150255</v>
      </c>
      <c r="H22" s="31">
        <f>Production!$B22*单位碳足迹!M23/1000</f>
        <v>-42931.995594527092</v>
      </c>
      <c r="I22" s="31">
        <f>$H22+Error!$B21</f>
        <v>131079.94421652879</v>
      </c>
      <c r="J22" s="31">
        <f>$H22-Error!$B21</f>
        <v>-216943.935405583</v>
      </c>
      <c r="K22" s="31">
        <f>Production!$B22*单位碳足迹!N23/1000</f>
        <v>-138267.97353272417</v>
      </c>
      <c r="L22" s="31">
        <f>$K22+Error!$B21</f>
        <v>35743.966278331733</v>
      </c>
      <c r="M22" s="31">
        <f>$K22-Error!$B21</f>
        <v>-312279.91334378009</v>
      </c>
      <c r="N22" s="31">
        <f>Production!$B22*单位碳足迹!O23/1000</f>
        <v>-65773.634932030938</v>
      </c>
      <c r="O22" s="31">
        <f>$N22+Error!$B21</f>
        <v>108238.30487902496</v>
      </c>
      <c r="P22" s="31">
        <f>$N22-Error!$B21</f>
        <v>-239785.57474308682</v>
      </c>
      <c r="Q22" s="31">
        <f>Production!$B22*单位碳足迹!P23/1000</f>
        <v>-178256.59234929577</v>
      </c>
      <c r="R22" s="31">
        <f>$Q22+Error!$B21</f>
        <v>-4244.6525382398686</v>
      </c>
      <c r="S22" s="31">
        <f>$Q22-Error!$B21</f>
        <v>-352268.53216035163</v>
      </c>
      <c r="T22" s="31">
        <f>Production!$B22*单位碳足迹!Q23/1000</f>
        <v>-216655.34480140757</v>
      </c>
      <c r="U22" s="31">
        <f>$T22+Error!$B21</f>
        <v>-42643.404990351672</v>
      </c>
      <c r="V22" s="31">
        <f>$T22-Error!$B21</f>
        <v>-390667.28461246344</v>
      </c>
    </row>
    <row r="23" spans="1:22" x14ac:dyDescent="0.3">
      <c r="A23">
        <v>2040</v>
      </c>
      <c r="B23" s="31">
        <f>Production!$B23*单位碳足迹!K24/1000</f>
        <v>-3444.3291477484586</v>
      </c>
      <c r="C23" s="31">
        <f>$B23+Error!$B22</f>
        <v>170338.58374112955</v>
      </c>
      <c r="D23" s="31">
        <f>$B23-Error!$B22</f>
        <v>-177227.24203662644</v>
      </c>
      <c r="E23" s="31">
        <f>Production!$B23*单位碳足迹!L24/1000</f>
        <v>-114286.37607427443</v>
      </c>
      <c r="F23" s="31">
        <f>$E23+Error!$B22</f>
        <v>59496.536814603562</v>
      </c>
      <c r="G23" s="31">
        <f>$E23-Error!$B22</f>
        <v>-288069.28896315244</v>
      </c>
      <c r="H23" s="31">
        <f>Production!$B23*单位碳足迹!M24/1000</f>
        <v>-43573.30553700267</v>
      </c>
      <c r="I23" s="31">
        <f>$H23+Error!$B22</f>
        <v>130209.60735187533</v>
      </c>
      <c r="J23" s="31">
        <f>$H23-Error!$B22</f>
        <v>-217356.21842588065</v>
      </c>
      <c r="K23" s="31">
        <f>Production!$B23*单位碳足迹!N24/1000</f>
        <v>-142966.56516535048</v>
      </c>
      <c r="L23" s="31">
        <f>$K23+Error!$B22</f>
        <v>30816.34772352752</v>
      </c>
      <c r="M23" s="31">
        <f>$K23-Error!$B22</f>
        <v>-316749.47805422847</v>
      </c>
      <c r="N23" s="31">
        <f>Production!$B23*单位碳足迹!O24/1000</f>
        <v>-67359.81203474506</v>
      </c>
      <c r="O23" s="31">
        <f>$N23+Error!$B22</f>
        <v>106423.10085413294</v>
      </c>
      <c r="P23" s="31">
        <f>$N23-Error!$B22</f>
        <v>-241142.72492362306</v>
      </c>
      <c r="Q23" s="31">
        <f>Production!$B23*单位碳足迹!P24/1000</f>
        <v>-185167.60121913586</v>
      </c>
      <c r="R23" s="31">
        <f>$Q23+Error!$B22</f>
        <v>-11384.688330257864</v>
      </c>
      <c r="S23" s="31">
        <f>$Q23-Error!$B22</f>
        <v>-358950.51410801383</v>
      </c>
      <c r="T23" s="31">
        <f>Production!$B23*单位碳足迹!Q24/1000</f>
        <v>-224131.97949322494</v>
      </c>
      <c r="U23" s="31">
        <f>$T23+Error!$B22</f>
        <v>-50349.066604346939</v>
      </c>
      <c r="V23" s="31">
        <f>$T23-Error!$B22</f>
        <v>-397914.8923821029</v>
      </c>
    </row>
    <row r="24" spans="1:22" x14ac:dyDescent="0.3">
      <c r="A24">
        <v>2041</v>
      </c>
      <c r="B24" s="31">
        <f>Production!$B24*单位碳足迹!K25/1000</f>
        <v>-1771.1939113450774</v>
      </c>
      <c r="C24" s="31">
        <f>$B24+Error!$B23</f>
        <v>171824.98796708224</v>
      </c>
      <c r="D24" s="31">
        <f>$B24-Error!$B23</f>
        <v>-175367.37578977237</v>
      </c>
      <c r="E24" s="31">
        <f>Production!$B24*单位碳足迹!L25/1000</f>
        <v>-118325.97264480298</v>
      </c>
      <c r="F24" s="31">
        <f>$E24+Error!$B23</f>
        <v>55270.209233624322</v>
      </c>
      <c r="G24" s="31">
        <f>$E24-Error!$B23</f>
        <v>-291922.15452323027</v>
      </c>
      <c r="H24" s="31">
        <f>Production!$B24*单位碳足迹!M25/1000</f>
        <v>-44185.108015027305</v>
      </c>
      <c r="I24" s="31">
        <f>$H24+Error!$B23</f>
        <v>129411.0738634</v>
      </c>
      <c r="J24" s="31">
        <f>$H24-Error!$B23</f>
        <v>-217781.28989345461</v>
      </c>
      <c r="K24" s="31">
        <f>Production!$B24*单位碳足迹!N25/1000</f>
        <v>-147487.0382595229</v>
      </c>
      <c r="L24" s="31">
        <f>$K24+Error!$B23</f>
        <v>26109.143618904403</v>
      </c>
      <c r="M24" s="31">
        <f>$K24-Error!$B23</f>
        <v>-321083.22013795021</v>
      </c>
      <c r="N24" s="31">
        <f>Production!$B24*单位碳足迹!O25/1000</f>
        <v>-68877.206290254428</v>
      </c>
      <c r="O24" s="31">
        <f>$N24+Error!$B23</f>
        <v>104718.97558817288</v>
      </c>
      <c r="P24" s="31">
        <f>$N24-Error!$B23</f>
        <v>-242473.38816868173</v>
      </c>
      <c r="Q24" s="31">
        <f>Production!$B24*单位碳足迹!P25/1000</f>
        <v>-191817.14837376343</v>
      </c>
      <c r="R24" s="31">
        <f>$Q24+Error!$B23</f>
        <v>-18220.966495336121</v>
      </c>
      <c r="S24" s="31">
        <f>$Q24-Error!$B23</f>
        <v>-365413.3302521907</v>
      </c>
      <c r="T24" s="31">
        <f>Production!$B24*单位碳足迹!Q25/1000</f>
        <v>-231233.8310987115</v>
      </c>
      <c r="U24" s="31">
        <f>$T24+Error!$B23</f>
        <v>-57637.649220284191</v>
      </c>
      <c r="V24" s="31">
        <f>$T24-Error!$B23</f>
        <v>-404830.0129771388</v>
      </c>
    </row>
    <row r="25" spans="1:22" x14ac:dyDescent="0.3">
      <c r="A25">
        <v>2042</v>
      </c>
      <c r="B25" s="31">
        <f>Production!$B25*单位碳足迹!K26/1000</f>
        <v>-74.376623259283633</v>
      </c>
      <c r="C25" s="31">
        <f>$B25+Error!$B24</f>
        <v>173335.07424471731</v>
      </c>
      <c r="D25" s="31">
        <f>$B25-Error!$B24</f>
        <v>-173483.82749123586</v>
      </c>
      <c r="E25" s="31">
        <f>Production!$B25*单位碳足迹!L26/1000</f>
        <v>-122224.18738808625</v>
      </c>
      <c r="F25" s="31">
        <f>$E25+Error!$B24</f>
        <v>51185.263479890331</v>
      </c>
      <c r="G25" s="31">
        <f>$E25-Error!$B24</f>
        <v>-295633.63825606287</v>
      </c>
      <c r="H25" s="31">
        <f>Production!$B25*单位碳足迹!M26/1000</f>
        <v>-44770.782453379819</v>
      </c>
      <c r="I25" s="31">
        <f>$H25+Error!$B24</f>
        <v>128638.66841459676</v>
      </c>
      <c r="J25" s="31">
        <f>$H25-Error!$B24</f>
        <v>-218180.23332135641</v>
      </c>
      <c r="K25" s="31">
        <f>Production!$B25*单位碳足迹!N26/1000</f>
        <v>-151838.069861878</v>
      </c>
      <c r="L25" s="31">
        <f>$K25+Error!$B24</f>
        <v>21571.381006098585</v>
      </c>
      <c r="M25" s="31">
        <f>$K25-Error!$B24</f>
        <v>-325247.52072985459</v>
      </c>
      <c r="N25" s="31">
        <f>Production!$B25*单位碳足迹!O26/1000</f>
        <v>-70330.467302851248</v>
      </c>
      <c r="O25" s="31">
        <f>$N25+Error!$B24</f>
        <v>103078.98356512534</v>
      </c>
      <c r="P25" s="31">
        <f>$N25-Error!$B24</f>
        <v>-243739.91817082785</v>
      </c>
      <c r="Q25" s="31">
        <f>Production!$B25*单位碳足迹!P26/1000</f>
        <v>-198214.74936372216</v>
      </c>
      <c r="R25" s="31">
        <f>$Q25+Error!$B24</f>
        <v>-24805.298495745577</v>
      </c>
      <c r="S25" s="31">
        <f>$Q25-Error!$B24</f>
        <v>-371624.20023169875</v>
      </c>
      <c r="T25" s="31">
        <f>Production!$B25*单位碳足迹!Q26/1000</f>
        <v>-237979.48141596129</v>
      </c>
      <c r="U25" s="31">
        <f>$T25+Error!$B24</f>
        <v>-64570.030547984701</v>
      </c>
      <c r="V25" s="31">
        <f>$T25-Error!$B24</f>
        <v>-411388.93228393787</v>
      </c>
    </row>
    <row r="26" spans="1:22" x14ac:dyDescent="0.3">
      <c r="A26">
        <v>2043</v>
      </c>
      <c r="B26" s="31">
        <f>Production!$B26*单位碳足迹!K27/1000</f>
        <v>1642.9674427337306</v>
      </c>
      <c r="C26" s="31">
        <f>$B26+Error!$B25</f>
        <v>174865.68730025974</v>
      </c>
      <c r="D26" s="31">
        <f>$B26-Error!$B25</f>
        <v>-171579.75241479228</v>
      </c>
      <c r="E26" s="31">
        <f>Production!$B26*单位碳足迹!L27/1000</f>
        <v>-125985.72290469577</v>
      </c>
      <c r="F26" s="31">
        <f>$E26+Error!$B25</f>
        <v>47236.996952830246</v>
      </c>
      <c r="G26" s="31">
        <f>$E26-Error!$B25</f>
        <v>-299208.44276222179</v>
      </c>
      <c r="H26" s="31">
        <f>Production!$B26*单位碳足迹!M27/1000</f>
        <v>-45333.388097023475</v>
      </c>
      <c r="I26" s="31">
        <f>$H26+Error!$B25</f>
        <v>127889.33176050254</v>
      </c>
      <c r="J26" s="31">
        <f>$H26-Error!$B25</f>
        <v>-218556.10795454949</v>
      </c>
      <c r="K26" s="31">
        <f>Production!$B26*单位碳足迹!N27/1000</f>
        <v>-156028.4171802708</v>
      </c>
      <c r="L26" s="31">
        <f>$K26+Error!$B25</f>
        <v>17194.302677255211</v>
      </c>
      <c r="M26" s="31">
        <f>$K26-Error!$B25</f>
        <v>-329251.13703779678</v>
      </c>
      <c r="N26" s="31">
        <f>Production!$B26*单位碳足迹!O27/1000</f>
        <v>-71724.030668619598</v>
      </c>
      <c r="O26" s="31">
        <f>$N26+Error!$B25</f>
        <v>101498.68918890641</v>
      </c>
      <c r="P26" s="31">
        <f>$N26-Error!$B25</f>
        <v>-244946.75052614562</v>
      </c>
      <c r="Q26" s="31">
        <f>Production!$B26*单位碳足迹!P27/1000</f>
        <v>-204370.52112479089</v>
      </c>
      <c r="R26" s="31">
        <f>$Q26+Error!$B25</f>
        <v>-31147.801267264877</v>
      </c>
      <c r="S26" s="31">
        <f>$Q26-Error!$B25</f>
        <v>-377593.2409823169</v>
      </c>
      <c r="T26" s="31">
        <f>Production!$B26*单位碳足迹!Q27/1000</f>
        <v>-244387.68891034284</v>
      </c>
      <c r="U26" s="31">
        <f>$T26+Error!$B25</f>
        <v>-71164.969052816828</v>
      </c>
      <c r="V26" s="31">
        <f>$T26-Error!$B25</f>
        <v>-417610.40876786888</v>
      </c>
    </row>
    <row r="27" spans="1:22" x14ac:dyDescent="0.3">
      <c r="A27">
        <v>2044</v>
      </c>
      <c r="B27" s="31">
        <f>Production!$B27*单位碳足迹!K28/1000</f>
        <v>3378.2111957107659</v>
      </c>
      <c r="C27" s="31">
        <f>$B27+Error!$B26</f>
        <v>176414.20004278605</v>
      </c>
      <c r="D27" s="31">
        <f>$B27-Error!$B26</f>
        <v>-169657.77765136454</v>
      </c>
      <c r="E27" s="31">
        <f>Production!$B27*单位碳足迹!L28/1000</f>
        <v>-129615.48946052042</v>
      </c>
      <c r="F27" s="31">
        <f>$E27+Error!$B26</f>
        <v>43420.499386554875</v>
      </c>
      <c r="G27" s="31">
        <f>$E27-Error!$B26</f>
        <v>-302651.47830759571</v>
      </c>
      <c r="H27" s="31">
        <f>Production!$B27*单位碳足迹!M28/1000</f>
        <v>-45875.676654365401</v>
      </c>
      <c r="I27" s="31">
        <f>$H27+Error!$B26</f>
        <v>127160.31219270988</v>
      </c>
      <c r="J27" s="31">
        <f>$H27-Error!$B26</f>
        <v>-218911.6655014407</v>
      </c>
      <c r="K27" s="31">
        <f>Production!$B27*单位碳足迹!N28/1000</f>
        <v>-160066.73576067304</v>
      </c>
      <c r="L27" s="31">
        <f>$K27+Error!$B26</f>
        <v>12969.253086402256</v>
      </c>
      <c r="M27" s="31">
        <f>$K27-Error!$B26</f>
        <v>-333102.72460774833</v>
      </c>
      <c r="N27" s="31">
        <f>Production!$B27*单位碳足迹!O28/1000</f>
        <v>-73062.082006257231</v>
      </c>
      <c r="O27" s="31">
        <f>$N27+Error!$B26</f>
        <v>99973.906840818061</v>
      </c>
      <c r="P27" s="31">
        <f>$N27-Error!$B26</f>
        <v>-246098.07085333252</v>
      </c>
      <c r="Q27" s="31">
        <f>Production!$B27*单位碳足迹!P28/1000</f>
        <v>-210294.86433954781</v>
      </c>
      <c r="R27" s="31">
        <f>$Q27+Error!$B26</f>
        <v>-37258.875492472522</v>
      </c>
      <c r="S27" s="31">
        <f>$Q27-Error!$B26</f>
        <v>-383330.85318662308</v>
      </c>
      <c r="T27" s="31">
        <f>Production!$B27*单位碳足迹!Q28/1000</f>
        <v>-250477.01651784524</v>
      </c>
      <c r="U27" s="31">
        <f>$T27+Error!$B26</f>
        <v>-77441.027670769952</v>
      </c>
      <c r="V27" s="31">
        <f>$T27-Error!$B26</f>
        <v>-423513.00536492054</v>
      </c>
    </row>
    <row r="28" spans="1:22" x14ac:dyDescent="0.3">
      <c r="A28">
        <v>2045</v>
      </c>
      <c r="B28" s="31">
        <f>Production!$B28*单位碳足迹!K29/1000</f>
        <v>5129.1816183747496</v>
      </c>
      <c r="C28" s="31">
        <f>$B28+Error!$B27</f>
        <v>177978.43945499934</v>
      </c>
      <c r="D28" s="31">
        <f>$B28-Error!$B27</f>
        <v>-167720.07621824986</v>
      </c>
      <c r="E28" s="31">
        <f>Production!$B28*单位碳足迹!L29/1000</f>
        <v>-133118.47079932867</v>
      </c>
      <c r="F28" s="31">
        <f>$E28+Error!$B27</f>
        <v>39730.78703729593</v>
      </c>
      <c r="G28" s="31">
        <f>$E28-Error!$B27</f>
        <v>-305967.72863595327</v>
      </c>
      <c r="H28" s="31">
        <f>Production!$B28*单位碳足迹!M29/1000</f>
        <v>-46400.109905685807</v>
      </c>
      <c r="I28" s="31">
        <f>$H28+Error!$B27</f>
        <v>126449.14793093879</v>
      </c>
      <c r="J28" s="31">
        <f>$H28-Error!$B27</f>
        <v>-219249.36774231039</v>
      </c>
      <c r="K28" s="31">
        <f>Production!$B28*单位碳足迹!N29/1000</f>
        <v>-163961.44778478987</v>
      </c>
      <c r="L28" s="31">
        <f>$K28+Error!$B27</f>
        <v>8887.8100518347346</v>
      </c>
      <c r="M28" s="31">
        <f>$K28-Error!$B27</f>
        <v>-336810.70562141447</v>
      </c>
      <c r="N28" s="31">
        <f>Production!$B28*单位碳足迹!O29/1000</f>
        <v>-74348.537120344248</v>
      </c>
      <c r="O28" s="31">
        <f>$N28+Error!$B27</f>
        <v>98500.720716280353</v>
      </c>
      <c r="P28" s="31">
        <f>$N28-Error!$B27</f>
        <v>-247197.79495696886</v>
      </c>
      <c r="Q28" s="31">
        <f>Production!$B28*单位碳足迹!P29/1000</f>
        <v>-215998.22124428247</v>
      </c>
      <c r="R28" s="31">
        <f>$Q28+Error!$B27</f>
        <v>-43148.963407657866</v>
      </c>
      <c r="S28" s="31">
        <f>$Q28-Error!$B27</f>
        <v>-388847.47908090707</v>
      </c>
      <c r="T28" s="31">
        <f>Production!$B28*单位碳足迹!Q29/1000</f>
        <v>-256265.56081420238</v>
      </c>
      <c r="U28" s="31">
        <f>$T28+Error!$B27</f>
        <v>-83416.302977577783</v>
      </c>
      <c r="V28" s="31">
        <f>$T28-Error!$B27</f>
        <v>-429114.81865082699</v>
      </c>
    </row>
    <row r="29" spans="1:22" x14ac:dyDescent="0.3">
      <c r="A29">
        <v>2046</v>
      </c>
      <c r="B29" s="31">
        <f>Production!$B29*单位碳足迹!K30/1000</f>
        <v>6894.0931963990461</v>
      </c>
      <c r="C29" s="31">
        <f>$B29+Error!$B28</f>
        <v>179255.29140554165</v>
      </c>
      <c r="D29" s="31">
        <f>$B29-Error!$B28</f>
        <v>-165467.10501274356</v>
      </c>
      <c r="E29" s="31">
        <f>Production!$B29*单位碳足迹!L30/1000</f>
        <v>-136499.62370063621</v>
      </c>
      <c r="F29" s="31">
        <f>$E29+Error!$B28</f>
        <v>35861.574508506397</v>
      </c>
      <c r="G29" s="31">
        <f>$E29-Error!$B28</f>
        <v>-308860.82190977881</v>
      </c>
      <c r="H29" s="31">
        <f>Production!$B29*单位碳足迹!M30/1000</f>
        <v>-46908.880247495108</v>
      </c>
      <c r="I29" s="31">
        <f>$H29+Error!$B28</f>
        <v>125452.3179616475</v>
      </c>
      <c r="J29" s="31">
        <f>$H29-Error!$B28</f>
        <v>-219270.07845663771</v>
      </c>
      <c r="K29" s="31">
        <f>Production!$B29*单位碳足迹!N30/1000</f>
        <v>-167720.65063343308</v>
      </c>
      <c r="L29" s="31">
        <f>$K29+Error!$B28</f>
        <v>4640.5475757095264</v>
      </c>
      <c r="M29" s="31">
        <f>$K29-Error!$B28</f>
        <v>-340081.84884257568</v>
      </c>
      <c r="N29" s="31">
        <f>Production!$B29*单位碳足迹!O30/1000</f>
        <v>-75587.03434573632</v>
      </c>
      <c r="O29" s="31">
        <f>$N29+Error!$B28</f>
        <v>96774.163863406284</v>
      </c>
      <c r="P29" s="31">
        <f>$N29-Error!$B28</f>
        <v>-247948.23255487892</v>
      </c>
      <c r="Q29" s="31">
        <f>Production!$B29*单位碳足迹!P30/1000</f>
        <v>-221490.89552881001</v>
      </c>
      <c r="R29" s="31">
        <f>$Q29+Error!$B28</f>
        <v>-49129.697319667408</v>
      </c>
      <c r="S29" s="31">
        <f>$Q29-Error!$B28</f>
        <v>-393852.09373795264</v>
      </c>
      <c r="T29" s="31">
        <f>Production!$B29*单位碳足迹!Q30/1000</f>
        <v>-261770.76270517946</v>
      </c>
      <c r="U29" s="31">
        <f>$T29+Error!$B28</f>
        <v>-89409.564496036852</v>
      </c>
      <c r="V29" s="31">
        <f>$T29-Error!$B28</f>
        <v>-434131.96091432206</v>
      </c>
    </row>
    <row r="30" spans="1:22" x14ac:dyDescent="0.3">
      <c r="A30">
        <v>2047</v>
      </c>
      <c r="B30" s="31">
        <f>Production!$B30*单位碳足迹!K31/1000</f>
        <v>8671.4889726260844</v>
      </c>
      <c r="C30" s="31">
        <f>$B30+Error!$B29</f>
        <v>180544.62755428668</v>
      </c>
      <c r="D30" s="31">
        <f>$B30-Error!$B29</f>
        <v>-163201.64960903453</v>
      </c>
      <c r="E30" s="31">
        <f>Production!$B30*单位碳足迹!L31/1000</f>
        <v>-139763.80492271396</v>
      </c>
      <c r="F30" s="31">
        <f>$E30+Error!$B29</f>
        <v>32109.333658946649</v>
      </c>
      <c r="G30" s="31">
        <f>$E30-Error!$B29</f>
        <v>-311636.94350437459</v>
      </c>
      <c r="H30" s="31">
        <f>Production!$B30*单位碳足迹!M31/1000</f>
        <v>-47403.932655745739</v>
      </c>
      <c r="I30" s="31">
        <f>$H30+Error!$B29</f>
        <v>124469.20592591487</v>
      </c>
      <c r="J30" s="31">
        <f>$H30-Error!$B29</f>
        <v>-219277.07123740634</v>
      </c>
      <c r="K30" s="31">
        <f>Production!$B30*单位碳足迹!N31/1000</f>
        <v>-171352.05721123479</v>
      </c>
      <c r="L30" s="31">
        <f>$K30+Error!$B29</f>
        <v>521.08137042581802</v>
      </c>
      <c r="M30" s="31">
        <f>$K30-Error!$B29</f>
        <v>-343225.19579289539</v>
      </c>
      <c r="N30" s="31">
        <f>Production!$B30*单位碳足迹!O31/1000</f>
        <v>-76780.935836465942</v>
      </c>
      <c r="O30" s="31">
        <f>$N30+Error!$B29</f>
        <v>95092.202745194663</v>
      </c>
      <c r="P30" s="31">
        <f>$N30-Error!$B29</f>
        <v>-248654.07441812655</v>
      </c>
      <c r="Q30" s="31">
        <f>Production!$B30*单位碳足迹!P31/1000</f>
        <v>-226782.92247512363</v>
      </c>
      <c r="R30" s="31">
        <f>$Q30+Error!$B29</f>
        <v>-54909.783893463027</v>
      </c>
      <c r="S30" s="31">
        <f>$Q30-Error!$B29</f>
        <v>-398656.06105678424</v>
      </c>
      <c r="T30" s="31">
        <f>Production!$B30*单位碳足迹!Q31/1000</f>
        <v>-267009.28251110861</v>
      </c>
      <c r="U30" s="31">
        <f>$T30+Error!$B29</f>
        <v>-95136.143929448008</v>
      </c>
      <c r="V30" s="31">
        <f>$T30-Error!$B29</f>
        <v>-438882.42109276925</v>
      </c>
    </row>
    <row r="31" spans="1:22" x14ac:dyDescent="0.3">
      <c r="A31">
        <v>2048</v>
      </c>
      <c r="B31" s="31">
        <f>Production!$B31*单位碳足迹!K32/1000</f>
        <v>10460.188961146659</v>
      </c>
      <c r="C31" s="31">
        <f>$B31+Error!$B30</f>
        <v>181845.26791532536</v>
      </c>
      <c r="D31" s="31">
        <f>$B31-Error!$B30</f>
        <v>-160924.88999303203</v>
      </c>
      <c r="E31" s="31">
        <f>Production!$B31*单位碳足迹!L32/1000</f>
        <v>-142915.72001583819</v>
      </c>
      <c r="F31" s="31">
        <f>$E31+Error!$B30</f>
        <v>28469.358938340505</v>
      </c>
      <c r="G31" s="31">
        <f>$E31-Error!$B30</f>
        <v>-314300.79897001688</v>
      </c>
      <c r="H31" s="31">
        <f>Production!$B31*单位碳足迹!M32/1000</f>
        <v>-47886.986967365134</v>
      </c>
      <c r="I31" s="31">
        <f>$H31+Error!$B30</f>
        <v>123498.09198681355</v>
      </c>
      <c r="J31" s="31">
        <f>$H31-Error!$B30</f>
        <v>-219272.06592154384</v>
      </c>
      <c r="K31" s="31">
        <f>Production!$B31*单位碳足迹!N32/1000</f>
        <v>-174862.96086985318</v>
      </c>
      <c r="L31" s="31">
        <f>$K31+Error!$B30</f>
        <v>-3477.8819156744867</v>
      </c>
      <c r="M31" s="31">
        <f>$K31-Error!$B30</f>
        <v>-346248.03982403188</v>
      </c>
      <c r="N31" s="31">
        <f>Production!$B31*单位碳足迹!O32/1000</f>
        <v>-77933.335204318864</v>
      </c>
      <c r="O31" s="31">
        <f>$N31+Error!$B30</f>
        <v>93451.74374985983</v>
      </c>
      <c r="P31" s="31">
        <f>$N31-Error!$B30</f>
        <v>-249318.41415849756</v>
      </c>
      <c r="Q31" s="31">
        <f>Production!$B31*单位碳足迹!P32/1000</f>
        <v>-231883.97910065568</v>
      </c>
      <c r="R31" s="31">
        <f>$Q31+Error!$B30</f>
        <v>-60498.900146476983</v>
      </c>
      <c r="S31" s="31">
        <f>$Q31-Error!$B30</f>
        <v>-403269.05805483437</v>
      </c>
      <c r="T31" s="31">
        <f>Production!$B31*单位碳足迹!Q32/1000</f>
        <v>-271996.9250176294</v>
      </c>
      <c r="U31" s="31">
        <f>$T31+Error!$B30</f>
        <v>-100611.84606345071</v>
      </c>
      <c r="V31" s="31">
        <f>$T31-Error!$B30</f>
        <v>-443382.00397180812</v>
      </c>
    </row>
    <row r="32" spans="1:22" x14ac:dyDescent="0.3">
      <c r="A32">
        <v>2049</v>
      </c>
      <c r="B32" s="31">
        <f>Production!$B32*单位碳足迹!K33/1000</f>
        <v>12259.245439769707</v>
      </c>
      <c r="C32" s="31">
        <f>$B32+Error!$B31</f>
        <v>183156.26476646651</v>
      </c>
      <c r="D32" s="31">
        <f>$B32-Error!$B31</f>
        <v>-158637.77388692711</v>
      </c>
      <c r="E32" s="31">
        <f>Production!$B32*单位碳足迹!L33/1000</f>
        <v>-145959.88933106803</v>
      </c>
      <c r="F32" s="31">
        <f>$E32+Error!$B31</f>
        <v>24937.129995628784</v>
      </c>
      <c r="G32" s="31">
        <f>$E32-Error!$B31</f>
        <v>-316856.90865776484</v>
      </c>
      <c r="H32" s="31">
        <f>Production!$B32*单位碳足迹!M33/1000</f>
        <v>-48359.559709594163</v>
      </c>
      <c r="I32" s="31">
        <f>$H32+Error!$B31</f>
        <v>122537.45961710265</v>
      </c>
      <c r="J32" s="31">
        <f>$H32-Error!$B31</f>
        <v>-219256.57903629099</v>
      </c>
      <c r="K32" s="31">
        <f>Production!$B32*单位碳足迹!N33/1000</f>
        <v>-178260.2190165018</v>
      </c>
      <c r="L32" s="31">
        <f>$K32+Error!$B31</f>
        <v>-7363.1996898049838</v>
      </c>
      <c r="M32" s="31">
        <f>$K32-Error!$B31</f>
        <v>-349157.23834319861</v>
      </c>
      <c r="N32" s="31">
        <f>Production!$B32*单位碳足迹!O33/1000</f>
        <v>-79047.06946721235</v>
      </c>
      <c r="O32" s="31">
        <f>$N32+Error!$B31</f>
        <v>91849.949859484463</v>
      </c>
      <c r="P32" s="31">
        <f>$N32-Error!$B31</f>
        <v>-249944.08879390918</v>
      </c>
      <c r="Q32" s="31">
        <f>Production!$B32*单位碳足迹!P33/1000</f>
        <v>-236803.32566333542</v>
      </c>
      <c r="R32" s="31">
        <f>$Q32+Error!$B31</f>
        <v>-65906.306336638605</v>
      </c>
      <c r="S32" s="31">
        <f>$Q32-Error!$B31</f>
        <v>-407700.34499003226</v>
      </c>
      <c r="T32" s="31">
        <f>Production!$B32*单位碳足迹!Q33/1000</f>
        <v>-276748.60257807816</v>
      </c>
      <c r="U32" s="31">
        <f>$T32+Error!$B31</f>
        <v>-105851.58325138135</v>
      </c>
      <c r="V32" s="31">
        <f>$T32-Error!$B31</f>
        <v>-447645.62190477498</v>
      </c>
    </row>
    <row r="33" spans="1:22" x14ac:dyDescent="0.3">
      <c r="A33">
        <v>2050</v>
      </c>
      <c r="B33" s="31">
        <f>Production!$B33*单位碳足迹!K34/1000</f>
        <v>14067.904520784059</v>
      </c>
      <c r="C33" s="31">
        <f>$B33+Error!$B32</f>
        <v>184476.86421999888</v>
      </c>
      <c r="D33" s="31">
        <f>$B33-Error!$B32</f>
        <v>-156341.05517843075</v>
      </c>
      <c r="E33" s="31">
        <f>Production!$B33*单位碳足迹!L34/1000</f>
        <v>-148900.62733502904</v>
      </c>
      <c r="F33" s="31">
        <f>$E33+Error!$B32</f>
        <v>21508.332364185771</v>
      </c>
      <c r="G33" s="31">
        <f>$E33-Error!$B32</f>
        <v>-319309.58703424386</v>
      </c>
      <c r="H33" s="31">
        <f>Production!$B33*单位碳足迹!M34/1000</f>
        <v>-48822.984962044109</v>
      </c>
      <c r="I33" s="31">
        <f>$H33+Error!$B32</f>
        <v>121585.97473717071</v>
      </c>
      <c r="J33" s="31">
        <f>$H33-Error!$B32</f>
        <v>-219231.94466125892</v>
      </c>
      <c r="K33" s="31">
        <f>Production!$B33*单位碳足迹!N34/1000</f>
        <v>-181550.25060972307</v>
      </c>
      <c r="L33" s="31">
        <f>$K33+Error!$B32</f>
        <v>-11141.290910508251</v>
      </c>
      <c r="M33" s="31">
        <f>$K33-Error!$B32</f>
        <v>-351959.21030893788</v>
      </c>
      <c r="N33" s="31">
        <f>Production!$B33*单位碳足迹!O34/1000</f>
        <v>-80124.733733806788</v>
      </c>
      <c r="O33" s="31">
        <f>$N33+Error!$B32</f>
        <v>90284.225965408026</v>
      </c>
      <c r="P33" s="31">
        <f>$N33-Error!$B32</f>
        <v>-250533.6934330216</v>
      </c>
      <c r="Q33" s="31">
        <f>Production!$B33*单位碳足迹!P34/1000</f>
        <v>-241549.77136112496</v>
      </c>
      <c r="R33" s="31">
        <f>$Q33+Error!$B32</f>
        <v>-71140.811661910149</v>
      </c>
      <c r="S33" s="31">
        <f>$Q33-Error!$B32</f>
        <v>-411958.73106033978</v>
      </c>
      <c r="T33" s="31">
        <f>Production!$B33*单位碳足迹!Q34/1000</f>
        <v>-281278.3265954068</v>
      </c>
      <c r="U33" s="31">
        <f>$T33+Error!$B32</f>
        <v>-110869.36689619199</v>
      </c>
      <c r="V33" s="31">
        <f>$T33-Error!$B32</f>
        <v>-451687.28629462165</v>
      </c>
    </row>
    <row r="34" spans="1:22" x14ac:dyDescent="0.3">
      <c r="S34" s="31"/>
      <c r="T34" s="31"/>
      <c r="U34" s="31"/>
      <c r="V34" s="31"/>
    </row>
  </sheetData>
  <mergeCells count="7">
    <mergeCell ref="T1:V1"/>
    <mergeCell ref="Q1:S1"/>
    <mergeCell ref="B1:D1"/>
    <mergeCell ref="E1:G1"/>
    <mergeCell ref="H1:J1"/>
    <mergeCell ref="K1:M1"/>
    <mergeCell ref="N1:P1"/>
  </mergeCells>
  <phoneticPr fontId="1" type="noConversion"/>
  <conditionalFormatting sqref="S34:V34 B3:V33">
    <cfRule type="cellIs" dxfId="3" priority="1" operator="lessThan">
      <formula>0</formula>
    </cfRule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3D7F-72D3-4EA7-8D69-4B1E7B70199F}">
  <dimension ref="A1:V256"/>
  <sheetViews>
    <sheetView topLeftCell="H1" workbookViewId="0">
      <selection activeCell="P8" sqref="P8"/>
    </sheetView>
  </sheetViews>
  <sheetFormatPr defaultColWidth="8.83203125" defaultRowHeight="14" x14ac:dyDescent="0.3"/>
  <cols>
    <col min="1" max="1" width="5.1640625" bestFit="1" customWidth="1"/>
    <col min="2" max="4" width="9.6640625" bestFit="1" customWidth="1"/>
    <col min="5" max="5" width="14.9140625" bestFit="1" customWidth="1"/>
    <col min="6" max="8" width="9.6640625" bestFit="1" customWidth="1"/>
    <col min="9" max="9" width="8.6640625" bestFit="1" customWidth="1"/>
    <col min="10" max="14" width="9.6640625" bestFit="1" customWidth="1"/>
    <col min="15" max="15" width="8.6640625" bestFit="1" customWidth="1"/>
    <col min="16" max="22" width="9.6640625" bestFit="1" customWidth="1"/>
  </cols>
  <sheetData>
    <row r="1" spans="1:22" x14ac:dyDescent="0.3">
      <c r="B1" s="62" t="s">
        <v>163</v>
      </c>
      <c r="C1" s="63"/>
      <c r="D1" s="64"/>
      <c r="E1" s="65" t="s">
        <v>164</v>
      </c>
      <c r="F1" s="66"/>
      <c r="G1" s="67"/>
      <c r="H1" s="68" t="s">
        <v>165</v>
      </c>
      <c r="I1" s="69"/>
      <c r="J1" s="70"/>
      <c r="K1" s="71" t="s">
        <v>166</v>
      </c>
      <c r="L1" s="72"/>
      <c r="M1" s="73"/>
      <c r="N1" s="68" t="s">
        <v>167</v>
      </c>
      <c r="O1" s="69"/>
      <c r="P1" s="70"/>
      <c r="Q1" s="71" t="s">
        <v>176</v>
      </c>
      <c r="R1" s="72"/>
      <c r="S1" s="73"/>
      <c r="T1" s="68" t="s">
        <v>177</v>
      </c>
      <c r="U1" s="69"/>
      <c r="V1" s="69"/>
    </row>
    <row r="2" spans="1:22" x14ac:dyDescent="0.3">
      <c r="B2" s="30" t="s">
        <v>1</v>
      </c>
      <c r="C2" s="25" t="s">
        <v>2</v>
      </c>
      <c r="D2" s="32" t="s">
        <v>3</v>
      </c>
      <c r="E2" s="33" t="s">
        <v>1</v>
      </c>
      <c r="F2" s="33" t="s">
        <v>2</v>
      </c>
      <c r="G2" s="33" t="s">
        <v>3</v>
      </c>
      <c r="H2" s="30" t="s">
        <v>1</v>
      </c>
      <c r="I2" s="25" t="s">
        <v>2</v>
      </c>
      <c r="J2" s="32" t="s">
        <v>3</v>
      </c>
      <c r="K2" s="33" t="s">
        <v>1</v>
      </c>
      <c r="L2" s="33" t="s">
        <v>2</v>
      </c>
      <c r="M2" s="33" t="s">
        <v>3</v>
      </c>
      <c r="N2" s="30" t="s">
        <v>1</v>
      </c>
      <c r="O2" s="25" t="s">
        <v>2</v>
      </c>
      <c r="P2" s="32" t="s">
        <v>3</v>
      </c>
      <c r="Q2" s="33" t="s">
        <v>1</v>
      </c>
      <c r="R2" s="33" t="s">
        <v>2</v>
      </c>
      <c r="S2" s="33" t="s">
        <v>3</v>
      </c>
      <c r="T2" s="25" t="s">
        <v>1</v>
      </c>
      <c r="U2" s="25" t="s">
        <v>2</v>
      </c>
      <c r="V2" s="25" t="s">
        <v>3</v>
      </c>
    </row>
    <row r="3" spans="1:22" x14ac:dyDescent="0.3">
      <c r="A3">
        <v>2020</v>
      </c>
      <c r="B3" s="31">
        <f>产业碳足迹!B3</f>
        <v>67983.326861575872</v>
      </c>
      <c r="C3" s="31">
        <f>产业碳足迹!C3</f>
        <v>177841.63732197956</v>
      </c>
      <c r="D3" s="31">
        <f>产业碳足迹!D3</f>
        <v>-41874.983598827836</v>
      </c>
      <c r="E3" s="31">
        <f>产业碳足迹!E3</f>
        <v>67983.326861575872</v>
      </c>
      <c r="F3" s="31">
        <f>产业碳足迹!F3</f>
        <v>177841.63732197956</v>
      </c>
      <c r="G3" s="31">
        <f>产业碳足迹!G3</f>
        <v>-41874.983598827836</v>
      </c>
      <c r="H3" s="31">
        <f>产业碳足迹!H3</f>
        <v>67983.326861575872</v>
      </c>
      <c r="I3" s="31">
        <f>产业碳足迹!I3</f>
        <v>177841.63732197956</v>
      </c>
      <c r="J3" s="31">
        <f>产业碳足迹!J3</f>
        <v>-41874.983598827836</v>
      </c>
      <c r="K3" s="31">
        <f>产业碳足迹!K3</f>
        <v>67983.326861575872</v>
      </c>
      <c r="L3" s="31">
        <f>产业碳足迹!L3</f>
        <v>177841.63732197956</v>
      </c>
      <c r="M3" s="31">
        <f>产业碳足迹!M3</f>
        <v>-41874.983598827836</v>
      </c>
      <c r="N3" s="31">
        <f>产业碳足迹!N3</f>
        <v>67983.326861575872</v>
      </c>
      <c r="O3" s="31">
        <f>产业碳足迹!O3</f>
        <v>177841.63732197956</v>
      </c>
      <c r="P3" s="31">
        <f>产业碳足迹!P3</f>
        <v>-41874.983598827836</v>
      </c>
      <c r="Q3" s="31">
        <f>产业碳足迹!Q3</f>
        <v>67983.326861575872</v>
      </c>
      <c r="R3" s="31">
        <f>产业碳足迹!R3</f>
        <v>177841.63732197956</v>
      </c>
      <c r="S3" s="31">
        <f>产业碳足迹!S3</f>
        <v>-41874.983598827836</v>
      </c>
      <c r="T3" s="31">
        <f>产业碳足迹!T3</f>
        <v>67983.326861575872</v>
      </c>
      <c r="U3" s="31">
        <f>产业碳足迹!U3</f>
        <v>177841.63732197956</v>
      </c>
      <c r="V3" s="31">
        <f>产业碳足迹!V3</f>
        <v>-41874.983598827836</v>
      </c>
    </row>
    <row r="4" spans="1:22" x14ac:dyDescent="0.3">
      <c r="A4">
        <v>2021</v>
      </c>
      <c r="B4" s="31">
        <f>产业碳足迹!B4</f>
        <v>74326.9869471813</v>
      </c>
      <c r="C4" s="31">
        <f>产业碳足迹!C4</f>
        <v>189943.2258633392</v>
      </c>
      <c r="D4" s="31">
        <f>产业碳足迹!D4</f>
        <v>-41289.251968976605</v>
      </c>
      <c r="E4" s="31">
        <f>产业碳足迹!E4</f>
        <v>72925.66261667003</v>
      </c>
      <c r="F4" s="31">
        <f>产业碳足迹!F4</f>
        <v>188541.90153282793</v>
      </c>
      <c r="G4" s="31">
        <f>产业碳足迹!G4</f>
        <v>-42690.576299487875</v>
      </c>
      <c r="H4" s="31">
        <f>产业碳足迹!H4</f>
        <v>72773.730349597492</v>
      </c>
      <c r="I4" s="31">
        <f>产业碳足迹!I4</f>
        <v>188389.96926575538</v>
      </c>
      <c r="J4" s="31">
        <f>产业碳足迹!J4</f>
        <v>-42842.508566560413</v>
      </c>
      <c r="K4" s="31">
        <f>产业碳足迹!K4</f>
        <v>66595.05800562074</v>
      </c>
      <c r="L4" s="31">
        <f>产业碳足迹!L4</f>
        <v>182211.29692177864</v>
      </c>
      <c r="M4" s="31">
        <f>产业碳足迹!M4</f>
        <v>-49021.180910537165</v>
      </c>
      <c r="N4" s="31">
        <f>产业碳足迹!N4</f>
        <v>70949.650974650969</v>
      </c>
      <c r="O4" s="31">
        <f>产业碳足迹!O4</f>
        <v>186565.88989080887</v>
      </c>
      <c r="P4" s="31">
        <f>产业碳足迹!P4</f>
        <v>-44666.587941506936</v>
      </c>
      <c r="Q4" s="31">
        <f>产业碳足迹!Q4</f>
        <v>68432.381002170732</v>
      </c>
      <c r="R4" s="31">
        <f>产业碳足迹!R4</f>
        <v>184048.61991832865</v>
      </c>
      <c r="S4" s="31">
        <f>产业碳足迹!S4</f>
        <v>-47183.857913987173</v>
      </c>
      <c r="T4" s="31">
        <f>产业碳足迹!T4</f>
        <v>64578.950170614102</v>
      </c>
      <c r="U4" s="31">
        <f>产业碳足迹!U4</f>
        <v>180195.18908677201</v>
      </c>
      <c r="V4" s="31">
        <f>产业碳足迹!V4</f>
        <v>-51037.288745543803</v>
      </c>
    </row>
    <row r="5" spans="1:22" x14ac:dyDescent="0.3">
      <c r="A5">
        <v>2022</v>
      </c>
      <c r="B5" s="31">
        <f>产业碳足迹!B5</f>
        <v>76433.030141597526</v>
      </c>
      <c r="C5" s="31">
        <f>产业碳足迹!C5</f>
        <v>197807.19751350963</v>
      </c>
      <c r="D5" s="31">
        <f>产业碳足迹!D5</f>
        <v>-44941.137230314576</v>
      </c>
      <c r="E5" s="31">
        <f>产业碳足迹!E5</f>
        <v>73484.829554433149</v>
      </c>
      <c r="F5" s="31">
        <f>产业碳足迹!F5</f>
        <v>194858.99692634525</v>
      </c>
      <c r="G5" s="31">
        <f>产业碳足迹!G5</f>
        <v>-47889.337817478954</v>
      </c>
      <c r="H5" s="31">
        <f>产业碳足迹!H5</f>
        <v>73153.659199541624</v>
      </c>
      <c r="I5" s="31">
        <f>产业碳足迹!I5</f>
        <v>194527.82657145371</v>
      </c>
      <c r="J5" s="31">
        <f>产业碳足迹!J5</f>
        <v>-48220.508172370479</v>
      </c>
      <c r="K5" s="31">
        <f>产业碳足迹!K5</f>
        <v>60417.700152270743</v>
      </c>
      <c r="L5" s="31">
        <f>产业碳足迹!L5</f>
        <v>181791.86752418283</v>
      </c>
      <c r="M5" s="31">
        <f>产业碳足迹!M5</f>
        <v>-60956.467219641359</v>
      </c>
      <c r="N5" s="31">
        <f>产业碳足迹!N5</f>
        <v>69405.259333432681</v>
      </c>
      <c r="O5" s="31">
        <f>产业碳足迹!O5</f>
        <v>190779.42670534478</v>
      </c>
      <c r="P5" s="31">
        <f>产业碳足迹!P5</f>
        <v>-51968.908038479422</v>
      </c>
      <c r="Q5" s="31">
        <f>产业碳足迹!Q5</f>
        <v>64172.43007616324</v>
      </c>
      <c r="R5" s="31">
        <f>产业碳足迹!R5</f>
        <v>185546.59744807534</v>
      </c>
      <c r="S5" s="31">
        <f>产业碳足迹!S5</f>
        <v>-57201.737295748862</v>
      </c>
      <c r="T5" s="31">
        <f>产业碳足迹!T5</f>
        <v>56316.356498480156</v>
      </c>
      <c r="U5" s="31">
        <f>产业碳足迹!U5</f>
        <v>177690.52387039227</v>
      </c>
      <c r="V5" s="31">
        <f>产业碳足迹!V5</f>
        <v>-65057.810873431947</v>
      </c>
    </row>
    <row r="6" spans="1:22" x14ac:dyDescent="0.3">
      <c r="A6">
        <v>2023</v>
      </c>
      <c r="B6" s="31">
        <f>产业碳足迹!B6</f>
        <v>41808.202939428869</v>
      </c>
      <c r="C6" s="31">
        <f>产业碳足迹!C6</f>
        <v>168940.29876709517</v>
      </c>
      <c r="D6" s="31">
        <f>产业碳足迹!D6</f>
        <v>-85323.892888237431</v>
      </c>
      <c r="E6" s="31">
        <f>产业碳足迹!E6</f>
        <v>34665.735611485798</v>
      </c>
      <c r="F6" s="31">
        <f>产业碳足迹!F6</f>
        <v>161797.8314391521</v>
      </c>
      <c r="G6" s="31">
        <f>产业碳足迹!G6</f>
        <v>-92466.360216180503</v>
      </c>
      <c r="H6" s="31">
        <f>产业碳足迹!H6</f>
        <v>37098.535883776145</v>
      </c>
      <c r="I6" s="31">
        <f>产业碳足迹!I6</f>
        <v>164230.63171144243</v>
      </c>
      <c r="J6" s="31">
        <f>产业碳足迹!J6</f>
        <v>-90033.559943890155</v>
      </c>
      <c r="K6" s="31">
        <f>产业碳足迹!K6</f>
        <v>19642.710862312819</v>
      </c>
      <c r="L6" s="31">
        <f>产业碳足迹!L6</f>
        <v>146774.80668997913</v>
      </c>
      <c r="M6" s="31">
        <f>产业碳足迹!M6</f>
        <v>-107489.38496535349</v>
      </c>
      <c r="N6" s="31">
        <f>产业碳足迹!N6</f>
        <v>32238.129220649898</v>
      </c>
      <c r="O6" s="31">
        <f>产业碳足迹!O6</f>
        <v>159370.22504831621</v>
      </c>
      <c r="P6" s="31">
        <f>产业碳足迹!P6</f>
        <v>-94893.966607016395</v>
      </c>
      <c r="Q6" s="31">
        <f>产业碳足迹!Q6</f>
        <v>21825.810962083371</v>
      </c>
      <c r="R6" s="31">
        <f>产业碳足迹!R6</f>
        <v>148957.90678974969</v>
      </c>
      <c r="S6" s="31">
        <f>产业碳足迹!S6</f>
        <v>-105306.28486558293</v>
      </c>
      <c r="T6" s="31">
        <f>产业碳足迹!T6</f>
        <v>11183.445974450569</v>
      </c>
      <c r="U6" s="31">
        <f>产业碳足迹!U6</f>
        <v>138315.54180211687</v>
      </c>
      <c r="V6" s="31">
        <f>产业碳足迹!V6</f>
        <v>-115948.64985321573</v>
      </c>
    </row>
    <row r="7" spans="1:22" x14ac:dyDescent="0.3">
      <c r="A7">
        <v>2024</v>
      </c>
      <c r="B7" s="31">
        <f>产业碳足迹!B7</f>
        <v>-21310.538520208203</v>
      </c>
      <c r="C7" s="31">
        <f>产业碳足迹!C7</f>
        <v>111579.48576321229</v>
      </c>
      <c r="D7" s="31">
        <f>产业碳足迹!D7</f>
        <v>-154200.56280362871</v>
      </c>
      <c r="E7" s="31">
        <f>产业碳足迹!E7</f>
        <v>-32284.418713003128</v>
      </c>
      <c r="F7" s="31">
        <f>产业碳足迹!F7</f>
        <v>100605.60557041736</v>
      </c>
      <c r="G7" s="31">
        <f>产业碳足迹!G7</f>
        <v>-165174.44299642363</v>
      </c>
      <c r="H7" s="31">
        <f>产业碳足迹!H7</f>
        <v>-26969.818756280172</v>
      </c>
      <c r="I7" s="31">
        <f>产业碳足迹!I7</f>
        <v>105920.20552714032</v>
      </c>
      <c r="J7" s="31">
        <f>产业碳足迹!J7</f>
        <v>-159859.84303970067</v>
      </c>
      <c r="K7" s="31">
        <f>产业碳足迹!K7</f>
        <v>-45899.737246110803</v>
      </c>
      <c r="L7" s="31">
        <f>产业碳足迹!L7</f>
        <v>86990.287037309696</v>
      </c>
      <c r="M7" s="31">
        <f>产业碳足迹!M7</f>
        <v>-178789.7615295313</v>
      </c>
      <c r="N7" s="31">
        <f>产业碳足迹!N7</f>
        <v>-31541.634187871685</v>
      </c>
      <c r="O7" s="31">
        <f>产业碳足迹!O7</f>
        <v>101348.39009554882</v>
      </c>
      <c r="P7" s="31">
        <f>产业碳足迹!P7</f>
        <v>-164431.65847129218</v>
      </c>
      <c r="Q7" s="31">
        <f>产业碳足迹!Q7</f>
        <v>-46374.175808978522</v>
      </c>
      <c r="R7" s="31">
        <f>产业碳足迹!R7</f>
        <v>86515.848474441969</v>
      </c>
      <c r="S7" s="31">
        <f>产业碳足迹!S7</f>
        <v>-179264.20009239903</v>
      </c>
      <c r="T7" s="31">
        <f>产业碳足迹!T7</f>
        <v>-57875.922163570081</v>
      </c>
      <c r="U7" s="31">
        <f>产业碳足迹!U7</f>
        <v>75014.102119850417</v>
      </c>
      <c r="V7" s="31">
        <f>产业碳足迹!V7</f>
        <v>-190765.94644699059</v>
      </c>
    </row>
    <row r="8" spans="1:22" x14ac:dyDescent="0.3">
      <c r="A8">
        <v>2025</v>
      </c>
      <c r="B8" s="31">
        <f>产业碳足迹!B8</f>
        <v>-21099.695252249072</v>
      </c>
      <c r="C8" s="31">
        <f>产业碳足迹!C8</f>
        <v>117548.25748692564</v>
      </c>
      <c r="D8" s="31">
        <f>产业碳足迹!D8</f>
        <v>-159747.64799142379</v>
      </c>
      <c r="E8" s="31">
        <f>产业碳足迹!E8</f>
        <v>-37740.510436172539</v>
      </c>
      <c r="F8" s="31">
        <f>产业碳足迹!F8</f>
        <v>100907.44230300217</v>
      </c>
      <c r="G8" s="31">
        <f>产业碳足迹!G8</f>
        <v>-176388.46317534725</v>
      </c>
      <c r="H8" s="31">
        <f>产业碳足迹!H8</f>
        <v>-28511.904904662711</v>
      </c>
      <c r="I8" s="31">
        <f>产业碳足迹!I8</f>
        <v>110136.04783451199</v>
      </c>
      <c r="J8" s="31">
        <f>产业碳足迹!J8</f>
        <v>-167159.85764383743</v>
      </c>
      <c r="K8" s="31">
        <f>产业碳足迹!K8</f>
        <v>-52793.534888100905</v>
      </c>
      <c r="L8" s="31">
        <f>产业碳足迹!L8</f>
        <v>85854.417851073813</v>
      </c>
      <c r="M8" s="31">
        <f>产业碳足迹!M8</f>
        <v>-191441.48762727561</v>
      </c>
      <c r="N8" s="31">
        <f>产业碳足迹!N8</f>
        <v>-34376.85345421805</v>
      </c>
      <c r="O8" s="31">
        <f>产业碳足迹!O8</f>
        <v>104271.09928495667</v>
      </c>
      <c r="P8" s="31">
        <f>产业碳足迹!P8</f>
        <v>-173024.80619339275</v>
      </c>
      <c r="Q8" s="31">
        <f>产业碳足迹!Q8</f>
        <v>-55765.010448777735</v>
      </c>
      <c r="R8" s="31">
        <f>产业碳足迹!R8</f>
        <v>82882.942290396983</v>
      </c>
      <c r="S8" s="31">
        <f>产业碳足迹!S8</f>
        <v>-194412.96318795244</v>
      </c>
      <c r="T8" s="31">
        <f>产业碳足迹!T8</f>
        <v>-70113.121083341874</v>
      </c>
      <c r="U8" s="31">
        <f>产业碳足迹!U8</f>
        <v>68534.831655832837</v>
      </c>
      <c r="V8" s="31">
        <f>产业碳足迹!V8</f>
        <v>-208761.0738225166</v>
      </c>
    </row>
    <row r="9" spans="1:22" x14ac:dyDescent="0.3">
      <c r="A9">
        <v>2026</v>
      </c>
      <c r="B9" s="31">
        <f>产业碳足迹!B9</f>
        <v>-20713.556675347721</v>
      </c>
      <c r="C9" s="31">
        <f>产业碳足迹!C9</f>
        <v>122070.54919736019</v>
      </c>
      <c r="D9" s="31">
        <f>产业碳足迹!D9</f>
        <v>-163497.66254805564</v>
      </c>
      <c r="E9" s="31">
        <f>产业碳足迹!E9</f>
        <v>-43307.798544501391</v>
      </c>
      <c r="F9" s="31">
        <f>产业碳足迹!F9</f>
        <v>99476.307328206516</v>
      </c>
      <c r="G9" s="31">
        <f>产业碳足迹!G9</f>
        <v>-186091.9044172093</v>
      </c>
      <c r="H9" s="31">
        <f>产业碳足迹!H9</f>
        <v>-29986.112251922303</v>
      </c>
      <c r="I9" s="31">
        <f>产业碳足迹!I9</f>
        <v>112797.99362078561</v>
      </c>
      <c r="J9" s="31">
        <f>产业碳足迹!J9</f>
        <v>-172770.21812463022</v>
      </c>
      <c r="K9" s="31">
        <f>产业碳足迹!K9</f>
        <v>-59744.731983785976</v>
      </c>
      <c r="L9" s="31">
        <f>产业碳足迹!L9</f>
        <v>83039.373888921924</v>
      </c>
      <c r="M9" s="31">
        <f>产业碳足迹!M9</f>
        <v>-202528.83785649389</v>
      </c>
      <c r="N9" s="31">
        <f>产业碳足迹!N9</f>
        <v>-37173.960564604211</v>
      </c>
      <c r="O9" s="31">
        <f>产业碳足迹!O9</f>
        <v>105610.1453081037</v>
      </c>
      <c r="P9" s="31">
        <f>产业碳足迹!P9</f>
        <v>-179958.06643731211</v>
      </c>
      <c r="Q9" s="31">
        <f>产业碳足迹!Q9</f>
        <v>-65337.883671964359</v>
      </c>
      <c r="R9" s="31">
        <f>产业碳足迹!R9</f>
        <v>77446.222200743548</v>
      </c>
      <c r="S9" s="31">
        <f>产业碳足迹!S9</f>
        <v>-208121.98954467225</v>
      </c>
      <c r="T9" s="31">
        <f>产业碳足迹!T9</f>
        <v>-82440.683667624369</v>
      </c>
      <c r="U9" s="31">
        <f>产业碳足迹!U9</f>
        <v>60343.422205083538</v>
      </c>
      <c r="V9" s="31">
        <f>产业碳足迹!V9</f>
        <v>-225224.78954033228</v>
      </c>
    </row>
    <row r="10" spans="1:22" x14ac:dyDescent="0.3">
      <c r="A10">
        <v>2027</v>
      </c>
      <c r="B10" s="31">
        <f>产业碳足迹!B10</f>
        <v>-20161.902257248305</v>
      </c>
      <c r="C10" s="31">
        <f>产业碳足迹!C10</f>
        <v>126758.35674899288</v>
      </c>
      <c r="D10" s="31">
        <f>产业碳足迹!D10</f>
        <v>-167082.16126348948</v>
      </c>
      <c r="E10" s="31">
        <f>产业碳足迹!E10</f>
        <v>-48935.156658869899</v>
      </c>
      <c r="F10" s="31">
        <f>产业碳足迹!F10</f>
        <v>97985.102347371285</v>
      </c>
      <c r="G10" s="31">
        <f>产业碳足迹!G10</f>
        <v>-195855.4156651111</v>
      </c>
      <c r="H10" s="31">
        <f>产业碳足迹!H10</f>
        <v>-31387.390794473267</v>
      </c>
      <c r="I10" s="31">
        <f>产业碳足迹!I10</f>
        <v>115532.86821176793</v>
      </c>
      <c r="J10" s="31">
        <f>产业碳足迹!J10</f>
        <v>-178307.64980071445</v>
      </c>
      <c r="K10" s="31">
        <f>产业碳足迹!K10</f>
        <v>-66692.47770630577</v>
      </c>
      <c r="L10" s="31">
        <f>产业碳足迹!L10</f>
        <v>80227.781299935421</v>
      </c>
      <c r="M10" s="31">
        <f>产业碳足迹!M10</f>
        <v>-213612.73671254696</v>
      </c>
      <c r="N10" s="31">
        <f>产业碳足迹!N10</f>
        <v>-39914.040523008458</v>
      </c>
      <c r="O10" s="31">
        <f>产业碳足迹!O10</f>
        <v>107006.21848323273</v>
      </c>
      <c r="P10" s="31">
        <f>产业碳足迹!P10</f>
        <v>-186834.29952924966</v>
      </c>
      <c r="Q10" s="31">
        <f>产业碳足迹!Q10</f>
        <v>-74999.670309469424</v>
      </c>
      <c r="R10" s="31">
        <f>产业碳足迹!R10</f>
        <v>71920.588696771767</v>
      </c>
      <c r="S10" s="31">
        <f>产业碳足迹!S10</f>
        <v>-221919.92931571061</v>
      </c>
      <c r="T10" s="31">
        <f>产业碳足迹!T10</f>
        <v>-94735.84717317429</v>
      </c>
      <c r="U10" s="31">
        <f>产业碳足迹!U10</f>
        <v>52184.411833066901</v>
      </c>
      <c r="V10" s="31">
        <f>产业碳足迹!V10</f>
        <v>-241656.10617941548</v>
      </c>
    </row>
    <row r="11" spans="1:22" x14ac:dyDescent="0.3">
      <c r="A11">
        <v>2028</v>
      </c>
      <c r="B11" s="31">
        <f>产业碳足迹!B11</f>
        <v>-19456.397040144428</v>
      </c>
      <c r="C11" s="31">
        <f>产业碳足迹!C11</f>
        <v>131600.01509962996</v>
      </c>
      <c r="D11" s="31">
        <f>产业碳足迹!D11</f>
        <v>-170512.80917991881</v>
      </c>
      <c r="E11" s="31">
        <f>产业碳足迹!E11</f>
        <v>-54576.594094086162</v>
      </c>
      <c r="F11" s="31">
        <f>产业碳足迹!F11</f>
        <v>96479.818045688226</v>
      </c>
      <c r="G11" s="31">
        <f>产业碳足迹!G11</f>
        <v>-205633.00623386056</v>
      </c>
      <c r="H11" s="31">
        <f>产业碳足迹!H11</f>
        <v>-32713.029549513798</v>
      </c>
      <c r="I11" s="31">
        <f>产业碳足迹!I11</f>
        <v>118343.38259026059</v>
      </c>
      <c r="J11" s="31">
        <f>产业碳足迹!J11</f>
        <v>-183769.44168928819</v>
      </c>
      <c r="K11" s="31">
        <f>产业碳足迹!K11</f>
        <v>-73583.968073397016</v>
      </c>
      <c r="L11" s="31">
        <f>产业碳足迹!L11</f>
        <v>77472.444066377371</v>
      </c>
      <c r="M11" s="31">
        <f>产业碳足迹!M11</f>
        <v>-224640.38021317142</v>
      </c>
      <c r="N11" s="31">
        <f>产业碳足迹!N11</f>
        <v>-42581.909117410469</v>
      </c>
      <c r="O11" s="31">
        <f>产业碳足迹!O11</f>
        <v>108474.50302236392</v>
      </c>
      <c r="P11" s="31">
        <f>产业碳足迹!P11</f>
        <v>-193638.32125718484</v>
      </c>
      <c r="Q11" s="31">
        <f>产业碳足迹!Q11</f>
        <v>-84667.149026299798</v>
      </c>
      <c r="R11" s="31">
        <f>产业碳足迹!R11</f>
        <v>66389.26311347459</v>
      </c>
      <c r="S11" s="31">
        <f>产业碳足迹!S11</f>
        <v>-235723.56116607419</v>
      </c>
      <c r="T11" s="31">
        <f>产业碳足迹!T11</f>
        <v>-106892.2382181898</v>
      </c>
      <c r="U11" s="31">
        <f>产业碳足迹!U11</f>
        <v>44164.173921584588</v>
      </c>
      <c r="V11" s="31">
        <f>产业碳足迹!V11</f>
        <v>-257948.65035796419</v>
      </c>
    </row>
    <row r="12" spans="1:22" x14ac:dyDescent="0.3">
      <c r="A12">
        <v>2029</v>
      </c>
      <c r="B12" s="31">
        <f>产业碳足迹!B12</f>
        <v>-18609.871892422165</v>
      </c>
      <c r="C12" s="31">
        <f>产业碳足迹!C12</f>
        <v>136582.69338088552</v>
      </c>
      <c r="D12" s="31">
        <f>产业碳足迹!D12</f>
        <v>-173802.43716572988</v>
      </c>
      <c r="E12" s="31">
        <f>产业碳足迹!E12</f>
        <v>-60192.009265893626</v>
      </c>
      <c r="F12" s="31">
        <f>产业碳足迹!F12</f>
        <v>95000.556007414067</v>
      </c>
      <c r="G12" s="31">
        <f>产业碳足迹!G12</f>
        <v>-215384.57453920133</v>
      </c>
      <c r="H12" s="31">
        <f>产业碳足迹!H12</f>
        <v>-33962.371696112168</v>
      </c>
      <c r="I12" s="31">
        <f>产业碳足迹!I12</f>
        <v>121230.19357719553</v>
      </c>
      <c r="J12" s="31">
        <f>产业碳足迹!J12</f>
        <v>-189154.93696941988</v>
      </c>
      <c r="K12" s="31">
        <f>产业碳足迹!K12</f>
        <v>-80374.974974539611</v>
      </c>
      <c r="L12" s="31">
        <f>产业碳足迹!L12</f>
        <v>74817.590298768089</v>
      </c>
      <c r="M12" s="31">
        <f>产业碳足迹!M12</f>
        <v>-235567.54024784733</v>
      </c>
      <c r="N12" s="31">
        <f>产业碳足迹!N12</f>
        <v>-45166.034959107426</v>
      </c>
      <c r="O12" s="31">
        <f>产业碳足迹!O12</f>
        <v>110026.53031420027</v>
      </c>
      <c r="P12" s="31">
        <f>产业碳足迹!P12</f>
        <v>-200358.60023241513</v>
      </c>
      <c r="Q12" s="31">
        <f>产业碳足迹!Q12</f>
        <v>-94268.290694692012</v>
      </c>
      <c r="R12" s="31">
        <f>产业碳足迹!R12</f>
        <v>60924.274578615688</v>
      </c>
      <c r="S12" s="31">
        <f>产业碳足迹!S12</f>
        <v>-249460.85596799973</v>
      </c>
      <c r="T12" s="31">
        <f>产业碳足迹!T12</f>
        <v>-118820.91817824112</v>
      </c>
      <c r="U12" s="31">
        <f>产业碳足迹!U12</f>
        <v>36371.647095066583</v>
      </c>
      <c r="V12" s="31">
        <f>产业碳足迹!V12</f>
        <v>-274013.48345154885</v>
      </c>
    </row>
    <row r="13" spans="1:22" x14ac:dyDescent="0.3">
      <c r="A13">
        <v>2030</v>
      </c>
      <c r="B13" s="31">
        <f>产业碳足迹!B13</f>
        <v>-17635.684525638477</v>
      </c>
      <c r="C13" s="31">
        <f>产业碳足迹!C13</f>
        <v>141693.03388120254</v>
      </c>
      <c r="D13" s="31">
        <f>产业碳足迹!D13</f>
        <v>-176964.40293247948</v>
      </c>
      <c r="E13" s="31">
        <f>产业碳足迹!E13</f>
        <v>-65747.491410975956</v>
      </c>
      <c r="F13" s="31">
        <f>产业碳足迹!F13</f>
        <v>93581.226995865058</v>
      </c>
      <c r="G13" s="31">
        <f>产业碳足迹!G13</f>
        <v>-225076.20981781697</v>
      </c>
      <c r="H13" s="31">
        <f>产业碳足迹!H13</f>
        <v>-35136.478001372023</v>
      </c>
      <c r="I13" s="31">
        <f>产业碳足迹!I13</f>
        <v>124192.240405469</v>
      </c>
      <c r="J13" s="31">
        <f>产业碳足迹!J13</f>
        <v>-194465.19640821303</v>
      </c>
      <c r="K13" s="31">
        <f>产业碳足迹!K13</f>
        <v>-87029.829567745837</v>
      </c>
      <c r="L13" s="31">
        <f>产业碳足迹!L13</f>
        <v>72298.888839095176</v>
      </c>
      <c r="M13" s="31">
        <f>产业碳足迹!M13</f>
        <v>-246358.54797458684</v>
      </c>
      <c r="N13" s="31">
        <f>产业碳足迹!N13</f>
        <v>-47658.287302268254</v>
      </c>
      <c r="O13" s="31">
        <f>产业碳足迹!O13</f>
        <v>111670.43110457275</v>
      </c>
      <c r="P13" s="31">
        <f>产业碳足迹!P13</f>
        <v>-206987.00570910927</v>
      </c>
      <c r="Q13" s="31">
        <f>产业碳足迹!Q13</f>
        <v>-103742.71859298245</v>
      </c>
      <c r="R13" s="31">
        <f>产业碳足迹!R13</f>
        <v>55585.999813858565</v>
      </c>
      <c r="S13" s="31">
        <f>产业碳足迹!S13</f>
        <v>-263071.43699982343</v>
      </c>
      <c r="T13" s="31">
        <f>产业碳足迹!T13</f>
        <v>-130450.33173914257</v>
      </c>
      <c r="U13" s="31">
        <f>产业碳足迹!U13</f>
        <v>28878.386667698447</v>
      </c>
      <c r="V13" s="31">
        <f>产业碳足迹!V13</f>
        <v>-289779.05014598358</v>
      </c>
    </row>
    <row r="14" spans="1:22" x14ac:dyDescent="0.3">
      <c r="A14">
        <v>2031</v>
      </c>
      <c r="B14" s="31">
        <f>产业碳足迹!B14</f>
        <v>-16547.187420939747</v>
      </c>
      <c r="C14" s="31">
        <f>产业碳足迹!C14</f>
        <v>145901.39680448658</v>
      </c>
      <c r="D14" s="31">
        <f>产业碳足迹!D14</f>
        <v>-178995.77164636605</v>
      </c>
      <c r="E14" s="31">
        <f>产业碳足迹!E14</f>
        <v>-71215.253452985402</v>
      </c>
      <c r="F14" s="31">
        <f>产业碳足迹!F14</f>
        <v>91233.33077244091</v>
      </c>
      <c r="G14" s="31">
        <f>产业碳足迹!G14</f>
        <v>-233663.83767841171</v>
      </c>
      <c r="H14" s="31">
        <f>产业碳足迹!H14</f>
        <v>-36237.774005400075</v>
      </c>
      <c r="I14" s="31">
        <f>产业碳足迹!I14</f>
        <v>126210.81022002624</v>
      </c>
      <c r="J14" s="31">
        <f>产业碳足迹!J14</f>
        <v>-198686.35823082639</v>
      </c>
      <c r="K14" s="31">
        <f>产业碳足迹!K14</f>
        <v>-93520.986206764166</v>
      </c>
      <c r="L14" s="31">
        <f>产业碳足迹!L14</f>
        <v>68927.598018662145</v>
      </c>
      <c r="M14" s="31">
        <f>产业碳足迹!M14</f>
        <v>-255969.57043219049</v>
      </c>
      <c r="N14" s="31">
        <f>产业碳足迹!N14</f>
        <v>-50053.567293098888</v>
      </c>
      <c r="O14" s="31">
        <f>产业碳足迹!O14</f>
        <v>112395.01693232742</v>
      </c>
      <c r="P14" s="31">
        <f>产业碳足迹!P14</f>
        <v>-212502.15151852521</v>
      </c>
      <c r="Q14" s="31">
        <f>产业碳足迹!Q14</f>
        <v>-113041.49826971843</v>
      </c>
      <c r="R14" s="31">
        <f>产业碳足迹!R14</f>
        <v>49407.08595570788</v>
      </c>
      <c r="S14" s="31">
        <f>产业碳足迹!S14</f>
        <v>-275490.08249514474</v>
      </c>
      <c r="T14" s="31">
        <f>产业碳足迹!T14</f>
        <v>-141725.41256291722</v>
      </c>
      <c r="U14" s="31">
        <f>产业碳足迹!U14</f>
        <v>20723.171662509092</v>
      </c>
      <c r="V14" s="31">
        <f>产业碳足迹!V14</f>
        <v>-304173.99678834353</v>
      </c>
    </row>
    <row r="15" spans="1:22" x14ac:dyDescent="0.3">
      <c r="A15">
        <v>2032</v>
      </c>
      <c r="B15" s="31">
        <f>产业碳足迹!B15</f>
        <v>-15357.312381386992</v>
      </c>
      <c r="C15" s="31">
        <f>产业碳足迹!C15</f>
        <v>150211.13766262471</v>
      </c>
      <c r="D15" s="31">
        <f>产业碳足迹!D15</f>
        <v>-180925.76242539869</v>
      </c>
      <c r="E15" s="31">
        <f>产业碳足迹!E15</f>
        <v>-76573.28996727831</v>
      </c>
      <c r="F15" s="31">
        <f>产业碳足迹!F15</f>
        <v>88995.160076733388</v>
      </c>
      <c r="G15" s="31">
        <f>产业碳足迹!G15</f>
        <v>-242141.74001129001</v>
      </c>
      <c r="H15" s="31">
        <f>产业碳足迹!H15</f>
        <v>-37269.708562661937</v>
      </c>
      <c r="I15" s="31">
        <f>产业碳足迹!I15</f>
        <v>128298.74148134976</v>
      </c>
      <c r="J15" s="31">
        <f>产业碳足迹!J15</f>
        <v>-202838.15860667365</v>
      </c>
      <c r="K15" s="31">
        <f>产业碳足迹!K15</f>
        <v>-99828.297357291653</v>
      </c>
      <c r="L15" s="31">
        <f>产业碳足迹!L15</f>
        <v>65740.152686720045</v>
      </c>
      <c r="M15" s="31">
        <f>产业碳足迹!M15</f>
        <v>-265396.74740130338</v>
      </c>
      <c r="N15" s="31">
        <f>产业碳足迹!N15</f>
        <v>-52349.375546374242</v>
      </c>
      <c r="O15" s="31">
        <f>产业碳足迹!O15</f>
        <v>113219.07449763746</v>
      </c>
      <c r="P15" s="31">
        <f>产业碳足迹!P15</f>
        <v>-217917.82559038594</v>
      </c>
      <c r="Q15" s="31">
        <f>产业碳足迹!Q15</f>
        <v>-122126.43322376872</v>
      </c>
      <c r="R15" s="31">
        <f>产业碳足迹!R15</f>
        <v>43442.016820242978</v>
      </c>
      <c r="S15" s="31">
        <f>产业碳足迹!S15</f>
        <v>-287694.88326778042</v>
      </c>
      <c r="T15" s="31">
        <f>产业碳足迹!T15</f>
        <v>-152606.10859996031</v>
      </c>
      <c r="U15" s="31">
        <f>产业碳足迹!U15</f>
        <v>12962.341444051388</v>
      </c>
      <c r="V15" s="31">
        <f>产业碳足迹!V15</f>
        <v>-318174.55864397204</v>
      </c>
    </row>
    <row r="16" spans="1:22" x14ac:dyDescent="0.3">
      <c r="A16">
        <v>2033</v>
      </c>
      <c r="B16" s="31">
        <f>产业碳足迹!B16</f>
        <v>-14078.268798109353</v>
      </c>
      <c r="C16" s="31">
        <f>产业碳足迹!C16</f>
        <v>154610.04706448765</v>
      </c>
      <c r="D16" s="31">
        <f>产业碳足迹!D16</f>
        <v>-182766.58466070634</v>
      </c>
      <c r="E16" s="31">
        <f>产业碳足迹!E16</f>
        <v>-81804.85171892072</v>
      </c>
      <c r="F16" s="31">
        <f>产业碳足迹!F16</f>
        <v>86883.464143676276</v>
      </c>
      <c r="G16" s="31">
        <f>产业碳足迹!G16</f>
        <v>-250493.16758151772</v>
      </c>
      <c r="H16" s="31">
        <f>产业碳足迹!H16</f>
        <v>-38236.44276569139</v>
      </c>
      <c r="I16" s="31">
        <f>产业碳足迹!I16</f>
        <v>130451.87309690561</v>
      </c>
      <c r="J16" s="31">
        <f>产业碳足迹!J16</f>
        <v>-206924.7586282884</v>
      </c>
      <c r="K16" s="31">
        <f>产业碳足迹!K16</f>
        <v>-105938.11867399904</v>
      </c>
      <c r="L16" s="31">
        <f>产业碳足迹!L16</f>
        <v>62750.197188597958</v>
      </c>
      <c r="M16" s="31">
        <f>产业碳足迹!M16</f>
        <v>-274626.43453659606</v>
      </c>
      <c r="N16" s="31">
        <f>产业碳足迹!N16</f>
        <v>-54545.359800014572</v>
      </c>
      <c r="O16" s="31">
        <f>产业碳足迹!O16</f>
        <v>114142.95606258242</v>
      </c>
      <c r="P16" s="31">
        <f>产业碳足迹!P16</f>
        <v>-223233.67566261155</v>
      </c>
      <c r="Q16" s="31">
        <f>产业碳足迹!Q16</f>
        <v>-130969.0361228088</v>
      </c>
      <c r="R16" s="31">
        <f>产业碳足迹!R16</f>
        <v>37719.279739788195</v>
      </c>
      <c r="S16" s="31">
        <f>产业碳足迹!S16</f>
        <v>-299657.35198540578</v>
      </c>
      <c r="T16" s="31">
        <f>产业碳足迹!T16</f>
        <v>-163065.56681369987</v>
      </c>
      <c r="U16" s="31">
        <f>产业碳足迹!U16</f>
        <v>5622.7490488971234</v>
      </c>
      <c r="V16" s="31">
        <f>产业碳足迹!V16</f>
        <v>-331753.88267629687</v>
      </c>
    </row>
    <row r="17" spans="1:22" x14ac:dyDescent="0.3">
      <c r="A17">
        <v>2034</v>
      </c>
      <c r="B17" s="31">
        <f>产业碳足迹!B17</f>
        <v>-12721.344293095464</v>
      </c>
      <c r="C17" s="31">
        <f>产业碳足迹!C17</f>
        <v>159086.83738808695</v>
      </c>
      <c r="D17" s="31">
        <f>产业碳足迹!D17</f>
        <v>-184529.52597427787</v>
      </c>
      <c r="E17" s="31">
        <f>产业碳足迹!E17</f>
        <v>-86897.81696171558</v>
      </c>
      <c r="F17" s="31">
        <f>产业碳足迹!F17</f>
        <v>84910.36471946683</v>
      </c>
      <c r="G17" s="31">
        <f>产业碳足迹!G17</f>
        <v>-258705.99864289799</v>
      </c>
      <c r="H17" s="31">
        <f>产业碳足迹!H17</f>
        <v>-39142.580359309468</v>
      </c>
      <c r="I17" s="31">
        <f>产业碳足迹!I17</f>
        <v>132665.60132187293</v>
      </c>
      <c r="J17" s="31">
        <f>产业碳足迹!J17</f>
        <v>-210950.76204049189</v>
      </c>
      <c r="K17" s="31">
        <f>产业碳足迹!K17</f>
        <v>-111842.34313247602</v>
      </c>
      <c r="L17" s="31">
        <f>产业碳足迹!L17</f>
        <v>59965.838548706393</v>
      </c>
      <c r="M17" s="31">
        <f>产业碳足迹!M17</f>
        <v>-283650.52481365844</v>
      </c>
      <c r="N17" s="31">
        <f>产业碳足迹!N17</f>
        <v>-56642.875495324079</v>
      </c>
      <c r="O17" s="31">
        <f>产业碳足迹!O17</f>
        <v>115165.30618585832</v>
      </c>
      <c r="P17" s="31">
        <f>产业碳足迹!P17</f>
        <v>-228451.0571765065</v>
      </c>
      <c r="Q17" s="31">
        <f>产业碳足迹!Q17</f>
        <v>-139549.32307847525</v>
      </c>
      <c r="R17" s="31">
        <f>产业碳足迹!R17</f>
        <v>32258.858602707158</v>
      </c>
      <c r="S17" s="31">
        <f>产业碳足迹!S17</f>
        <v>-311357.50475965766</v>
      </c>
      <c r="T17" s="31">
        <f>产业碳足迹!T17</f>
        <v>-173088.17624459649</v>
      </c>
      <c r="U17" s="31">
        <f>产业碳足迹!U17</f>
        <v>-1279.9945634140749</v>
      </c>
      <c r="V17" s="31">
        <f>产业碳足迹!V17</f>
        <v>-344896.3579257789</v>
      </c>
    </row>
    <row r="18" spans="1:22" x14ac:dyDescent="0.3">
      <c r="A18">
        <v>2035</v>
      </c>
      <c r="B18" s="31">
        <f>产业碳足迹!B18</f>
        <v>-11296.791798045713</v>
      </c>
      <c r="C18" s="31">
        <f>产业碳足迹!C18</f>
        <v>163631.255701722</v>
      </c>
      <c r="D18" s="31">
        <f>产业碳足迹!D18</f>
        <v>-186224.83929781342</v>
      </c>
      <c r="E18" s="31">
        <f>产业碳足迹!E18</f>
        <v>-91844.024000126097</v>
      </c>
      <c r="F18" s="31">
        <f>产业碳足迹!F18</f>
        <v>83084.023499641611</v>
      </c>
      <c r="G18" s="31">
        <f>产业碳足迹!G18</f>
        <v>-266772.07149989379</v>
      </c>
      <c r="H18" s="31">
        <f>产业碳足迹!H18</f>
        <v>-39992.94425408759</v>
      </c>
      <c r="I18" s="31">
        <f>产业碳足迹!I18</f>
        <v>134935.1032456801</v>
      </c>
      <c r="J18" s="31">
        <f>产业碳足迹!J18</f>
        <v>-214920.99175385531</v>
      </c>
      <c r="K18" s="31">
        <f>产业碳足迹!K18</f>
        <v>-117537.43943467461</v>
      </c>
      <c r="L18" s="31">
        <f>产业碳足迹!L18</f>
        <v>57390.608065093096</v>
      </c>
      <c r="M18" s="31">
        <f>产业碳足迹!M18</f>
        <v>-292465.48693444231</v>
      </c>
      <c r="N18" s="31">
        <f>产业碳足迹!N18</f>
        <v>-58644.581429574595</v>
      </c>
      <c r="O18" s="31">
        <f>产业碳足迹!O18</f>
        <v>116283.46607019311</v>
      </c>
      <c r="P18" s="31">
        <f>产业碳足迹!P18</f>
        <v>-233572.62892934232</v>
      </c>
      <c r="Q18" s="31">
        <f>产业碳足迹!Q18</f>
        <v>-147854.54866183086</v>
      </c>
      <c r="R18" s="31">
        <f>产业碳足迹!R18</f>
        <v>27073.498837936844</v>
      </c>
      <c r="S18" s="31">
        <f>产业碳足迹!S18</f>
        <v>-322782.59616159857</v>
      </c>
      <c r="T18" s="31">
        <f>产业碳足迹!T18</f>
        <v>-182667.6206814734</v>
      </c>
      <c r="U18" s="31">
        <f>产业碳足迹!U18</f>
        <v>-7739.5731817056949</v>
      </c>
      <c r="V18" s="31">
        <f>产业碳足迹!V18</f>
        <v>-357595.66818124114</v>
      </c>
    </row>
    <row r="19" spans="1:22" x14ac:dyDescent="0.3">
      <c r="A19">
        <v>2036</v>
      </c>
      <c r="B19" s="31">
        <f>产业碳足迹!B19</f>
        <v>-9813.7855521785332</v>
      </c>
      <c r="C19" s="31">
        <f>产业碳足迹!C19</f>
        <v>164885.23502541115</v>
      </c>
      <c r="D19" s="31">
        <f>产业碳足迹!D19</f>
        <v>-184512.80612976823</v>
      </c>
      <c r="E19" s="31">
        <f>产业碳足迹!E19</f>
        <v>-96638.61284057342</v>
      </c>
      <c r="F19" s="31">
        <f>产业碳足迹!F19</f>
        <v>78060.40773701627</v>
      </c>
      <c r="G19" s="31">
        <f>产业碳足迹!G19</f>
        <v>-271337.63341816311</v>
      </c>
      <c r="H19" s="31">
        <f>产业碳足迹!H19</f>
        <v>-40792.398941182932</v>
      </c>
      <c r="I19" s="31">
        <f>产业碳足迹!I19</f>
        <v>133906.62163640675</v>
      </c>
      <c r="J19" s="31">
        <f>产业碳足迹!J19</f>
        <v>-215491.41951877263</v>
      </c>
      <c r="K19" s="31">
        <f>产业碳足迹!K19</f>
        <v>-123023.54684068284</v>
      </c>
      <c r="L19" s="31">
        <f>产业碳足迹!L19</f>
        <v>51675.473736906846</v>
      </c>
      <c r="M19" s="31">
        <f>产业碳足迹!M19</f>
        <v>-297722.56741827255</v>
      </c>
      <c r="N19" s="31">
        <f>产业碳足迹!N19</f>
        <v>-60554.083329774548</v>
      </c>
      <c r="O19" s="31">
        <f>产业碳足迹!O19</f>
        <v>114144.93724781513</v>
      </c>
      <c r="P19" s="31">
        <f>产业碳足迹!P19</f>
        <v>-235253.10390736425</v>
      </c>
      <c r="Q19" s="31">
        <f>产业碳足迹!Q19</f>
        <v>-155877.96810340422</v>
      </c>
      <c r="R19" s="31">
        <f>产业碳足迹!R19</f>
        <v>18821.052474185475</v>
      </c>
      <c r="S19" s="31">
        <f>产业碳足迹!S19</f>
        <v>-330576.98868099391</v>
      </c>
      <c r="T19" s="31">
        <f>产业碳足迹!T19</f>
        <v>-191805.04579044884</v>
      </c>
      <c r="U19" s="31">
        <f>产业碳足迹!U19</f>
        <v>-17106.025212859153</v>
      </c>
      <c r="V19" s="31">
        <f>产业碳足迹!V19</f>
        <v>-366504.06636803853</v>
      </c>
    </row>
    <row r="20" spans="1:22" x14ac:dyDescent="0.3">
      <c r="A20">
        <v>2037</v>
      </c>
      <c r="B20" s="31">
        <f>产业碳足迹!B20</f>
        <v>-8280.4290419353329</v>
      </c>
      <c r="C20" s="31">
        <f>产业碳足迹!C20</f>
        <v>166189.56461347645</v>
      </c>
      <c r="D20" s="31">
        <f>产业碳足迹!D20</f>
        <v>-182750.42269734712</v>
      </c>
      <c r="E20" s="31">
        <f>产业碳足迹!E20</f>
        <v>-101279.40833842114</v>
      </c>
      <c r="F20" s="31">
        <f>产业碳足迹!F20</f>
        <v>73190.585316990648</v>
      </c>
      <c r="G20" s="31">
        <f>产业碳足迹!G20</f>
        <v>-275749.4019938329</v>
      </c>
      <c r="H20" s="31">
        <f>产业碳足迹!H20</f>
        <v>-41545.715432324323</v>
      </c>
      <c r="I20" s="31">
        <f>产业碳足迹!I20</f>
        <v>132924.27822308746</v>
      </c>
      <c r="J20" s="31">
        <f>产业碳足迹!J20</f>
        <v>-216015.70908773612</v>
      </c>
      <c r="K20" s="31">
        <f>产业碳足迹!K20</f>
        <v>-128303.65851683228</v>
      </c>
      <c r="L20" s="31">
        <f>产业碳足迹!L20</f>
        <v>46166.33513857951</v>
      </c>
      <c r="M20" s="31">
        <f>产业碳足迹!M20</f>
        <v>-302773.65217224404</v>
      </c>
      <c r="N20" s="31">
        <f>产业碳足迹!N20</f>
        <v>-62375.630850036927</v>
      </c>
      <c r="O20" s="31">
        <f>产业碳足迹!O20</f>
        <v>112094.36280537487</v>
      </c>
      <c r="P20" s="31">
        <f>产业碳足迹!P20</f>
        <v>-236845.62450544871</v>
      </c>
      <c r="Q20" s="31">
        <f>产业碳足迹!Q20</f>
        <v>-163617.6845212245</v>
      </c>
      <c r="R20" s="31">
        <f>产业碳足迹!R20</f>
        <v>10852.309134187293</v>
      </c>
      <c r="S20" s="31">
        <f>产业碳足迹!S20</f>
        <v>-338087.67817663628</v>
      </c>
      <c r="T20" s="31">
        <f>产业碳足迹!T20</f>
        <v>-200507.40518622965</v>
      </c>
      <c r="U20" s="31">
        <f>产业碳足迹!U20</f>
        <v>-26037.411530817859</v>
      </c>
      <c r="V20" s="31">
        <f>产业碳足迹!V20</f>
        <v>-374977.39884164144</v>
      </c>
    </row>
    <row r="21" spans="1:22" x14ac:dyDescent="0.3">
      <c r="A21">
        <v>2038</v>
      </c>
      <c r="B21" s="31">
        <f>产业碳足迹!B21</f>
        <v>-6703.7997279461615</v>
      </c>
      <c r="C21" s="31">
        <f>产业碳足迹!C21</f>
        <v>167537.16700528772</v>
      </c>
      <c r="D21" s="31">
        <f>产业碳足迹!D21</f>
        <v>-180944.76646118006</v>
      </c>
      <c r="E21" s="31">
        <f>产业碳足迹!E21</f>
        <v>-105766.36428576286</v>
      </c>
      <c r="F21" s="31">
        <f>产业碳足迹!F21</f>
        <v>68474.602447471028</v>
      </c>
      <c r="G21" s="31">
        <f>产业碳足迹!G21</f>
        <v>-280007.33101899677</v>
      </c>
      <c r="H21" s="31">
        <f>产业碳足迹!H21</f>
        <v>-42257.473544652297</v>
      </c>
      <c r="I21" s="31">
        <f>产业碳足迹!I21</f>
        <v>131983.4931885816</v>
      </c>
      <c r="J21" s="31">
        <f>产业碳足迹!J21</f>
        <v>-216498.44027788617</v>
      </c>
      <c r="K21" s="31">
        <f>产业碳足迹!K21</f>
        <v>-133382.90949409758</v>
      </c>
      <c r="L21" s="31">
        <f>产业碳足迹!L21</f>
        <v>40858.057239136309</v>
      </c>
      <c r="M21" s="31">
        <f>产业碳足迹!M21</f>
        <v>-307623.87622733146</v>
      </c>
      <c r="N21" s="31">
        <f>产业碳足迹!N21</f>
        <v>-64113.868177187534</v>
      </c>
      <c r="O21" s="31">
        <f>产业碳足迹!O21</f>
        <v>110127.09855604635</v>
      </c>
      <c r="P21" s="31">
        <f>产业碳足迹!P21</f>
        <v>-238354.83491042143</v>
      </c>
      <c r="Q21" s="31">
        <f>产业碳足迹!Q21</f>
        <v>-171075.61517635424</v>
      </c>
      <c r="R21" s="31">
        <f>产业碳足迹!R21</f>
        <v>3165.3515568796429</v>
      </c>
      <c r="S21" s="31">
        <f>产业碳足迹!S21</f>
        <v>-345316.58190958813</v>
      </c>
      <c r="T21" s="31">
        <f>产业碳足迹!T21</f>
        <v>-208786.01775380355</v>
      </c>
      <c r="U21" s="31">
        <f>产业碳足迹!U21</f>
        <v>-34545.051020569663</v>
      </c>
      <c r="V21" s="31">
        <f>产业碳足迹!V21</f>
        <v>-383026.98448703741</v>
      </c>
    </row>
    <row r="22" spans="1:22" x14ac:dyDescent="0.3">
      <c r="A22">
        <v>2039</v>
      </c>
      <c r="B22" s="31">
        <f>产业碳足迹!B22</f>
        <v>-5090.0178450039657</v>
      </c>
      <c r="C22" s="31">
        <f>产业碳足迹!C22</f>
        <v>168921.92196605194</v>
      </c>
      <c r="D22" s="31">
        <f>产业碳足迹!D22</f>
        <v>-179101.95765605985</v>
      </c>
      <c r="E22" s="31">
        <f>产业碳足迹!E22</f>
        <v>-110101.07780044668</v>
      </c>
      <c r="F22" s="31">
        <f>产业碳足迹!F22</f>
        <v>63910.862010609213</v>
      </c>
      <c r="G22" s="31">
        <f>产业碳足迹!G22</f>
        <v>-284113.01761150255</v>
      </c>
      <c r="H22" s="31">
        <f>产业碳足迹!H22</f>
        <v>-42931.995594527092</v>
      </c>
      <c r="I22" s="31">
        <f>产业碳足迹!I22</f>
        <v>131079.94421652879</v>
      </c>
      <c r="J22" s="31">
        <f>产业碳足迹!J22</f>
        <v>-216943.935405583</v>
      </c>
      <c r="K22" s="31">
        <f>产业碳足迹!K22</f>
        <v>-138267.97353272417</v>
      </c>
      <c r="L22" s="31">
        <f>产业碳足迹!L22</f>
        <v>35743.966278331733</v>
      </c>
      <c r="M22" s="31">
        <f>产业碳足迹!M22</f>
        <v>-312279.91334378009</v>
      </c>
      <c r="N22" s="31">
        <f>产业碳足迹!N22</f>
        <v>-65773.634932030938</v>
      </c>
      <c r="O22" s="31">
        <f>产业碳足迹!O22</f>
        <v>108238.30487902496</v>
      </c>
      <c r="P22" s="31">
        <f>产业碳足迹!P22</f>
        <v>-239785.57474308682</v>
      </c>
      <c r="Q22" s="31">
        <f>产业碳足迹!Q22</f>
        <v>-178256.59234929577</v>
      </c>
      <c r="R22" s="31">
        <f>产业碳足迹!R22</f>
        <v>-4244.6525382398686</v>
      </c>
      <c r="S22" s="31">
        <f>产业碳足迹!S22</f>
        <v>-352268.53216035163</v>
      </c>
      <c r="T22" s="31">
        <f>产业碳足迹!T22</f>
        <v>-216655.34480140757</v>
      </c>
      <c r="U22" s="31">
        <f>产业碳足迹!U22</f>
        <v>-42643.404990351672</v>
      </c>
      <c r="V22" s="31">
        <f>产业碳足迹!V22</f>
        <v>-390667.28461246344</v>
      </c>
    </row>
    <row r="23" spans="1:22" x14ac:dyDescent="0.3">
      <c r="A23">
        <v>2040</v>
      </c>
      <c r="B23" s="31">
        <f>产业碳足迹!B23</f>
        <v>-3444.3291477484586</v>
      </c>
      <c r="C23" s="31">
        <f>产业碳足迹!C23</f>
        <v>170338.58374112955</v>
      </c>
      <c r="D23" s="31">
        <f>产业碳足迹!D23</f>
        <v>-177227.24203662644</v>
      </c>
      <c r="E23" s="31">
        <f>产业碳足迹!E23</f>
        <v>-114286.37607427443</v>
      </c>
      <c r="F23" s="31">
        <f>产业碳足迹!F23</f>
        <v>59496.536814603562</v>
      </c>
      <c r="G23" s="31">
        <f>产业碳足迹!G23</f>
        <v>-288069.28896315244</v>
      </c>
      <c r="H23" s="31">
        <f>产业碳足迹!H23</f>
        <v>-43573.30553700267</v>
      </c>
      <c r="I23" s="31">
        <f>产业碳足迹!I23</f>
        <v>130209.60735187533</v>
      </c>
      <c r="J23" s="31">
        <f>产业碳足迹!J23</f>
        <v>-217356.21842588065</v>
      </c>
      <c r="K23" s="31">
        <f>产业碳足迹!K23</f>
        <v>-142966.56516535048</v>
      </c>
      <c r="L23" s="31">
        <f>产业碳足迹!L23</f>
        <v>30816.34772352752</v>
      </c>
      <c r="M23" s="31">
        <f>产业碳足迹!M23</f>
        <v>-316749.47805422847</v>
      </c>
      <c r="N23" s="31">
        <f>产业碳足迹!N23</f>
        <v>-67359.81203474506</v>
      </c>
      <c r="O23" s="31">
        <f>产业碳足迹!O23</f>
        <v>106423.10085413294</v>
      </c>
      <c r="P23" s="31">
        <f>产业碳足迹!P23</f>
        <v>-241142.72492362306</v>
      </c>
      <c r="Q23" s="31">
        <f>产业碳足迹!Q23</f>
        <v>-185167.60121913586</v>
      </c>
      <c r="R23" s="31">
        <f>产业碳足迹!R23</f>
        <v>-11384.688330257864</v>
      </c>
      <c r="S23" s="31">
        <f>产业碳足迹!S23</f>
        <v>-358950.51410801383</v>
      </c>
      <c r="T23" s="31">
        <f>产业碳足迹!T23</f>
        <v>-224131.97949322494</v>
      </c>
      <c r="U23" s="31">
        <f>产业碳足迹!U23</f>
        <v>-50349.066604346939</v>
      </c>
      <c r="V23" s="31">
        <f>产业碳足迹!V23</f>
        <v>-397914.8923821029</v>
      </c>
    </row>
    <row r="24" spans="1:22" x14ac:dyDescent="0.3">
      <c r="A24">
        <v>2041</v>
      </c>
      <c r="B24" s="31">
        <f>产业碳足迹!B24</f>
        <v>-1771.1939113450774</v>
      </c>
      <c r="C24" s="31">
        <f>产业碳足迹!C24</f>
        <v>171824.98796708224</v>
      </c>
      <c r="D24" s="31">
        <f>产业碳足迹!D24</f>
        <v>-175367.37578977237</v>
      </c>
      <c r="E24" s="31">
        <f>产业碳足迹!E24</f>
        <v>-118325.97264480298</v>
      </c>
      <c r="F24" s="31">
        <f>产业碳足迹!F24</f>
        <v>55270.209233624322</v>
      </c>
      <c r="G24" s="31">
        <f>产业碳足迹!G24</f>
        <v>-291922.15452323027</v>
      </c>
      <c r="H24" s="31">
        <f>产业碳足迹!H24</f>
        <v>-44185.108015027305</v>
      </c>
      <c r="I24" s="31">
        <f>产业碳足迹!I24</f>
        <v>129411.0738634</v>
      </c>
      <c r="J24" s="31">
        <f>产业碳足迹!J24</f>
        <v>-217781.28989345461</v>
      </c>
      <c r="K24" s="31">
        <f>产业碳足迹!K24</f>
        <v>-147487.0382595229</v>
      </c>
      <c r="L24" s="31">
        <f>产业碳足迹!L24</f>
        <v>26109.143618904403</v>
      </c>
      <c r="M24" s="31">
        <f>产业碳足迹!M24</f>
        <v>-321083.22013795021</v>
      </c>
      <c r="N24" s="31">
        <f>产业碳足迹!N24</f>
        <v>-68877.206290254428</v>
      </c>
      <c r="O24" s="31">
        <f>产业碳足迹!O24</f>
        <v>104718.97558817288</v>
      </c>
      <c r="P24" s="31">
        <f>产业碳足迹!P24</f>
        <v>-242473.38816868173</v>
      </c>
      <c r="Q24" s="31">
        <f>产业碳足迹!Q24</f>
        <v>-191817.14837376343</v>
      </c>
      <c r="R24" s="31">
        <f>产业碳足迹!R24</f>
        <v>-18220.966495336121</v>
      </c>
      <c r="S24" s="31">
        <f>产业碳足迹!S24</f>
        <v>-365413.3302521907</v>
      </c>
      <c r="T24" s="31">
        <f>产业碳足迹!T24</f>
        <v>-231233.8310987115</v>
      </c>
      <c r="U24" s="31">
        <f>产业碳足迹!U24</f>
        <v>-57637.649220284191</v>
      </c>
      <c r="V24" s="31">
        <f>产业碳足迹!V24</f>
        <v>-404830.0129771388</v>
      </c>
    </row>
    <row r="25" spans="1:22" x14ac:dyDescent="0.3">
      <c r="A25">
        <v>2042</v>
      </c>
      <c r="B25" s="31">
        <f>产业碳足迹!B25</f>
        <v>-74.376623259283633</v>
      </c>
      <c r="C25" s="31">
        <f>产业碳足迹!C25</f>
        <v>173335.07424471731</v>
      </c>
      <c r="D25" s="31">
        <f>产业碳足迹!D25</f>
        <v>-173483.82749123586</v>
      </c>
      <c r="E25" s="31">
        <f>产业碳足迹!E25</f>
        <v>-122224.18738808625</v>
      </c>
      <c r="F25" s="31">
        <f>产业碳足迹!F25</f>
        <v>51185.263479890331</v>
      </c>
      <c r="G25" s="31">
        <f>产业碳足迹!G25</f>
        <v>-295633.63825606287</v>
      </c>
      <c r="H25" s="31">
        <f>产业碳足迹!H25</f>
        <v>-44770.782453379819</v>
      </c>
      <c r="I25" s="31">
        <f>产业碳足迹!I25</f>
        <v>128638.66841459676</v>
      </c>
      <c r="J25" s="31">
        <f>产业碳足迹!J25</f>
        <v>-218180.23332135641</v>
      </c>
      <c r="K25" s="31">
        <f>产业碳足迹!K25</f>
        <v>-151838.069861878</v>
      </c>
      <c r="L25" s="31">
        <f>产业碳足迹!L25</f>
        <v>21571.381006098585</v>
      </c>
      <c r="M25" s="31">
        <f>产业碳足迹!M25</f>
        <v>-325247.52072985459</v>
      </c>
      <c r="N25" s="31">
        <f>产业碳足迹!N25</f>
        <v>-70330.467302851248</v>
      </c>
      <c r="O25" s="31">
        <f>产业碳足迹!O25</f>
        <v>103078.98356512534</v>
      </c>
      <c r="P25" s="31">
        <f>产业碳足迹!P25</f>
        <v>-243739.91817082785</v>
      </c>
      <c r="Q25" s="31">
        <f>产业碳足迹!Q25</f>
        <v>-198214.74936372216</v>
      </c>
      <c r="R25" s="31">
        <f>产业碳足迹!R25</f>
        <v>-24805.298495745577</v>
      </c>
      <c r="S25" s="31">
        <f>产业碳足迹!S25</f>
        <v>-371624.20023169875</v>
      </c>
      <c r="T25" s="31">
        <f>产业碳足迹!T25</f>
        <v>-237979.48141596129</v>
      </c>
      <c r="U25" s="31">
        <f>产业碳足迹!U25</f>
        <v>-64570.030547984701</v>
      </c>
      <c r="V25" s="31">
        <f>产业碳足迹!V25</f>
        <v>-411388.93228393787</v>
      </c>
    </row>
    <row r="26" spans="1:22" x14ac:dyDescent="0.3">
      <c r="A26">
        <v>2043</v>
      </c>
      <c r="B26" s="31">
        <f>产业碳足迹!B26</f>
        <v>1642.9674427337306</v>
      </c>
      <c r="C26" s="31">
        <f>产业碳足迹!C26</f>
        <v>174865.68730025974</v>
      </c>
      <c r="D26" s="31">
        <f>产业碳足迹!D26</f>
        <v>-171579.75241479228</v>
      </c>
      <c r="E26" s="31">
        <f>产业碳足迹!E26</f>
        <v>-125985.72290469577</v>
      </c>
      <c r="F26" s="31">
        <f>产业碳足迹!F26</f>
        <v>47236.996952830246</v>
      </c>
      <c r="G26" s="31">
        <f>产业碳足迹!G26</f>
        <v>-299208.44276222179</v>
      </c>
      <c r="H26" s="31">
        <f>产业碳足迹!H26</f>
        <v>-45333.388097023475</v>
      </c>
      <c r="I26" s="31">
        <f>产业碳足迹!I26</f>
        <v>127889.33176050254</v>
      </c>
      <c r="J26" s="31">
        <f>产业碳足迹!J26</f>
        <v>-218556.10795454949</v>
      </c>
      <c r="K26" s="31">
        <f>产业碳足迹!K26</f>
        <v>-156028.4171802708</v>
      </c>
      <c r="L26" s="31">
        <f>产业碳足迹!L26</f>
        <v>17194.302677255211</v>
      </c>
      <c r="M26" s="31">
        <f>产业碳足迹!M26</f>
        <v>-329251.13703779678</v>
      </c>
      <c r="N26" s="31">
        <f>产业碳足迹!N26</f>
        <v>-71724.030668619598</v>
      </c>
      <c r="O26" s="31">
        <f>产业碳足迹!O26</f>
        <v>101498.68918890641</v>
      </c>
      <c r="P26" s="31">
        <f>产业碳足迹!P26</f>
        <v>-244946.75052614562</v>
      </c>
      <c r="Q26" s="31">
        <f>产业碳足迹!Q26</f>
        <v>-204370.52112479089</v>
      </c>
      <c r="R26" s="31">
        <f>产业碳足迹!R26</f>
        <v>-31147.801267264877</v>
      </c>
      <c r="S26" s="31">
        <f>产业碳足迹!S26</f>
        <v>-377593.2409823169</v>
      </c>
      <c r="T26" s="31">
        <f>产业碳足迹!T26</f>
        <v>-244387.68891034284</v>
      </c>
      <c r="U26" s="31">
        <f>产业碳足迹!U26</f>
        <v>-71164.969052816828</v>
      </c>
      <c r="V26" s="31">
        <f>产业碳足迹!V26</f>
        <v>-417610.40876786888</v>
      </c>
    </row>
    <row r="27" spans="1:22" x14ac:dyDescent="0.3">
      <c r="A27">
        <v>2044</v>
      </c>
      <c r="B27" s="31">
        <f>产业碳足迹!B27</f>
        <v>3378.2111957107659</v>
      </c>
      <c r="C27" s="31">
        <f>产业碳足迹!C27</f>
        <v>176414.20004278605</v>
      </c>
      <c r="D27" s="31">
        <f>产业碳足迹!D27</f>
        <v>-169657.77765136454</v>
      </c>
      <c r="E27" s="31">
        <f>产业碳足迹!E27</f>
        <v>-129615.48946052042</v>
      </c>
      <c r="F27" s="31">
        <f>产业碳足迹!F27</f>
        <v>43420.499386554875</v>
      </c>
      <c r="G27" s="31">
        <f>产业碳足迹!G27</f>
        <v>-302651.47830759571</v>
      </c>
      <c r="H27" s="31">
        <f>产业碳足迹!H27</f>
        <v>-45875.676654365401</v>
      </c>
      <c r="I27" s="31">
        <f>产业碳足迹!I27</f>
        <v>127160.31219270988</v>
      </c>
      <c r="J27" s="31">
        <f>产业碳足迹!J27</f>
        <v>-218911.6655014407</v>
      </c>
      <c r="K27" s="31">
        <f>产业碳足迹!K27</f>
        <v>-160066.73576067304</v>
      </c>
      <c r="L27" s="31">
        <f>产业碳足迹!L27</f>
        <v>12969.253086402256</v>
      </c>
      <c r="M27" s="31">
        <f>产业碳足迹!M27</f>
        <v>-333102.72460774833</v>
      </c>
      <c r="N27" s="31">
        <f>产业碳足迹!N27</f>
        <v>-73062.082006257231</v>
      </c>
      <c r="O27" s="31">
        <f>产业碳足迹!O27</f>
        <v>99973.906840818061</v>
      </c>
      <c r="P27" s="31">
        <f>产业碳足迹!P27</f>
        <v>-246098.07085333252</v>
      </c>
      <c r="Q27" s="31">
        <f>产业碳足迹!Q27</f>
        <v>-210294.86433954781</v>
      </c>
      <c r="R27" s="31">
        <f>产业碳足迹!R27</f>
        <v>-37258.875492472522</v>
      </c>
      <c r="S27" s="31">
        <f>产业碳足迹!S27</f>
        <v>-383330.85318662308</v>
      </c>
      <c r="T27" s="31">
        <f>产业碳足迹!T27</f>
        <v>-250477.01651784524</v>
      </c>
      <c r="U27" s="31">
        <f>产业碳足迹!U27</f>
        <v>-77441.027670769952</v>
      </c>
      <c r="V27" s="31">
        <f>产业碳足迹!V27</f>
        <v>-423513.00536492054</v>
      </c>
    </row>
    <row r="28" spans="1:22" x14ac:dyDescent="0.3">
      <c r="A28">
        <v>2045</v>
      </c>
      <c r="B28" s="31">
        <f>产业碳足迹!B28</f>
        <v>5129.1816183747496</v>
      </c>
      <c r="C28" s="31">
        <f>产业碳足迹!C28</f>
        <v>177978.43945499934</v>
      </c>
      <c r="D28" s="31">
        <f>产业碳足迹!D28</f>
        <v>-167720.07621824986</v>
      </c>
      <c r="E28" s="31">
        <f>产业碳足迹!E28</f>
        <v>-133118.47079932867</v>
      </c>
      <c r="F28" s="31">
        <f>产业碳足迹!F28</f>
        <v>39730.78703729593</v>
      </c>
      <c r="G28" s="31">
        <f>产业碳足迹!G28</f>
        <v>-305967.72863595327</v>
      </c>
      <c r="H28" s="31">
        <f>产业碳足迹!H28</f>
        <v>-46400.109905685807</v>
      </c>
      <c r="I28" s="31">
        <f>产业碳足迹!I28</f>
        <v>126449.14793093879</v>
      </c>
      <c r="J28" s="31">
        <f>产业碳足迹!J28</f>
        <v>-219249.36774231039</v>
      </c>
      <c r="K28" s="31">
        <f>产业碳足迹!K28</f>
        <v>-163961.44778478987</v>
      </c>
      <c r="L28" s="31">
        <f>产业碳足迹!L28</f>
        <v>8887.8100518347346</v>
      </c>
      <c r="M28" s="31">
        <f>产业碳足迹!M28</f>
        <v>-336810.70562141447</v>
      </c>
      <c r="N28" s="31">
        <f>产业碳足迹!N28</f>
        <v>-74348.537120344248</v>
      </c>
      <c r="O28" s="31">
        <f>产业碳足迹!O28</f>
        <v>98500.720716280353</v>
      </c>
      <c r="P28" s="31">
        <f>产业碳足迹!P28</f>
        <v>-247197.79495696886</v>
      </c>
      <c r="Q28" s="31">
        <f>产业碳足迹!Q28</f>
        <v>-215998.22124428247</v>
      </c>
      <c r="R28" s="31">
        <f>产业碳足迹!R28</f>
        <v>-43148.963407657866</v>
      </c>
      <c r="S28" s="31">
        <f>产业碳足迹!S28</f>
        <v>-388847.47908090707</v>
      </c>
      <c r="T28" s="31">
        <f>产业碳足迹!T28</f>
        <v>-256265.56081420238</v>
      </c>
      <c r="U28" s="31">
        <f>产业碳足迹!U28</f>
        <v>-83416.302977577783</v>
      </c>
      <c r="V28" s="31">
        <f>产业碳足迹!V28</f>
        <v>-429114.81865082699</v>
      </c>
    </row>
    <row r="29" spans="1:22" x14ac:dyDescent="0.3">
      <c r="A29">
        <v>2046</v>
      </c>
      <c r="B29" s="31">
        <f>产业碳足迹!B29</f>
        <v>6894.0931963990461</v>
      </c>
      <c r="C29" s="31">
        <f>产业碳足迹!C29</f>
        <v>179255.29140554165</v>
      </c>
      <c r="D29" s="31">
        <f>产业碳足迹!D29</f>
        <v>-165467.10501274356</v>
      </c>
      <c r="E29" s="31">
        <f>产业碳足迹!E29</f>
        <v>-136499.62370063621</v>
      </c>
      <c r="F29" s="31">
        <f>产业碳足迹!F29</f>
        <v>35861.574508506397</v>
      </c>
      <c r="G29" s="31">
        <f>产业碳足迹!G29</f>
        <v>-308860.82190977881</v>
      </c>
      <c r="H29" s="31">
        <f>产业碳足迹!H29</f>
        <v>-46908.880247495108</v>
      </c>
      <c r="I29" s="31">
        <f>产业碳足迹!I29</f>
        <v>125452.3179616475</v>
      </c>
      <c r="J29" s="31">
        <f>产业碳足迹!J29</f>
        <v>-219270.07845663771</v>
      </c>
      <c r="K29" s="31">
        <f>产业碳足迹!K29</f>
        <v>-167720.65063343308</v>
      </c>
      <c r="L29" s="31">
        <f>产业碳足迹!L29</f>
        <v>4640.5475757095264</v>
      </c>
      <c r="M29" s="31">
        <f>产业碳足迹!M29</f>
        <v>-340081.84884257568</v>
      </c>
      <c r="N29" s="31">
        <f>产业碳足迹!N29</f>
        <v>-75587.03434573632</v>
      </c>
      <c r="O29" s="31">
        <f>产业碳足迹!O29</f>
        <v>96774.163863406284</v>
      </c>
      <c r="P29" s="31">
        <f>产业碳足迹!P29</f>
        <v>-247948.23255487892</v>
      </c>
      <c r="Q29" s="31">
        <f>产业碳足迹!Q29</f>
        <v>-221490.89552881001</v>
      </c>
      <c r="R29" s="31">
        <f>产业碳足迹!R29</f>
        <v>-49129.697319667408</v>
      </c>
      <c r="S29" s="31">
        <f>产业碳足迹!S29</f>
        <v>-393852.09373795264</v>
      </c>
      <c r="T29" s="31">
        <f>产业碳足迹!T29</f>
        <v>-261770.76270517946</v>
      </c>
      <c r="U29" s="31">
        <f>产业碳足迹!U29</f>
        <v>-89409.564496036852</v>
      </c>
      <c r="V29" s="31">
        <f>产业碳足迹!V29</f>
        <v>-434131.96091432206</v>
      </c>
    </row>
    <row r="30" spans="1:22" x14ac:dyDescent="0.3">
      <c r="A30">
        <v>2047</v>
      </c>
      <c r="B30" s="31">
        <f>产业碳足迹!B30</f>
        <v>8671.4889726260844</v>
      </c>
      <c r="C30" s="31">
        <f>产业碳足迹!C30</f>
        <v>180544.62755428668</v>
      </c>
      <c r="D30" s="31">
        <f>产业碳足迹!D30</f>
        <v>-163201.64960903453</v>
      </c>
      <c r="E30" s="31">
        <f>产业碳足迹!E30</f>
        <v>-139763.80492271396</v>
      </c>
      <c r="F30" s="31">
        <f>产业碳足迹!F30</f>
        <v>32109.333658946649</v>
      </c>
      <c r="G30" s="31">
        <f>产业碳足迹!G30</f>
        <v>-311636.94350437459</v>
      </c>
      <c r="H30" s="31">
        <f>产业碳足迹!H30</f>
        <v>-47403.932655745739</v>
      </c>
      <c r="I30" s="31">
        <f>产业碳足迹!I30</f>
        <v>124469.20592591487</v>
      </c>
      <c r="J30" s="31">
        <f>产业碳足迹!J30</f>
        <v>-219277.07123740634</v>
      </c>
      <c r="K30" s="31">
        <f>产业碳足迹!K30</f>
        <v>-171352.05721123479</v>
      </c>
      <c r="L30" s="31">
        <f>产业碳足迹!L30</f>
        <v>521.08137042581802</v>
      </c>
      <c r="M30" s="31">
        <f>产业碳足迹!M30</f>
        <v>-343225.19579289539</v>
      </c>
      <c r="N30" s="31">
        <f>产业碳足迹!N30</f>
        <v>-76780.935836465942</v>
      </c>
      <c r="O30" s="31">
        <f>产业碳足迹!O30</f>
        <v>95092.202745194663</v>
      </c>
      <c r="P30" s="31">
        <f>产业碳足迹!P30</f>
        <v>-248654.07441812655</v>
      </c>
      <c r="Q30" s="31">
        <f>产业碳足迹!Q30</f>
        <v>-226782.92247512363</v>
      </c>
      <c r="R30" s="31">
        <f>产业碳足迹!R30</f>
        <v>-54909.783893463027</v>
      </c>
      <c r="S30" s="31">
        <f>产业碳足迹!S30</f>
        <v>-398656.06105678424</v>
      </c>
      <c r="T30" s="31">
        <f>产业碳足迹!T30</f>
        <v>-267009.28251110861</v>
      </c>
      <c r="U30" s="31">
        <f>产业碳足迹!U30</f>
        <v>-95136.143929448008</v>
      </c>
      <c r="V30" s="31">
        <f>产业碳足迹!V30</f>
        <v>-438882.42109276925</v>
      </c>
    </row>
    <row r="31" spans="1:22" x14ac:dyDescent="0.3">
      <c r="A31">
        <v>2048</v>
      </c>
      <c r="B31" s="31">
        <f>产业碳足迹!B31</f>
        <v>10460.188961146659</v>
      </c>
      <c r="C31" s="31">
        <f>产业碳足迹!C31</f>
        <v>181845.26791532536</v>
      </c>
      <c r="D31" s="31">
        <f>产业碳足迹!D31</f>
        <v>-160924.88999303203</v>
      </c>
      <c r="E31" s="31">
        <f>产业碳足迹!E31</f>
        <v>-142915.72001583819</v>
      </c>
      <c r="F31" s="31">
        <f>产业碳足迹!F31</f>
        <v>28469.358938340505</v>
      </c>
      <c r="G31" s="31">
        <f>产业碳足迹!G31</f>
        <v>-314300.79897001688</v>
      </c>
      <c r="H31" s="31">
        <f>产业碳足迹!H31</f>
        <v>-47886.986967365134</v>
      </c>
      <c r="I31" s="31">
        <f>产业碳足迹!I31</f>
        <v>123498.09198681355</v>
      </c>
      <c r="J31" s="31">
        <f>产业碳足迹!J31</f>
        <v>-219272.06592154384</v>
      </c>
      <c r="K31" s="31">
        <f>产业碳足迹!K31</f>
        <v>-174862.96086985318</v>
      </c>
      <c r="L31" s="31">
        <f>产业碳足迹!L31</f>
        <v>-3477.8819156744867</v>
      </c>
      <c r="M31" s="31">
        <f>产业碳足迹!M31</f>
        <v>-346248.03982403188</v>
      </c>
      <c r="N31" s="31">
        <f>产业碳足迹!N31</f>
        <v>-77933.335204318864</v>
      </c>
      <c r="O31" s="31">
        <f>产业碳足迹!O31</f>
        <v>93451.74374985983</v>
      </c>
      <c r="P31" s="31">
        <f>产业碳足迹!P31</f>
        <v>-249318.41415849756</v>
      </c>
      <c r="Q31" s="31">
        <f>产业碳足迹!Q31</f>
        <v>-231883.97910065568</v>
      </c>
      <c r="R31" s="31">
        <f>产业碳足迹!R31</f>
        <v>-60498.900146476983</v>
      </c>
      <c r="S31" s="31">
        <f>产业碳足迹!S31</f>
        <v>-403269.05805483437</v>
      </c>
      <c r="T31" s="31">
        <f>产业碳足迹!T31</f>
        <v>-271996.9250176294</v>
      </c>
      <c r="U31" s="31">
        <f>产业碳足迹!U31</f>
        <v>-100611.84606345071</v>
      </c>
      <c r="V31" s="31">
        <f>产业碳足迹!V31</f>
        <v>-443382.00397180812</v>
      </c>
    </row>
    <row r="32" spans="1:22" x14ac:dyDescent="0.3">
      <c r="A32">
        <v>2049</v>
      </c>
      <c r="B32" s="31">
        <f>产业碳足迹!B32</f>
        <v>12259.245439769707</v>
      </c>
      <c r="C32" s="31">
        <f>产业碳足迹!C32</f>
        <v>183156.26476646651</v>
      </c>
      <c r="D32" s="31">
        <f>产业碳足迹!D32</f>
        <v>-158637.77388692711</v>
      </c>
      <c r="E32" s="31">
        <f>产业碳足迹!E32</f>
        <v>-145959.88933106803</v>
      </c>
      <c r="F32" s="31">
        <f>产业碳足迹!F32</f>
        <v>24937.129995628784</v>
      </c>
      <c r="G32" s="31">
        <f>产业碳足迹!G32</f>
        <v>-316856.90865776484</v>
      </c>
      <c r="H32" s="31">
        <f>产业碳足迹!H32</f>
        <v>-48359.559709594163</v>
      </c>
      <c r="I32" s="31">
        <f>产业碳足迹!I32</f>
        <v>122537.45961710265</v>
      </c>
      <c r="J32" s="31">
        <f>产业碳足迹!J32</f>
        <v>-219256.57903629099</v>
      </c>
      <c r="K32" s="31">
        <f>产业碳足迹!K32</f>
        <v>-178260.2190165018</v>
      </c>
      <c r="L32" s="31">
        <f>产业碳足迹!L32</f>
        <v>-7363.1996898049838</v>
      </c>
      <c r="M32" s="31">
        <f>产业碳足迹!M32</f>
        <v>-349157.23834319861</v>
      </c>
      <c r="N32" s="31">
        <f>产业碳足迹!N32</f>
        <v>-79047.06946721235</v>
      </c>
      <c r="O32" s="31">
        <f>产业碳足迹!O32</f>
        <v>91849.949859484463</v>
      </c>
      <c r="P32" s="31">
        <f>产业碳足迹!P32</f>
        <v>-249944.08879390918</v>
      </c>
      <c r="Q32" s="31">
        <f>产业碳足迹!Q32</f>
        <v>-236803.32566333542</v>
      </c>
      <c r="R32" s="31">
        <f>产业碳足迹!R32</f>
        <v>-65906.306336638605</v>
      </c>
      <c r="S32" s="31">
        <f>产业碳足迹!S32</f>
        <v>-407700.34499003226</v>
      </c>
      <c r="T32" s="31">
        <f>产业碳足迹!T32</f>
        <v>-276748.60257807816</v>
      </c>
      <c r="U32" s="31">
        <f>产业碳足迹!U32</f>
        <v>-105851.58325138135</v>
      </c>
      <c r="V32" s="31">
        <f>产业碳足迹!V32</f>
        <v>-447645.62190477498</v>
      </c>
    </row>
    <row r="33" spans="1:22" x14ac:dyDescent="0.3">
      <c r="A33">
        <v>2050</v>
      </c>
      <c r="B33" s="31">
        <f>产业碳足迹!B33</f>
        <v>14067.904520784059</v>
      </c>
      <c r="C33" s="31">
        <f>产业碳足迹!C33</f>
        <v>184476.86421999888</v>
      </c>
      <c r="D33" s="31">
        <f>产业碳足迹!D33</f>
        <v>-156341.05517843075</v>
      </c>
      <c r="E33" s="31">
        <f>产业碳足迹!E33</f>
        <v>-148900.62733502904</v>
      </c>
      <c r="F33" s="31">
        <f>产业碳足迹!F33</f>
        <v>21508.332364185771</v>
      </c>
      <c r="G33" s="31">
        <f>产业碳足迹!G33</f>
        <v>-319309.58703424386</v>
      </c>
      <c r="H33" s="31">
        <f>产业碳足迹!H33</f>
        <v>-48822.984962044109</v>
      </c>
      <c r="I33" s="31">
        <f>产业碳足迹!I33</f>
        <v>121585.97473717071</v>
      </c>
      <c r="J33" s="31">
        <f>产业碳足迹!J33</f>
        <v>-219231.94466125892</v>
      </c>
      <c r="K33" s="31">
        <f>产业碳足迹!K33</f>
        <v>-181550.25060972307</v>
      </c>
      <c r="L33" s="31">
        <f>产业碳足迹!L33</f>
        <v>-11141.290910508251</v>
      </c>
      <c r="M33" s="31">
        <f>产业碳足迹!M33</f>
        <v>-351959.21030893788</v>
      </c>
      <c r="N33" s="31">
        <f>产业碳足迹!N33</f>
        <v>-80124.733733806788</v>
      </c>
      <c r="O33" s="31">
        <f>产业碳足迹!O33</f>
        <v>90284.225965408026</v>
      </c>
      <c r="P33" s="31">
        <f>产业碳足迹!P33</f>
        <v>-250533.6934330216</v>
      </c>
      <c r="Q33" s="31">
        <f>产业碳足迹!Q33</f>
        <v>-241549.77136112496</v>
      </c>
      <c r="R33" s="31">
        <f>产业碳足迹!R33</f>
        <v>-71140.811661910149</v>
      </c>
      <c r="S33" s="31">
        <f>产业碳足迹!S33</f>
        <v>-411958.73106033978</v>
      </c>
      <c r="T33" s="31">
        <f>产业碳足迹!T33</f>
        <v>-281278.3265954068</v>
      </c>
      <c r="U33" s="31">
        <f>产业碳足迹!U33</f>
        <v>-110869.36689619199</v>
      </c>
      <c r="V33" s="31">
        <f>产业碳足迹!V33</f>
        <v>-451687.28629462165</v>
      </c>
    </row>
    <row r="34" spans="1:22" x14ac:dyDescent="0.3">
      <c r="B34" s="31"/>
    </row>
    <row r="38" spans="1:22" x14ac:dyDescent="0.3">
      <c r="B38" s="62"/>
      <c r="C38" s="63"/>
      <c r="D38" s="64"/>
    </row>
    <row r="39" spans="1:22" x14ac:dyDescent="0.3">
      <c r="A39" t="s">
        <v>179</v>
      </c>
      <c r="B39" s="30" t="s">
        <v>1</v>
      </c>
      <c r="C39" s="25" t="s">
        <v>2</v>
      </c>
      <c r="D39" s="32" t="s">
        <v>3</v>
      </c>
      <c r="E39" s="39" t="s">
        <v>181</v>
      </c>
    </row>
    <row r="40" spans="1:22" x14ac:dyDescent="0.3">
      <c r="A40">
        <v>2020</v>
      </c>
      <c r="B40" s="31">
        <f>B3</f>
        <v>67983.326861575872</v>
      </c>
      <c r="C40" s="31">
        <f>C3</f>
        <v>177841.63732197956</v>
      </c>
      <c r="D40" s="31">
        <f>D3</f>
        <v>-41874.983598827836</v>
      </c>
      <c r="E40" t="s">
        <v>180</v>
      </c>
    </row>
    <row r="41" spans="1:22" x14ac:dyDescent="0.3">
      <c r="A41">
        <v>2021</v>
      </c>
      <c r="B41" s="31">
        <f t="shared" ref="B41:B70" si="0">B4</f>
        <v>74326.9869471813</v>
      </c>
      <c r="C41" s="31">
        <f t="shared" ref="C41:D70" si="1">C4</f>
        <v>189943.2258633392</v>
      </c>
      <c r="D41" s="31">
        <f t="shared" si="1"/>
        <v>-41289.251968976605</v>
      </c>
      <c r="E41" t="s">
        <v>180</v>
      </c>
    </row>
    <row r="42" spans="1:22" x14ac:dyDescent="0.3">
      <c r="A42">
        <v>2022</v>
      </c>
      <c r="B42" s="31">
        <f t="shared" si="0"/>
        <v>76433.030141597526</v>
      </c>
      <c r="C42" s="31">
        <f t="shared" si="1"/>
        <v>197807.19751350963</v>
      </c>
      <c r="D42" s="31">
        <f t="shared" si="1"/>
        <v>-44941.137230314576</v>
      </c>
      <c r="E42" t="s">
        <v>180</v>
      </c>
    </row>
    <row r="43" spans="1:22" x14ac:dyDescent="0.3">
      <c r="A43">
        <v>2023</v>
      </c>
      <c r="B43" s="31">
        <f t="shared" si="0"/>
        <v>41808.202939428869</v>
      </c>
      <c r="C43" s="31">
        <f t="shared" si="1"/>
        <v>168940.29876709517</v>
      </c>
      <c r="D43" s="31">
        <f t="shared" si="1"/>
        <v>-85323.892888237431</v>
      </c>
      <c r="E43" t="s">
        <v>180</v>
      </c>
    </row>
    <row r="44" spans="1:22" x14ac:dyDescent="0.3">
      <c r="A44">
        <v>2024</v>
      </c>
      <c r="B44" s="31">
        <f t="shared" si="0"/>
        <v>-21310.538520208203</v>
      </c>
      <c r="C44" s="31">
        <f t="shared" si="1"/>
        <v>111579.48576321229</v>
      </c>
      <c r="D44" s="31">
        <f t="shared" si="1"/>
        <v>-154200.56280362871</v>
      </c>
      <c r="E44" t="s">
        <v>180</v>
      </c>
    </row>
    <row r="45" spans="1:22" x14ac:dyDescent="0.3">
      <c r="A45">
        <v>2025</v>
      </c>
      <c r="B45" s="31">
        <f t="shared" si="0"/>
        <v>-21099.695252249072</v>
      </c>
      <c r="C45" s="31">
        <f t="shared" si="1"/>
        <v>117548.25748692564</v>
      </c>
      <c r="D45" s="31">
        <f t="shared" si="1"/>
        <v>-159747.64799142379</v>
      </c>
      <c r="E45" t="s">
        <v>180</v>
      </c>
    </row>
    <row r="46" spans="1:22" x14ac:dyDescent="0.3">
      <c r="A46">
        <v>2026</v>
      </c>
      <c r="B46" s="31">
        <f t="shared" si="0"/>
        <v>-20713.556675347721</v>
      </c>
      <c r="C46" s="31">
        <f t="shared" si="1"/>
        <v>122070.54919736019</v>
      </c>
      <c r="D46" s="31">
        <f t="shared" si="1"/>
        <v>-163497.66254805564</v>
      </c>
      <c r="E46" t="s">
        <v>180</v>
      </c>
    </row>
    <row r="47" spans="1:22" x14ac:dyDescent="0.3">
      <c r="A47">
        <v>2027</v>
      </c>
      <c r="B47" s="31">
        <f t="shared" si="0"/>
        <v>-20161.902257248305</v>
      </c>
      <c r="C47" s="31">
        <f t="shared" si="1"/>
        <v>126758.35674899288</v>
      </c>
      <c r="D47" s="31">
        <f t="shared" si="1"/>
        <v>-167082.16126348948</v>
      </c>
      <c r="E47" t="s">
        <v>180</v>
      </c>
    </row>
    <row r="48" spans="1:22" x14ac:dyDescent="0.3">
      <c r="A48">
        <v>2028</v>
      </c>
      <c r="B48" s="31">
        <f t="shared" si="0"/>
        <v>-19456.397040144428</v>
      </c>
      <c r="C48" s="31">
        <f t="shared" si="1"/>
        <v>131600.01509962996</v>
      </c>
      <c r="D48" s="31">
        <f t="shared" si="1"/>
        <v>-170512.80917991881</v>
      </c>
      <c r="E48" t="s">
        <v>180</v>
      </c>
    </row>
    <row r="49" spans="1:5" x14ac:dyDescent="0.3">
      <c r="A49">
        <v>2029</v>
      </c>
      <c r="B49" s="31">
        <f t="shared" si="0"/>
        <v>-18609.871892422165</v>
      </c>
      <c r="C49" s="31">
        <f t="shared" si="1"/>
        <v>136582.69338088552</v>
      </c>
      <c r="D49" s="31">
        <f t="shared" si="1"/>
        <v>-173802.43716572988</v>
      </c>
      <c r="E49" t="s">
        <v>180</v>
      </c>
    </row>
    <row r="50" spans="1:5" x14ac:dyDescent="0.3">
      <c r="A50">
        <v>2030</v>
      </c>
      <c r="B50" s="31">
        <f t="shared" si="0"/>
        <v>-17635.684525638477</v>
      </c>
      <c r="C50" s="31">
        <f t="shared" si="1"/>
        <v>141693.03388120254</v>
      </c>
      <c r="D50" s="31">
        <f t="shared" si="1"/>
        <v>-176964.40293247948</v>
      </c>
      <c r="E50" t="s">
        <v>180</v>
      </c>
    </row>
    <row r="51" spans="1:5" x14ac:dyDescent="0.3">
      <c r="A51">
        <v>2031</v>
      </c>
      <c r="B51" s="31">
        <f t="shared" si="0"/>
        <v>-16547.187420939747</v>
      </c>
      <c r="C51" s="31">
        <f t="shared" si="1"/>
        <v>145901.39680448658</v>
      </c>
      <c r="D51" s="31">
        <f t="shared" si="1"/>
        <v>-178995.77164636605</v>
      </c>
      <c r="E51" t="s">
        <v>180</v>
      </c>
    </row>
    <row r="52" spans="1:5" x14ac:dyDescent="0.3">
      <c r="A52">
        <v>2032</v>
      </c>
      <c r="B52" s="31">
        <f t="shared" si="0"/>
        <v>-15357.312381386992</v>
      </c>
      <c r="C52" s="31">
        <f t="shared" si="1"/>
        <v>150211.13766262471</v>
      </c>
      <c r="D52" s="31">
        <f t="shared" si="1"/>
        <v>-180925.76242539869</v>
      </c>
      <c r="E52" t="s">
        <v>180</v>
      </c>
    </row>
    <row r="53" spans="1:5" x14ac:dyDescent="0.3">
      <c r="A53">
        <v>2033</v>
      </c>
      <c r="B53" s="31">
        <f t="shared" si="0"/>
        <v>-14078.268798109353</v>
      </c>
      <c r="C53" s="31">
        <f t="shared" si="1"/>
        <v>154610.04706448765</v>
      </c>
      <c r="D53" s="31">
        <f t="shared" si="1"/>
        <v>-182766.58466070634</v>
      </c>
      <c r="E53" t="s">
        <v>180</v>
      </c>
    </row>
    <row r="54" spans="1:5" x14ac:dyDescent="0.3">
      <c r="A54">
        <v>2034</v>
      </c>
      <c r="B54" s="31">
        <f t="shared" si="0"/>
        <v>-12721.344293095464</v>
      </c>
      <c r="C54" s="31">
        <f t="shared" si="1"/>
        <v>159086.83738808695</v>
      </c>
      <c r="D54" s="31">
        <f t="shared" si="1"/>
        <v>-184529.52597427787</v>
      </c>
      <c r="E54" t="s">
        <v>180</v>
      </c>
    </row>
    <row r="55" spans="1:5" x14ac:dyDescent="0.3">
      <c r="A55">
        <v>2035</v>
      </c>
      <c r="B55" s="31">
        <f t="shared" si="0"/>
        <v>-11296.791798045713</v>
      </c>
      <c r="C55" s="31">
        <f t="shared" si="1"/>
        <v>163631.255701722</v>
      </c>
      <c r="D55" s="31">
        <f t="shared" si="1"/>
        <v>-186224.83929781342</v>
      </c>
      <c r="E55" t="s">
        <v>180</v>
      </c>
    </row>
    <row r="56" spans="1:5" x14ac:dyDescent="0.3">
      <c r="A56">
        <v>2036</v>
      </c>
      <c r="B56" s="31">
        <f t="shared" si="0"/>
        <v>-9813.7855521785332</v>
      </c>
      <c r="C56" s="31">
        <f t="shared" si="1"/>
        <v>164885.23502541115</v>
      </c>
      <c r="D56" s="31">
        <f t="shared" si="1"/>
        <v>-184512.80612976823</v>
      </c>
      <c r="E56" t="s">
        <v>180</v>
      </c>
    </row>
    <row r="57" spans="1:5" x14ac:dyDescent="0.3">
      <c r="A57">
        <v>2037</v>
      </c>
      <c r="B57" s="31">
        <f t="shared" si="0"/>
        <v>-8280.4290419353329</v>
      </c>
      <c r="C57" s="31">
        <f t="shared" si="1"/>
        <v>166189.56461347645</v>
      </c>
      <c r="D57" s="31">
        <f t="shared" si="1"/>
        <v>-182750.42269734712</v>
      </c>
      <c r="E57" t="s">
        <v>180</v>
      </c>
    </row>
    <row r="58" spans="1:5" x14ac:dyDescent="0.3">
      <c r="A58">
        <v>2038</v>
      </c>
      <c r="B58" s="31">
        <f t="shared" si="0"/>
        <v>-6703.7997279461615</v>
      </c>
      <c r="C58" s="31">
        <f t="shared" si="1"/>
        <v>167537.16700528772</v>
      </c>
      <c r="D58" s="31">
        <f t="shared" si="1"/>
        <v>-180944.76646118006</v>
      </c>
      <c r="E58" t="s">
        <v>180</v>
      </c>
    </row>
    <row r="59" spans="1:5" x14ac:dyDescent="0.3">
      <c r="A59">
        <v>2039</v>
      </c>
      <c r="B59" s="31">
        <f t="shared" si="0"/>
        <v>-5090.0178450039657</v>
      </c>
      <c r="C59" s="31">
        <f t="shared" si="1"/>
        <v>168921.92196605194</v>
      </c>
      <c r="D59" s="31">
        <f t="shared" si="1"/>
        <v>-179101.95765605985</v>
      </c>
      <c r="E59" t="s">
        <v>180</v>
      </c>
    </row>
    <row r="60" spans="1:5" x14ac:dyDescent="0.3">
      <c r="A60">
        <v>2040</v>
      </c>
      <c r="B60" s="31">
        <f t="shared" si="0"/>
        <v>-3444.3291477484586</v>
      </c>
      <c r="C60" s="31">
        <f t="shared" si="1"/>
        <v>170338.58374112955</v>
      </c>
      <c r="D60" s="31">
        <f t="shared" si="1"/>
        <v>-177227.24203662644</v>
      </c>
      <c r="E60" t="s">
        <v>180</v>
      </c>
    </row>
    <row r="61" spans="1:5" x14ac:dyDescent="0.3">
      <c r="A61">
        <v>2041</v>
      </c>
      <c r="B61" s="31">
        <f t="shared" si="0"/>
        <v>-1771.1939113450774</v>
      </c>
      <c r="C61" s="31">
        <f t="shared" si="1"/>
        <v>171824.98796708224</v>
      </c>
      <c r="D61" s="31">
        <f t="shared" si="1"/>
        <v>-175367.37578977237</v>
      </c>
      <c r="E61" t="s">
        <v>180</v>
      </c>
    </row>
    <row r="62" spans="1:5" x14ac:dyDescent="0.3">
      <c r="A62">
        <v>2042</v>
      </c>
      <c r="B62" s="31">
        <f t="shared" si="0"/>
        <v>-74.376623259283633</v>
      </c>
      <c r="C62" s="31">
        <f t="shared" si="1"/>
        <v>173335.07424471731</v>
      </c>
      <c r="D62" s="31">
        <f t="shared" si="1"/>
        <v>-173483.82749123586</v>
      </c>
      <c r="E62" t="s">
        <v>180</v>
      </c>
    </row>
    <row r="63" spans="1:5" x14ac:dyDescent="0.3">
      <c r="A63">
        <v>2043</v>
      </c>
      <c r="B63" s="31">
        <f t="shared" si="0"/>
        <v>1642.9674427337306</v>
      </c>
      <c r="C63" s="31">
        <f t="shared" si="1"/>
        <v>174865.68730025974</v>
      </c>
      <c r="D63" s="31">
        <f t="shared" si="1"/>
        <v>-171579.75241479228</v>
      </c>
      <c r="E63" t="s">
        <v>180</v>
      </c>
    </row>
    <row r="64" spans="1:5" x14ac:dyDescent="0.3">
      <c r="A64">
        <v>2044</v>
      </c>
      <c r="B64" s="31">
        <f t="shared" si="0"/>
        <v>3378.2111957107659</v>
      </c>
      <c r="C64" s="31">
        <f t="shared" si="1"/>
        <v>176414.20004278605</v>
      </c>
      <c r="D64" s="31">
        <f t="shared" si="1"/>
        <v>-169657.77765136454</v>
      </c>
      <c r="E64" t="s">
        <v>180</v>
      </c>
    </row>
    <row r="65" spans="1:5" x14ac:dyDescent="0.3">
      <c r="A65">
        <v>2045</v>
      </c>
      <c r="B65" s="31">
        <f t="shared" si="0"/>
        <v>5129.1816183747496</v>
      </c>
      <c r="C65" s="31">
        <f t="shared" si="1"/>
        <v>177978.43945499934</v>
      </c>
      <c r="D65" s="31">
        <f t="shared" si="1"/>
        <v>-167720.07621824986</v>
      </c>
      <c r="E65" t="s">
        <v>180</v>
      </c>
    </row>
    <row r="66" spans="1:5" x14ac:dyDescent="0.3">
      <c r="A66">
        <v>2046</v>
      </c>
      <c r="B66" s="31">
        <f t="shared" si="0"/>
        <v>6894.0931963990461</v>
      </c>
      <c r="C66" s="31">
        <f t="shared" si="1"/>
        <v>179255.29140554165</v>
      </c>
      <c r="D66" s="31">
        <f t="shared" si="1"/>
        <v>-165467.10501274356</v>
      </c>
      <c r="E66" t="s">
        <v>180</v>
      </c>
    </row>
    <row r="67" spans="1:5" x14ac:dyDescent="0.3">
      <c r="A67">
        <v>2047</v>
      </c>
      <c r="B67" s="31">
        <f t="shared" si="0"/>
        <v>8671.4889726260844</v>
      </c>
      <c r="C67" s="31">
        <f t="shared" si="1"/>
        <v>180544.62755428668</v>
      </c>
      <c r="D67" s="31">
        <f t="shared" si="1"/>
        <v>-163201.64960903453</v>
      </c>
      <c r="E67" t="s">
        <v>180</v>
      </c>
    </row>
    <row r="68" spans="1:5" x14ac:dyDescent="0.3">
      <c r="A68">
        <v>2048</v>
      </c>
      <c r="B68" s="31">
        <f t="shared" si="0"/>
        <v>10460.188961146659</v>
      </c>
      <c r="C68" s="31">
        <f t="shared" si="1"/>
        <v>181845.26791532536</v>
      </c>
      <c r="D68" s="31">
        <f t="shared" si="1"/>
        <v>-160924.88999303203</v>
      </c>
      <c r="E68" t="s">
        <v>180</v>
      </c>
    </row>
    <row r="69" spans="1:5" x14ac:dyDescent="0.3">
      <c r="A69">
        <v>2049</v>
      </c>
      <c r="B69" s="31">
        <f t="shared" si="0"/>
        <v>12259.245439769707</v>
      </c>
      <c r="C69" s="31">
        <f t="shared" si="1"/>
        <v>183156.26476646651</v>
      </c>
      <c r="D69" s="31">
        <f t="shared" si="1"/>
        <v>-158637.77388692711</v>
      </c>
      <c r="E69" t="s">
        <v>180</v>
      </c>
    </row>
    <row r="70" spans="1:5" x14ac:dyDescent="0.3">
      <c r="A70">
        <v>2050</v>
      </c>
      <c r="B70" s="31">
        <f t="shared" si="0"/>
        <v>14067.904520784059</v>
      </c>
      <c r="C70" s="31">
        <f t="shared" si="1"/>
        <v>184476.86421999888</v>
      </c>
      <c r="D70" s="31">
        <f t="shared" si="1"/>
        <v>-156341.05517843075</v>
      </c>
      <c r="E70" t="s">
        <v>180</v>
      </c>
    </row>
    <row r="71" spans="1:5" x14ac:dyDescent="0.3">
      <c r="A71">
        <v>2020</v>
      </c>
      <c r="B71" s="31">
        <f>E3</f>
        <v>67983.326861575872</v>
      </c>
      <c r="C71" s="31">
        <f>F3</f>
        <v>177841.63732197956</v>
      </c>
      <c r="D71" s="31">
        <f>G3</f>
        <v>-41874.983598827836</v>
      </c>
      <c r="E71" t="s">
        <v>164</v>
      </c>
    </row>
    <row r="72" spans="1:5" x14ac:dyDescent="0.3">
      <c r="A72">
        <v>2021</v>
      </c>
      <c r="B72" s="31">
        <f t="shared" ref="B72:B101" si="2">E4</f>
        <v>72925.66261667003</v>
      </c>
      <c r="C72" s="31">
        <f t="shared" ref="C72:C101" si="3">F4</f>
        <v>188541.90153282793</v>
      </c>
      <c r="D72" s="31">
        <f t="shared" ref="D72:D101" si="4">G4</f>
        <v>-42690.576299487875</v>
      </c>
      <c r="E72" t="s">
        <v>164</v>
      </c>
    </row>
    <row r="73" spans="1:5" x14ac:dyDescent="0.3">
      <c r="A73">
        <v>2022</v>
      </c>
      <c r="B73" s="31">
        <f t="shared" si="2"/>
        <v>73484.829554433149</v>
      </c>
      <c r="C73" s="31">
        <f t="shared" si="3"/>
        <v>194858.99692634525</v>
      </c>
      <c r="D73" s="31">
        <f t="shared" si="4"/>
        <v>-47889.337817478954</v>
      </c>
      <c r="E73" t="s">
        <v>164</v>
      </c>
    </row>
    <row r="74" spans="1:5" x14ac:dyDescent="0.3">
      <c r="A74">
        <v>2023</v>
      </c>
      <c r="B74" s="31">
        <f t="shared" si="2"/>
        <v>34665.735611485798</v>
      </c>
      <c r="C74" s="31">
        <f t="shared" si="3"/>
        <v>161797.8314391521</v>
      </c>
      <c r="D74" s="31">
        <f t="shared" si="4"/>
        <v>-92466.360216180503</v>
      </c>
      <c r="E74" t="s">
        <v>164</v>
      </c>
    </row>
    <row r="75" spans="1:5" x14ac:dyDescent="0.3">
      <c r="A75">
        <v>2024</v>
      </c>
      <c r="B75" s="31">
        <f t="shared" si="2"/>
        <v>-32284.418713003128</v>
      </c>
      <c r="C75" s="31">
        <f t="shared" si="3"/>
        <v>100605.60557041736</v>
      </c>
      <c r="D75" s="31">
        <f t="shared" si="4"/>
        <v>-165174.44299642363</v>
      </c>
      <c r="E75" t="s">
        <v>164</v>
      </c>
    </row>
    <row r="76" spans="1:5" x14ac:dyDescent="0.3">
      <c r="A76">
        <v>2025</v>
      </c>
      <c r="B76" s="31">
        <f t="shared" si="2"/>
        <v>-37740.510436172539</v>
      </c>
      <c r="C76" s="31">
        <f t="shared" si="3"/>
        <v>100907.44230300217</v>
      </c>
      <c r="D76" s="31">
        <f t="shared" si="4"/>
        <v>-176388.46317534725</v>
      </c>
      <c r="E76" t="s">
        <v>164</v>
      </c>
    </row>
    <row r="77" spans="1:5" x14ac:dyDescent="0.3">
      <c r="A77">
        <v>2026</v>
      </c>
      <c r="B77" s="31">
        <f t="shared" si="2"/>
        <v>-43307.798544501391</v>
      </c>
      <c r="C77" s="31">
        <f t="shared" si="3"/>
        <v>99476.307328206516</v>
      </c>
      <c r="D77" s="31">
        <f t="shared" si="4"/>
        <v>-186091.9044172093</v>
      </c>
      <c r="E77" t="s">
        <v>164</v>
      </c>
    </row>
    <row r="78" spans="1:5" x14ac:dyDescent="0.3">
      <c r="A78">
        <v>2027</v>
      </c>
      <c r="B78" s="31">
        <f t="shared" si="2"/>
        <v>-48935.156658869899</v>
      </c>
      <c r="C78" s="31">
        <f t="shared" si="3"/>
        <v>97985.102347371285</v>
      </c>
      <c r="D78" s="31">
        <f t="shared" si="4"/>
        <v>-195855.4156651111</v>
      </c>
      <c r="E78" t="s">
        <v>164</v>
      </c>
    </row>
    <row r="79" spans="1:5" x14ac:dyDescent="0.3">
      <c r="A79">
        <v>2028</v>
      </c>
      <c r="B79" s="31">
        <f t="shared" si="2"/>
        <v>-54576.594094086162</v>
      </c>
      <c r="C79" s="31">
        <f t="shared" si="3"/>
        <v>96479.818045688226</v>
      </c>
      <c r="D79" s="31">
        <f t="shared" si="4"/>
        <v>-205633.00623386056</v>
      </c>
      <c r="E79" t="s">
        <v>164</v>
      </c>
    </row>
    <row r="80" spans="1:5" x14ac:dyDescent="0.3">
      <c r="A80">
        <v>2029</v>
      </c>
      <c r="B80" s="31">
        <f t="shared" si="2"/>
        <v>-60192.009265893626</v>
      </c>
      <c r="C80" s="31">
        <f t="shared" si="3"/>
        <v>95000.556007414067</v>
      </c>
      <c r="D80" s="31">
        <f t="shared" si="4"/>
        <v>-215384.57453920133</v>
      </c>
      <c r="E80" t="s">
        <v>164</v>
      </c>
    </row>
    <row r="81" spans="1:5" x14ac:dyDescent="0.3">
      <c r="A81">
        <v>2030</v>
      </c>
      <c r="B81" s="31">
        <f t="shared" si="2"/>
        <v>-65747.491410975956</v>
      </c>
      <c r="C81" s="31">
        <f t="shared" si="3"/>
        <v>93581.226995865058</v>
      </c>
      <c r="D81" s="31">
        <f t="shared" si="4"/>
        <v>-225076.20981781697</v>
      </c>
      <c r="E81" t="s">
        <v>164</v>
      </c>
    </row>
    <row r="82" spans="1:5" x14ac:dyDescent="0.3">
      <c r="A82">
        <v>2031</v>
      </c>
      <c r="B82" s="31">
        <f t="shared" si="2"/>
        <v>-71215.253452985402</v>
      </c>
      <c r="C82" s="31">
        <f t="shared" si="3"/>
        <v>91233.33077244091</v>
      </c>
      <c r="D82" s="31">
        <f t="shared" si="4"/>
        <v>-233663.83767841171</v>
      </c>
      <c r="E82" t="s">
        <v>164</v>
      </c>
    </row>
    <row r="83" spans="1:5" x14ac:dyDescent="0.3">
      <c r="A83">
        <v>2032</v>
      </c>
      <c r="B83" s="31">
        <f t="shared" si="2"/>
        <v>-76573.28996727831</v>
      </c>
      <c r="C83" s="31">
        <f t="shared" si="3"/>
        <v>88995.160076733388</v>
      </c>
      <c r="D83" s="31">
        <f t="shared" si="4"/>
        <v>-242141.74001129001</v>
      </c>
      <c r="E83" t="s">
        <v>164</v>
      </c>
    </row>
    <row r="84" spans="1:5" x14ac:dyDescent="0.3">
      <c r="A84">
        <v>2033</v>
      </c>
      <c r="B84" s="31">
        <f t="shared" si="2"/>
        <v>-81804.85171892072</v>
      </c>
      <c r="C84" s="31">
        <f t="shared" si="3"/>
        <v>86883.464143676276</v>
      </c>
      <c r="D84" s="31">
        <f t="shared" si="4"/>
        <v>-250493.16758151772</v>
      </c>
      <c r="E84" t="s">
        <v>164</v>
      </c>
    </row>
    <row r="85" spans="1:5" x14ac:dyDescent="0.3">
      <c r="A85">
        <v>2034</v>
      </c>
      <c r="B85" s="31">
        <f t="shared" si="2"/>
        <v>-86897.81696171558</v>
      </c>
      <c r="C85" s="31">
        <f t="shared" si="3"/>
        <v>84910.36471946683</v>
      </c>
      <c r="D85" s="31">
        <f t="shared" si="4"/>
        <v>-258705.99864289799</v>
      </c>
      <c r="E85" t="s">
        <v>164</v>
      </c>
    </row>
    <row r="86" spans="1:5" x14ac:dyDescent="0.3">
      <c r="A86">
        <v>2035</v>
      </c>
      <c r="B86" s="31">
        <f t="shared" si="2"/>
        <v>-91844.024000126097</v>
      </c>
      <c r="C86" s="31">
        <f t="shared" si="3"/>
        <v>83084.023499641611</v>
      </c>
      <c r="D86" s="31">
        <f t="shared" si="4"/>
        <v>-266772.07149989379</v>
      </c>
      <c r="E86" t="s">
        <v>164</v>
      </c>
    </row>
    <row r="87" spans="1:5" x14ac:dyDescent="0.3">
      <c r="A87">
        <v>2036</v>
      </c>
      <c r="B87" s="31">
        <f t="shared" si="2"/>
        <v>-96638.61284057342</v>
      </c>
      <c r="C87" s="31">
        <f t="shared" si="3"/>
        <v>78060.40773701627</v>
      </c>
      <c r="D87" s="31">
        <f t="shared" si="4"/>
        <v>-271337.63341816311</v>
      </c>
      <c r="E87" t="s">
        <v>164</v>
      </c>
    </row>
    <row r="88" spans="1:5" x14ac:dyDescent="0.3">
      <c r="A88">
        <v>2037</v>
      </c>
      <c r="B88" s="31">
        <f t="shared" si="2"/>
        <v>-101279.40833842114</v>
      </c>
      <c r="C88" s="31">
        <f t="shared" si="3"/>
        <v>73190.585316990648</v>
      </c>
      <c r="D88" s="31">
        <f t="shared" si="4"/>
        <v>-275749.4019938329</v>
      </c>
      <c r="E88" t="s">
        <v>164</v>
      </c>
    </row>
    <row r="89" spans="1:5" x14ac:dyDescent="0.3">
      <c r="A89">
        <v>2038</v>
      </c>
      <c r="B89" s="31">
        <f t="shared" si="2"/>
        <v>-105766.36428576286</v>
      </c>
      <c r="C89" s="31">
        <f t="shared" si="3"/>
        <v>68474.602447471028</v>
      </c>
      <c r="D89" s="31">
        <f t="shared" si="4"/>
        <v>-280007.33101899677</v>
      </c>
      <c r="E89" t="s">
        <v>164</v>
      </c>
    </row>
    <row r="90" spans="1:5" x14ac:dyDescent="0.3">
      <c r="A90">
        <v>2039</v>
      </c>
      <c r="B90" s="31">
        <f t="shared" si="2"/>
        <v>-110101.07780044668</v>
      </c>
      <c r="C90" s="31">
        <f t="shared" si="3"/>
        <v>63910.862010609213</v>
      </c>
      <c r="D90" s="31">
        <f t="shared" si="4"/>
        <v>-284113.01761150255</v>
      </c>
      <c r="E90" t="s">
        <v>164</v>
      </c>
    </row>
    <row r="91" spans="1:5" x14ac:dyDescent="0.3">
      <c r="A91">
        <v>2040</v>
      </c>
      <c r="B91" s="31">
        <f t="shared" si="2"/>
        <v>-114286.37607427443</v>
      </c>
      <c r="C91" s="31">
        <f t="shared" si="3"/>
        <v>59496.536814603562</v>
      </c>
      <c r="D91" s="31">
        <f t="shared" si="4"/>
        <v>-288069.28896315244</v>
      </c>
      <c r="E91" t="s">
        <v>164</v>
      </c>
    </row>
    <row r="92" spans="1:5" x14ac:dyDescent="0.3">
      <c r="A92">
        <v>2041</v>
      </c>
      <c r="B92" s="31">
        <f t="shared" si="2"/>
        <v>-118325.97264480298</v>
      </c>
      <c r="C92" s="31">
        <f t="shared" si="3"/>
        <v>55270.209233624322</v>
      </c>
      <c r="D92" s="31">
        <f t="shared" si="4"/>
        <v>-291922.15452323027</v>
      </c>
      <c r="E92" t="s">
        <v>164</v>
      </c>
    </row>
    <row r="93" spans="1:5" x14ac:dyDescent="0.3">
      <c r="A93">
        <v>2042</v>
      </c>
      <c r="B93" s="31">
        <f t="shared" si="2"/>
        <v>-122224.18738808625</v>
      </c>
      <c r="C93" s="31">
        <f t="shared" si="3"/>
        <v>51185.263479890331</v>
      </c>
      <c r="D93" s="31">
        <f t="shared" si="4"/>
        <v>-295633.63825606287</v>
      </c>
      <c r="E93" t="s">
        <v>164</v>
      </c>
    </row>
    <row r="94" spans="1:5" x14ac:dyDescent="0.3">
      <c r="A94">
        <v>2043</v>
      </c>
      <c r="B94" s="31">
        <f t="shared" si="2"/>
        <v>-125985.72290469577</v>
      </c>
      <c r="C94" s="31">
        <f t="shared" si="3"/>
        <v>47236.996952830246</v>
      </c>
      <c r="D94" s="31">
        <f t="shared" si="4"/>
        <v>-299208.44276222179</v>
      </c>
      <c r="E94" t="s">
        <v>164</v>
      </c>
    </row>
    <row r="95" spans="1:5" x14ac:dyDescent="0.3">
      <c r="A95">
        <v>2044</v>
      </c>
      <c r="B95" s="31">
        <f t="shared" si="2"/>
        <v>-129615.48946052042</v>
      </c>
      <c r="C95" s="31">
        <f t="shared" si="3"/>
        <v>43420.499386554875</v>
      </c>
      <c r="D95" s="31">
        <f t="shared" si="4"/>
        <v>-302651.47830759571</v>
      </c>
      <c r="E95" t="s">
        <v>164</v>
      </c>
    </row>
    <row r="96" spans="1:5" x14ac:dyDescent="0.3">
      <c r="A96">
        <v>2045</v>
      </c>
      <c r="B96" s="31">
        <f t="shared" si="2"/>
        <v>-133118.47079932867</v>
      </c>
      <c r="C96" s="31">
        <f t="shared" si="3"/>
        <v>39730.78703729593</v>
      </c>
      <c r="D96" s="31">
        <f t="shared" si="4"/>
        <v>-305967.72863595327</v>
      </c>
      <c r="E96" t="s">
        <v>164</v>
      </c>
    </row>
    <row r="97" spans="1:5" x14ac:dyDescent="0.3">
      <c r="A97">
        <v>2046</v>
      </c>
      <c r="B97" s="31">
        <f t="shared" si="2"/>
        <v>-136499.62370063621</v>
      </c>
      <c r="C97" s="31">
        <f t="shared" si="3"/>
        <v>35861.574508506397</v>
      </c>
      <c r="D97" s="31">
        <f t="shared" si="4"/>
        <v>-308860.82190977881</v>
      </c>
      <c r="E97" t="s">
        <v>164</v>
      </c>
    </row>
    <row r="98" spans="1:5" x14ac:dyDescent="0.3">
      <c r="A98">
        <v>2047</v>
      </c>
      <c r="B98" s="31">
        <f t="shared" si="2"/>
        <v>-139763.80492271396</v>
      </c>
      <c r="C98" s="31">
        <f t="shared" si="3"/>
        <v>32109.333658946649</v>
      </c>
      <c r="D98" s="31">
        <f t="shared" si="4"/>
        <v>-311636.94350437459</v>
      </c>
      <c r="E98" t="s">
        <v>164</v>
      </c>
    </row>
    <row r="99" spans="1:5" x14ac:dyDescent="0.3">
      <c r="A99">
        <v>2048</v>
      </c>
      <c r="B99" s="31">
        <f t="shared" si="2"/>
        <v>-142915.72001583819</v>
      </c>
      <c r="C99" s="31">
        <f t="shared" si="3"/>
        <v>28469.358938340505</v>
      </c>
      <c r="D99" s="31">
        <f t="shared" si="4"/>
        <v>-314300.79897001688</v>
      </c>
      <c r="E99" t="s">
        <v>164</v>
      </c>
    </row>
    <row r="100" spans="1:5" x14ac:dyDescent="0.3">
      <c r="A100">
        <v>2049</v>
      </c>
      <c r="B100" s="31">
        <f t="shared" si="2"/>
        <v>-145959.88933106803</v>
      </c>
      <c r="C100" s="31">
        <f t="shared" si="3"/>
        <v>24937.129995628784</v>
      </c>
      <c r="D100" s="31">
        <f t="shared" si="4"/>
        <v>-316856.90865776484</v>
      </c>
      <c r="E100" t="s">
        <v>164</v>
      </c>
    </row>
    <row r="101" spans="1:5" x14ac:dyDescent="0.3">
      <c r="A101">
        <v>2050</v>
      </c>
      <c r="B101" s="31">
        <f t="shared" si="2"/>
        <v>-148900.62733502904</v>
      </c>
      <c r="C101" s="31">
        <f t="shared" si="3"/>
        <v>21508.332364185771</v>
      </c>
      <c r="D101" s="31">
        <f t="shared" si="4"/>
        <v>-319309.58703424386</v>
      </c>
      <c r="E101" t="s">
        <v>164</v>
      </c>
    </row>
    <row r="102" spans="1:5" x14ac:dyDescent="0.3">
      <c r="A102">
        <v>2020</v>
      </c>
      <c r="B102" s="31">
        <f>H3</f>
        <v>67983.326861575872</v>
      </c>
      <c r="C102" s="31">
        <f>I3</f>
        <v>177841.63732197956</v>
      </c>
      <c r="D102" s="31">
        <f>J3</f>
        <v>-41874.983598827836</v>
      </c>
      <c r="E102" t="s">
        <v>165</v>
      </c>
    </row>
    <row r="103" spans="1:5" x14ac:dyDescent="0.3">
      <c r="A103">
        <v>2021</v>
      </c>
      <c r="B103" s="31">
        <f t="shared" ref="B103:B132" si="5">H4</f>
        <v>72773.730349597492</v>
      </c>
      <c r="C103" s="31">
        <f t="shared" ref="C103:C132" si="6">I4</f>
        <v>188389.96926575538</v>
      </c>
      <c r="D103" s="31">
        <f t="shared" ref="D103:D132" si="7">J4</f>
        <v>-42842.508566560413</v>
      </c>
      <c r="E103" t="s">
        <v>165</v>
      </c>
    </row>
    <row r="104" spans="1:5" x14ac:dyDescent="0.3">
      <c r="A104">
        <v>2022</v>
      </c>
      <c r="B104" s="31">
        <f t="shared" si="5"/>
        <v>73153.659199541624</v>
      </c>
      <c r="C104" s="31">
        <f t="shared" si="6"/>
        <v>194527.82657145371</v>
      </c>
      <c r="D104" s="31">
        <f t="shared" si="7"/>
        <v>-48220.508172370479</v>
      </c>
      <c r="E104" t="s">
        <v>165</v>
      </c>
    </row>
    <row r="105" spans="1:5" x14ac:dyDescent="0.3">
      <c r="A105">
        <v>2023</v>
      </c>
      <c r="B105" s="31">
        <f t="shared" si="5"/>
        <v>37098.535883776145</v>
      </c>
      <c r="C105" s="31">
        <f t="shared" si="6"/>
        <v>164230.63171144243</v>
      </c>
      <c r="D105" s="31">
        <f t="shared" si="7"/>
        <v>-90033.559943890155</v>
      </c>
      <c r="E105" t="s">
        <v>165</v>
      </c>
    </row>
    <row r="106" spans="1:5" x14ac:dyDescent="0.3">
      <c r="A106">
        <v>2024</v>
      </c>
      <c r="B106" s="31">
        <f t="shared" si="5"/>
        <v>-26969.818756280172</v>
      </c>
      <c r="C106" s="31">
        <f t="shared" si="6"/>
        <v>105920.20552714032</v>
      </c>
      <c r="D106" s="31">
        <f t="shared" si="7"/>
        <v>-159859.84303970067</v>
      </c>
      <c r="E106" t="s">
        <v>165</v>
      </c>
    </row>
    <row r="107" spans="1:5" x14ac:dyDescent="0.3">
      <c r="A107">
        <v>2025</v>
      </c>
      <c r="B107" s="31">
        <f t="shared" si="5"/>
        <v>-28511.904904662711</v>
      </c>
      <c r="C107" s="31">
        <f t="shared" si="6"/>
        <v>110136.04783451199</v>
      </c>
      <c r="D107" s="31">
        <f t="shared" si="7"/>
        <v>-167159.85764383743</v>
      </c>
      <c r="E107" t="s">
        <v>165</v>
      </c>
    </row>
    <row r="108" spans="1:5" x14ac:dyDescent="0.3">
      <c r="A108">
        <v>2026</v>
      </c>
      <c r="B108" s="31">
        <f t="shared" si="5"/>
        <v>-29986.112251922303</v>
      </c>
      <c r="C108" s="31">
        <f t="shared" si="6"/>
        <v>112797.99362078561</v>
      </c>
      <c r="D108" s="31">
        <f t="shared" si="7"/>
        <v>-172770.21812463022</v>
      </c>
      <c r="E108" t="s">
        <v>165</v>
      </c>
    </row>
    <row r="109" spans="1:5" x14ac:dyDescent="0.3">
      <c r="A109">
        <v>2027</v>
      </c>
      <c r="B109" s="31">
        <f t="shared" si="5"/>
        <v>-31387.390794473267</v>
      </c>
      <c r="C109" s="31">
        <f t="shared" si="6"/>
        <v>115532.86821176793</v>
      </c>
      <c r="D109" s="31">
        <f t="shared" si="7"/>
        <v>-178307.64980071445</v>
      </c>
      <c r="E109" t="s">
        <v>165</v>
      </c>
    </row>
    <row r="110" spans="1:5" x14ac:dyDescent="0.3">
      <c r="A110">
        <v>2028</v>
      </c>
      <c r="B110" s="31">
        <f t="shared" si="5"/>
        <v>-32713.029549513798</v>
      </c>
      <c r="C110" s="31">
        <f t="shared" si="6"/>
        <v>118343.38259026059</v>
      </c>
      <c r="D110" s="31">
        <f t="shared" si="7"/>
        <v>-183769.44168928819</v>
      </c>
      <c r="E110" t="s">
        <v>165</v>
      </c>
    </row>
    <row r="111" spans="1:5" x14ac:dyDescent="0.3">
      <c r="A111">
        <v>2029</v>
      </c>
      <c r="B111" s="31">
        <f t="shared" si="5"/>
        <v>-33962.371696112168</v>
      </c>
      <c r="C111" s="31">
        <f t="shared" si="6"/>
        <v>121230.19357719553</v>
      </c>
      <c r="D111" s="31">
        <f t="shared" si="7"/>
        <v>-189154.93696941988</v>
      </c>
      <c r="E111" t="s">
        <v>165</v>
      </c>
    </row>
    <row r="112" spans="1:5" x14ac:dyDescent="0.3">
      <c r="A112">
        <v>2030</v>
      </c>
      <c r="B112" s="31">
        <f t="shared" si="5"/>
        <v>-35136.478001372023</v>
      </c>
      <c r="C112" s="31">
        <f t="shared" si="6"/>
        <v>124192.240405469</v>
      </c>
      <c r="D112" s="31">
        <f t="shared" si="7"/>
        <v>-194465.19640821303</v>
      </c>
      <c r="E112" t="s">
        <v>165</v>
      </c>
    </row>
    <row r="113" spans="1:5" x14ac:dyDescent="0.3">
      <c r="A113">
        <v>2031</v>
      </c>
      <c r="B113" s="31">
        <f t="shared" si="5"/>
        <v>-36237.774005400075</v>
      </c>
      <c r="C113" s="31">
        <f t="shared" si="6"/>
        <v>126210.81022002624</v>
      </c>
      <c r="D113" s="31">
        <f t="shared" si="7"/>
        <v>-198686.35823082639</v>
      </c>
      <c r="E113" t="s">
        <v>165</v>
      </c>
    </row>
    <row r="114" spans="1:5" x14ac:dyDescent="0.3">
      <c r="A114">
        <v>2032</v>
      </c>
      <c r="B114" s="31">
        <f t="shared" si="5"/>
        <v>-37269.708562661937</v>
      </c>
      <c r="C114" s="31">
        <f t="shared" si="6"/>
        <v>128298.74148134976</v>
      </c>
      <c r="D114" s="31">
        <f t="shared" si="7"/>
        <v>-202838.15860667365</v>
      </c>
      <c r="E114" t="s">
        <v>165</v>
      </c>
    </row>
    <row r="115" spans="1:5" x14ac:dyDescent="0.3">
      <c r="A115">
        <v>2033</v>
      </c>
      <c r="B115" s="31">
        <f t="shared" si="5"/>
        <v>-38236.44276569139</v>
      </c>
      <c r="C115" s="31">
        <f t="shared" si="6"/>
        <v>130451.87309690561</v>
      </c>
      <c r="D115" s="31">
        <f t="shared" si="7"/>
        <v>-206924.7586282884</v>
      </c>
      <c r="E115" t="s">
        <v>165</v>
      </c>
    </row>
    <row r="116" spans="1:5" x14ac:dyDescent="0.3">
      <c r="A116">
        <v>2034</v>
      </c>
      <c r="B116" s="31">
        <f t="shared" si="5"/>
        <v>-39142.580359309468</v>
      </c>
      <c r="C116" s="31">
        <f t="shared" si="6"/>
        <v>132665.60132187293</v>
      </c>
      <c r="D116" s="31">
        <f t="shared" si="7"/>
        <v>-210950.76204049189</v>
      </c>
      <c r="E116" t="s">
        <v>165</v>
      </c>
    </row>
    <row r="117" spans="1:5" x14ac:dyDescent="0.3">
      <c r="A117">
        <v>2035</v>
      </c>
      <c r="B117" s="31">
        <f t="shared" si="5"/>
        <v>-39992.94425408759</v>
      </c>
      <c r="C117" s="31">
        <f t="shared" si="6"/>
        <v>134935.1032456801</v>
      </c>
      <c r="D117" s="31">
        <f t="shared" si="7"/>
        <v>-214920.99175385531</v>
      </c>
      <c r="E117" t="s">
        <v>165</v>
      </c>
    </row>
    <row r="118" spans="1:5" x14ac:dyDescent="0.3">
      <c r="A118">
        <v>2036</v>
      </c>
      <c r="B118" s="31">
        <f t="shared" si="5"/>
        <v>-40792.398941182932</v>
      </c>
      <c r="C118" s="31">
        <f t="shared" si="6"/>
        <v>133906.62163640675</v>
      </c>
      <c r="D118" s="31">
        <f t="shared" si="7"/>
        <v>-215491.41951877263</v>
      </c>
      <c r="E118" t="s">
        <v>165</v>
      </c>
    </row>
    <row r="119" spans="1:5" x14ac:dyDescent="0.3">
      <c r="A119">
        <v>2037</v>
      </c>
      <c r="B119" s="31">
        <f t="shared" si="5"/>
        <v>-41545.715432324323</v>
      </c>
      <c r="C119" s="31">
        <f t="shared" si="6"/>
        <v>132924.27822308746</v>
      </c>
      <c r="D119" s="31">
        <f t="shared" si="7"/>
        <v>-216015.70908773612</v>
      </c>
      <c r="E119" t="s">
        <v>165</v>
      </c>
    </row>
    <row r="120" spans="1:5" x14ac:dyDescent="0.3">
      <c r="A120">
        <v>2038</v>
      </c>
      <c r="B120" s="31">
        <f t="shared" si="5"/>
        <v>-42257.473544652297</v>
      </c>
      <c r="C120" s="31">
        <f t="shared" si="6"/>
        <v>131983.4931885816</v>
      </c>
      <c r="D120" s="31">
        <f t="shared" si="7"/>
        <v>-216498.44027788617</v>
      </c>
      <c r="E120" t="s">
        <v>165</v>
      </c>
    </row>
    <row r="121" spans="1:5" x14ac:dyDescent="0.3">
      <c r="A121">
        <v>2039</v>
      </c>
      <c r="B121" s="31">
        <f t="shared" si="5"/>
        <v>-42931.995594527092</v>
      </c>
      <c r="C121" s="31">
        <f t="shared" si="6"/>
        <v>131079.94421652879</v>
      </c>
      <c r="D121" s="31">
        <f t="shared" si="7"/>
        <v>-216943.935405583</v>
      </c>
      <c r="E121" t="s">
        <v>165</v>
      </c>
    </row>
    <row r="122" spans="1:5" x14ac:dyDescent="0.3">
      <c r="A122">
        <v>2040</v>
      </c>
      <c r="B122" s="31">
        <f t="shared" si="5"/>
        <v>-43573.30553700267</v>
      </c>
      <c r="C122" s="31">
        <f t="shared" si="6"/>
        <v>130209.60735187533</v>
      </c>
      <c r="D122" s="31">
        <f t="shared" si="7"/>
        <v>-217356.21842588065</v>
      </c>
      <c r="E122" t="s">
        <v>165</v>
      </c>
    </row>
    <row r="123" spans="1:5" x14ac:dyDescent="0.3">
      <c r="A123">
        <v>2041</v>
      </c>
      <c r="B123" s="31">
        <f t="shared" si="5"/>
        <v>-44185.108015027305</v>
      </c>
      <c r="C123" s="31">
        <f t="shared" si="6"/>
        <v>129411.0738634</v>
      </c>
      <c r="D123" s="31">
        <f t="shared" si="7"/>
        <v>-217781.28989345461</v>
      </c>
      <c r="E123" t="s">
        <v>165</v>
      </c>
    </row>
    <row r="124" spans="1:5" x14ac:dyDescent="0.3">
      <c r="A124">
        <v>2042</v>
      </c>
      <c r="B124" s="31">
        <f t="shared" si="5"/>
        <v>-44770.782453379819</v>
      </c>
      <c r="C124" s="31">
        <f t="shared" si="6"/>
        <v>128638.66841459676</v>
      </c>
      <c r="D124" s="31">
        <f t="shared" si="7"/>
        <v>-218180.23332135641</v>
      </c>
      <c r="E124" t="s">
        <v>165</v>
      </c>
    </row>
    <row r="125" spans="1:5" x14ac:dyDescent="0.3">
      <c r="A125">
        <v>2043</v>
      </c>
      <c r="B125" s="31">
        <f t="shared" si="5"/>
        <v>-45333.388097023475</v>
      </c>
      <c r="C125" s="31">
        <f t="shared" si="6"/>
        <v>127889.33176050254</v>
      </c>
      <c r="D125" s="31">
        <f t="shared" si="7"/>
        <v>-218556.10795454949</v>
      </c>
      <c r="E125" t="s">
        <v>165</v>
      </c>
    </row>
    <row r="126" spans="1:5" x14ac:dyDescent="0.3">
      <c r="A126">
        <v>2044</v>
      </c>
      <c r="B126" s="31">
        <f t="shared" si="5"/>
        <v>-45875.676654365401</v>
      </c>
      <c r="C126" s="31">
        <f t="shared" si="6"/>
        <v>127160.31219270988</v>
      </c>
      <c r="D126" s="31">
        <f t="shared" si="7"/>
        <v>-218911.6655014407</v>
      </c>
      <c r="E126" t="s">
        <v>165</v>
      </c>
    </row>
    <row r="127" spans="1:5" x14ac:dyDescent="0.3">
      <c r="A127">
        <v>2045</v>
      </c>
      <c r="B127" s="31">
        <f t="shared" si="5"/>
        <v>-46400.109905685807</v>
      </c>
      <c r="C127" s="31">
        <f t="shared" si="6"/>
        <v>126449.14793093879</v>
      </c>
      <c r="D127" s="31">
        <f t="shared" si="7"/>
        <v>-219249.36774231039</v>
      </c>
      <c r="E127" t="s">
        <v>165</v>
      </c>
    </row>
    <row r="128" spans="1:5" x14ac:dyDescent="0.3">
      <c r="A128">
        <v>2046</v>
      </c>
      <c r="B128" s="31">
        <f t="shared" si="5"/>
        <v>-46908.880247495108</v>
      </c>
      <c r="C128" s="31">
        <f t="shared" si="6"/>
        <v>125452.3179616475</v>
      </c>
      <c r="D128" s="31">
        <f t="shared" si="7"/>
        <v>-219270.07845663771</v>
      </c>
      <c r="E128" t="s">
        <v>165</v>
      </c>
    </row>
    <row r="129" spans="1:5" x14ac:dyDescent="0.3">
      <c r="A129">
        <v>2047</v>
      </c>
      <c r="B129" s="31">
        <f t="shared" si="5"/>
        <v>-47403.932655745739</v>
      </c>
      <c r="C129" s="31">
        <f t="shared" si="6"/>
        <v>124469.20592591487</v>
      </c>
      <c r="D129" s="31">
        <f t="shared" si="7"/>
        <v>-219277.07123740634</v>
      </c>
      <c r="E129" t="s">
        <v>165</v>
      </c>
    </row>
    <row r="130" spans="1:5" x14ac:dyDescent="0.3">
      <c r="A130">
        <v>2048</v>
      </c>
      <c r="B130" s="31">
        <f t="shared" si="5"/>
        <v>-47886.986967365134</v>
      </c>
      <c r="C130" s="31">
        <f t="shared" si="6"/>
        <v>123498.09198681355</v>
      </c>
      <c r="D130" s="31">
        <f t="shared" si="7"/>
        <v>-219272.06592154384</v>
      </c>
      <c r="E130" t="s">
        <v>165</v>
      </c>
    </row>
    <row r="131" spans="1:5" x14ac:dyDescent="0.3">
      <c r="A131">
        <v>2049</v>
      </c>
      <c r="B131" s="31">
        <f t="shared" si="5"/>
        <v>-48359.559709594163</v>
      </c>
      <c r="C131" s="31">
        <f t="shared" si="6"/>
        <v>122537.45961710265</v>
      </c>
      <c r="D131" s="31">
        <f t="shared" si="7"/>
        <v>-219256.57903629099</v>
      </c>
      <c r="E131" t="s">
        <v>165</v>
      </c>
    </row>
    <row r="132" spans="1:5" x14ac:dyDescent="0.3">
      <c r="A132">
        <v>2050</v>
      </c>
      <c r="B132" s="31">
        <f t="shared" si="5"/>
        <v>-48822.984962044109</v>
      </c>
      <c r="C132" s="31">
        <f t="shared" si="6"/>
        <v>121585.97473717071</v>
      </c>
      <c r="D132" s="31">
        <f t="shared" si="7"/>
        <v>-219231.94466125892</v>
      </c>
      <c r="E132" t="s">
        <v>165</v>
      </c>
    </row>
    <row r="133" spans="1:5" x14ac:dyDescent="0.3">
      <c r="A133">
        <v>2020</v>
      </c>
      <c r="B133" s="31">
        <f>K3</f>
        <v>67983.326861575872</v>
      </c>
      <c r="C133" s="31">
        <f>L3</f>
        <v>177841.63732197956</v>
      </c>
      <c r="D133" s="31">
        <f>M3</f>
        <v>-41874.983598827836</v>
      </c>
      <c r="E133" t="s">
        <v>166</v>
      </c>
    </row>
    <row r="134" spans="1:5" x14ac:dyDescent="0.3">
      <c r="A134">
        <v>2021</v>
      </c>
      <c r="B134" s="31">
        <f t="shared" ref="B134:B163" si="8">K4</f>
        <v>66595.05800562074</v>
      </c>
      <c r="C134" s="31">
        <f t="shared" ref="C134:C163" si="9">L4</f>
        <v>182211.29692177864</v>
      </c>
      <c r="D134" s="31">
        <f t="shared" ref="D134:D163" si="10">M4</f>
        <v>-49021.180910537165</v>
      </c>
      <c r="E134" t="s">
        <v>166</v>
      </c>
    </row>
    <row r="135" spans="1:5" x14ac:dyDescent="0.3">
      <c r="A135">
        <v>2022</v>
      </c>
      <c r="B135" s="31">
        <f t="shared" si="8"/>
        <v>60417.700152270743</v>
      </c>
      <c r="C135" s="31">
        <f t="shared" si="9"/>
        <v>181791.86752418283</v>
      </c>
      <c r="D135" s="31">
        <f t="shared" si="10"/>
        <v>-60956.467219641359</v>
      </c>
      <c r="E135" t="s">
        <v>166</v>
      </c>
    </row>
    <row r="136" spans="1:5" x14ac:dyDescent="0.3">
      <c r="A136">
        <v>2023</v>
      </c>
      <c r="B136" s="31">
        <f t="shared" si="8"/>
        <v>19642.710862312819</v>
      </c>
      <c r="C136" s="31">
        <f t="shared" si="9"/>
        <v>146774.80668997913</v>
      </c>
      <c r="D136" s="31">
        <f t="shared" si="10"/>
        <v>-107489.38496535349</v>
      </c>
      <c r="E136" t="s">
        <v>166</v>
      </c>
    </row>
    <row r="137" spans="1:5" x14ac:dyDescent="0.3">
      <c r="A137">
        <v>2024</v>
      </c>
      <c r="B137" s="31">
        <f t="shared" si="8"/>
        <v>-45899.737246110803</v>
      </c>
      <c r="C137" s="31">
        <f t="shared" si="9"/>
        <v>86990.287037309696</v>
      </c>
      <c r="D137" s="31">
        <f t="shared" si="10"/>
        <v>-178789.7615295313</v>
      </c>
      <c r="E137" t="s">
        <v>166</v>
      </c>
    </row>
    <row r="138" spans="1:5" x14ac:dyDescent="0.3">
      <c r="A138">
        <v>2025</v>
      </c>
      <c r="B138" s="31">
        <f t="shared" si="8"/>
        <v>-52793.534888100905</v>
      </c>
      <c r="C138" s="31">
        <f t="shared" si="9"/>
        <v>85854.417851073813</v>
      </c>
      <c r="D138" s="31">
        <f t="shared" si="10"/>
        <v>-191441.48762727561</v>
      </c>
      <c r="E138" t="s">
        <v>166</v>
      </c>
    </row>
    <row r="139" spans="1:5" x14ac:dyDescent="0.3">
      <c r="A139">
        <v>2026</v>
      </c>
      <c r="B139" s="31">
        <f t="shared" si="8"/>
        <v>-59744.731983785976</v>
      </c>
      <c r="C139" s="31">
        <f t="shared" si="9"/>
        <v>83039.373888921924</v>
      </c>
      <c r="D139" s="31">
        <f t="shared" si="10"/>
        <v>-202528.83785649389</v>
      </c>
      <c r="E139" t="s">
        <v>166</v>
      </c>
    </row>
    <row r="140" spans="1:5" x14ac:dyDescent="0.3">
      <c r="A140">
        <v>2027</v>
      </c>
      <c r="B140" s="31">
        <f t="shared" si="8"/>
        <v>-66692.47770630577</v>
      </c>
      <c r="C140" s="31">
        <f t="shared" si="9"/>
        <v>80227.781299935421</v>
      </c>
      <c r="D140" s="31">
        <f t="shared" si="10"/>
        <v>-213612.73671254696</v>
      </c>
      <c r="E140" t="s">
        <v>166</v>
      </c>
    </row>
    <row r="141" spans="1:5" x14ac:dyDescent="0.3">
      <c r="A141">
        <v>2028</v>
      </c>
      <c r="B141" s="31">
        <f t="shared" si="8"/>
        <v>-73583.968073397016</v>
      </c>
      <c r="C141" s="31">
        <f t="shared" si="9"/>
        <v>77472.444066377371</v>
      </c>
      <c r="D141" s="31">
        <f t="shared" si="10"/>
        <v>-224640.38021317142</v>
      </c>
      <c r="E141" t="s">
        <v>166</v>
      </c>
    </row>
    <row r="142" spans="1:5" x14ac:dyDescent="0.3">
      <c r="A142">
        <v>2029</v>
      </c>
      <c r="B142" s="31">
        <f t="shared" si="8"/>
        <v>-80374.974974539611</v>
      </c>
      <c r="C142" s="31">
        <f t="shared" si="9"/>
        <v>74817.590298768089</v>
      </c>
      <c r="D142" s="31">
        <f t="shared" si="10"/>
        <v>-235567.54024784733</v>
      </c>
      <c r="E142" t="s">
        <v>166</v>
      </c>
    </row>
    <row r="143" spans="1:5" x14ac:dyDescent="0.3">
      <c r="A143">
        <v>2030</v>
      </c>
      <c r="B143" s="31">
        <f t="shared" si="8"/>
        <v>-87029.829567745837</v>
      </c>
      <c r="C143" s="31">
        <f t="shared" si="9"/>
        <v>72298.888839095176</v>
      </c>
      <c r="D143" s="31">
        <f t="shared" si="10"/>
        <v>-246358.54797458684</v>
      </c>
      <c r="E143" t="s">
        <v>166</v>
      </c>
    </row>
    <row r="144" spans="1:5" x14ac:dyDescent="0.3">
      <c r="A144">
        <v>2031</v>
      </c>
      <c r="B144" s="31">
        <f t="shared" si="8"/>
        <v>-93520.986206764166</v>
      </c>
      <c r="C144" s="31">
        <f t="shared" si="9"/>
        <v>68927.598018662145</v>
      </c>
      <c r="D144" s="31">
        <f t="shared" si="10"/>
        <v>-255969.57043219049</v>
      </c>
      <c r="E144" t="s">
        <v>166</v>
      </c>
    </row>
    <row r="145" spans="1:5" x14ac:dyDescent="0.3">
      <c r="A145">
        <v>2032</v>
      </c>
      <c r="B145" s="31">
        <f t="shared" si="8"/>
        <v>-99828.297357291653</v>
      </c>
      <c r="C145" s="31">
        <f t="shared" si="9"/>
        <v>65740.152686720045</v>
      </c>
      <c r="D145" s="31">
        <f t="shared" si="10"/>
        <v>-265396.74740130338</v>
      </c>
      <c r="E145" t="s">
        <v>166</v>
      </c>
    </row>
    <row r="146" spans="1:5" x14ac:dyDescent="0.3">
      <c r="A146">
        <v>2033</v>
      </c>
      <c r="B146" s="31">
        <f t="shared" si="8"/>
        <v>-105938.11867399904</v>
      </c>
      <c r="C146" s="31">
        <f t="shared" si="9"/>
        <v>62750.197188597958</v>
      </c>
      <c r="D146" s="31">
        <f t="shared" si="10"/>
        <v>-274626.43453659606</v>
      </c>
      <c r="E146" t="s">
        <v>166</v>
      </c>
    </row>
    <row r="147" spans="1:5" x14ac:dyDescent="0.3">
      <c r="A147">
        <v>2034</v>
      </c>
      <c r="B147" s="31">
        <f t="shared" si="8"/>
        <v>-111842.34313247602</v>
      </c>
      <c r="C147" s="31">
        <f t="shared" si="9"/>
        <v>59965.838548706393</v>
      </c>
      <c r="D147" s="31">
        <f t="shared" si="10"/>
        <v>-283650.52481365844</v>
      </c>
      <c r="E147" t="s">
        <v>166</v>
      </c>
    </row>
    <row r="148" spans="1:5" x14ac:dyDescent="0.3">
      <c r="A148">
        <v>2035</v>
      </c>
      <c r="B148" s="31">
        <f t="shared" si="8"/>
        <v>-117537.43943467461</v>
      </c>
      <c r="C148" s="31">
        <f t="shared" si="9"/>
        <v>57390.608065093096</v>
      </c>
      <c r="D148" s="31">
        <f t="shared" si="10"/>
        <v>-292465.48693444231</v>
      </c>
      <c r="E148" t="s">
        <v>166</v>
      </c>
    </row>
    <row r="149" spans="1:5" x14ac:dyDescent="0.3">
      <c r="A149">
        <v>2036</v>
      </c>
      <c r="B149" s="31">
        <f t="shared" si="8"/>
        <v>-123023.54684068284</v>
      </c>
      <c r="C149" s="31">
        <f t="shared" si="9"/>
        <v>51675.473736906846</v>
      </c>
      <c r="D149" s="31">
        <f t="shared" si="10"/>
        <v>-297722.56741827255</v>
      </c>
      <c r="E149" t="s">
        <v>166</v>
      </c>
    </row>
    <row r="150" spans="1:5" x14ac:dyDescent="0.3">
      <c r="A150">
        <v>2037</v>
      </c>
      <c r="B150" s="31">
        <f t="shared" si="8"/>
        <v>-128303.65851683228</v>
      </c>
      <c r="C150" s="31">
        <f t="shared" si="9"/>
        <v>46166.33513857951</v>
      </c>
      <c r="D150" s="31">
        <f t="shared" si="10"/>
        <v>-302773.65217224404</v>
      </c>
      <c r="E150" t="s">
        <v>166</v>
      </c>
    </row>
    <row r="151" spans="1:5" x14ac:dyDescent="0.3">
      <c r="A151">
        <v>2038</v>
      </c>
      <c r="B151" s="31">
        <f t="shared" si="8"/>
        <v>-133382.90949409758</v>
      </c>
      <c r="C151" s="31">
        <f t="shared" si="9"/>
        <v>40858.057239136309</v>
      </c>
      <c r="D151" s="31">
        <f t="shared" si="10"/>
        <v>-307623.87622733146</v>
      </c>
      <c r="E151" t="s">
        <v>166</v>
      </c>
    </row>
    <row r="152" spans="1:5" x14ac:dyDescent="0.3">
      <c r="A152">
        <v>2039</v>
      </c>
      <c r="B152" s="31">
        <f t="shared" si="8"/>
        <v>-138267.97353272417</v>
      </c>
      <c r="C152" s="31">
        <f t="shared" si="9"/>
        <v>35743.966278331733</v>
      </c>
      <c r="D152" s="31">
        <f t="shared" si="10"/>
        <v>-312279.91334378009</v>
      </c>
      <c r="E152" t="s">
        <v>166</v>
      </c>
    </row>
    <row r="153" spans="1:5" x14ac:dyDescent="0.3">
      <c r="A153">
        <v>2040</v>
      </c>
      <c r="B153" s="31">
        <f t="shared" si="8"/>
        <v>-142966.56516535048</v>
      </c>
      <c r="C153" s="31">
        <f t="shared" si="9"/>
        <v>30816.34772352752</v>
      </c>
      <c r="D153" s="31">
        <f t="shared" si="10"/>
        <v>-316749.47805422847</v>
      </c>
      <c r="E153" t="s">
        <v>166</v>
      </c>
    </row>
    <row r="154" spans="1:5" x14ac:dyDescent="0.3">
      <c r="A154">
        <v>2041</v>
      </c>
      <c r="B154" s="31">
        <f t="shared" si="8"/>
        <v>-147487.0382595229</v>
      </c>
      <c r="C154" s="31">
        <f t="shared" si="9"/>
        <v>26109.143618904403</v>
      </c>
      <c r="D154" s="31">
        <f t="shared" si="10"/>
        <v>-321083.22013795021</v>
      </c>
      <c r="E154" t="s">
        <v>166</v>
      </c>
    </row>
    <row r="155" spans="1:5" x14ac:dyDescent="0.3">
      <c r="A155">
        <v>2042</v>
      </c>
      <c r="B155" s="31">
        <f t="shared" si="8"/>
        <v>-151838.069861878</v>
      </c>
      <c r="C155" s="31">
        <f t="shared" si="9"/>
        <v>21571.381006098585</v>
      </c>
      <c r="D155" s="31">
        <f t="shared" si="10"/>
        <v>-325247.52072985459</v>
      </c>
      <c r="E155" t="s">
        <v>166</v>
      </c>
    </row>
    <row r="156" spans="1:5" x14ac:dyDescent="0.3">
      <c r="A156">
        <v>2043</v>
      </c>
      <c r="B156" s="31">
        <f t="shared" si="8"/>
        <v>-156028.4171802708</v>
      </c>
      <c r="C156" s="31">
        <f t="shared" si="9"/>
        <v>17194.302677255211</v>
      </c>
      <c r="D156" s="31">
        <f t="shared" si="10"/>
        <v>-329251.13703779678</v>
      </c>
      <c r="E156" t="s">
        <v>166</v>
      </c>
    </row>
    <row r="157" spans="1:5" x14ac:dyDescent="0.3">
      <c r="A157">
        <v>2044</v>
      </c>
      <c r="B157" s="31">
        <f t="shared" si="8"/>
        <v>-160066.73576067304</v>
      </c>
      <c r="C157" s="31">
        <f t="shared" si="9"/>
        <v>12969.253086402256</v>
      </c>
      <c r="D157" s="31">
        <f t="shared" si="10"/>
        <v>-333102.72460774833</v>
      </c>
      <c r="E157" t="s">
        <v>166</v>
      </c>
    </row>
    <row r="158" spans="1:5" x14ac:dyDescent="0.3">
      <c r="A158">
        <v>2045</v>
      </c>
      <c r="B158" s="31">
        <f t="shared" si="8"/>
        <v>-163961.44778478987</v>
      </c>
      <c r="C158" s="31">
        <f t="shared" si="9"/>
        <v>8887.8100518347346</v>
      </c>
      <c r="D158" s="31">
        <f t="shared" si="10"/>
        <v>-336810.70562141447</v>
      </c>
      <c r="E158" t="s">
        <v>166</v>
      </c>
    </row>
    <row r="159" spans="1:5" x14ac:dyDescent="0.3">
      <c r="A159">
        <v>2046</v>
      </c>
      <c r="B159" s="31">
        <f t="shared" si="8"/>
        <v>-167720.65063343308</v>
      </c>
      <c r="C159" s="31">
        <f t="shared" si="9"/>
        <v>4640.5475757095264</v>
      </c>
      <c r="D159" s="31">
        <f t="shared" si="10"/>
        <v>-340081.84884257568</v>
      </c>
      <c r="E159" t="s">
        <v>166</v>
      </c>
    </row>
    <row r="160" spans="1:5" x14ac:dyDescent="0.3">
      <c r="A160">
        <v>2047</v>
      </c>
      <c r="B160" s="31">
        <f t="shared" si="8"/>
        <v>-171352.05721123479</v>
      </c>
      <c r="C160" s="31">
        <f t="shared" si="9"/>
        <v>521.08137042581802</v>
      </c>
      <c r="D160" s="31">
        <f t="shared" si="10"/>
        <v>-343225.19579289539</v>
      </c>
      <c r="E160" t="s">
        <v>166</v>
      </c>
    </row>
    <row r="161" spans="1:5" x14ac:dyDescent="0.3">
      <c r="A161">
        <v>2048</v>
      </c>
      <c r="B161" s="31">
        <f t="shared" si="8"/>
        <v>-174862.96086985318</v>
      </c>
      <c r="C161" s="31">
        <f t="shared" si="9"/>
        <v>-3477.8819156744867</v>
      </c>
      <c r="D161" s="31">
        <f t="shared" si="10"/>
        <v>-346248.03982403188</v>
      </c>
      <c r="E161" t="s">
        <v>166</v>
      </c>
    </row>
    <row r="162" spans="1:5" x14ac:dyDescent="0.3">
      <c r="A162">
        <v>2049</v>
      </c>
      <c r="B162" s="31">
        <f t="shared" si="8"/>
        <v>-178260.2190165018</v>
      </c>
      <c r="C162" s="31">
        <f t="shared" si="9"/>
        <v>-7363.1996898049838</v>
      </c>
      <c r="D162" s="31">
        <f t="shared" si="10"/>
        <v>-349157.23834319861</v>
      </c>
      <c r="E162" t="s">
        <v>166</v>
      </c>
    </row>
    <row r="163" spans="1:5" x14ac:dyDescent="0.3">
      <c r="A163">
        <v>2050</v>
      </c>
      <c r="B163" s="31">
        <f t="shared" si="8"/>
        <v>-181550.25060972307</v>
      </c>
      <c r="C163" s="31">
        <f t="shared" si="9"/>
        <v>-11141.290910508251</v>
      </c>
      <c r="D163" s="31">
        <f t="shared" si="10"/>
        <v>-351959.21030893788</v>
      </c>
      <c r="E163" t="s">
        <v>166</v>
      </c>
    </row>
    <row r="164" spans="1:5" x14ac:dyDescent="0.3">
      <c r="A164">
        <v>2020</v>
      </c>
      <c r="B164" s="31">
        <f>N3</f>
        <v>67983.326861575872</v>
      </c>
      <c r="C164" s="31">
        <f>O3</f>
        <v>177841.63732197956</v>
      </c>
      <c r="D164" s="31">
        <f>P3</f>
        <v>-41874.983598827836</v>
      </c>
      <c r="E164" t="s">
        <v>167</v>
      </c>
    </row>
    <row r="165" spans="1:5" x14ac:dyDescent="0.3">
      <c r="A165">
        <v>2021</v>
      </c>
      <c r="B165" s="31">
        <f t="shared" ref="B165:B194" si="11">N4</f>
        <v>70949.650974650969</v>
      </c>
      <c r="C165" s="31">
        <f t="shared" ref="C165:C194" si="12">O4</f>
        <v>186565.88989080887</v>
      </c>
      <c r="D165" s="31">
        <f t="shared" ref="D165:D194" si="13">P4</f>
        <v>-44666.587941506936</v>
      </c>
      <c r="E165" t="s">
        <v>167</v>
      </c>
    </row>
    <row r="166" spans="1:5" x14ac:dyDescent="0.3">
      <c r="A166">
        <v>2022</v>
      </c>
      <c r="B166" s="31">
        <f t="shared" si="11"/>
        <v>69405.259333432681</v>
      </c>
      <c r="C166" s="31">
        <f t="shared" si="12"/>
        <v>190779.42670534478</v>
      </c>
      <c r="D166" s="31">
        <f t="shared" si="13"/>
        <v>-51968.908038479422</v>
      </c>
      <c r="E166" t="s">
        <v>167</v>
      </c>
    </row>
    <row r="167" spans="1:5" x14ac:dyDescent="0.3">
      <c r="A167">
        <v>2023</v>
      </c>
      <c r="B167" s="31">
        <f t="shared" si="11"/>
        <v>32238.129220649898</v>
      </c>
      <c r="C167" s="31">
        <f t="shared" si="12"/>
        <v>159370.22504831621</v>
      </c>
      <c r="D167" s="31">
        <f t="shared" si="13"/>
        <v>-94893.966607016395</v>
      </c>
      <c r="E167" t="s">
        <v>167</v>
      </c>
    </row>
    <row r="168" spans="1:5" x14ac:dyDescent="0.3">
      <c r="A168">
        <v>2024</v>
      </c>
      <c r="B168" s="31">
        <f t="shared" si="11"/>
        <v>-31541.634187871685</v>
      </c>
      <c r="C168" s="31">
        <f t="shared" si="12"/>
        <v>101348.39009554882</v>
      </c>
      <c r="D168" s="31">
        <f t="shared" si="13"/>
        <v>-164431.65847129218</v>
      </c>
      <c r="E168" t="s">
        <v>167</v>
      </c>
    </row>
    <row r="169" spans="1:5" x14ac:dyDescent="0.3">
      <c r="A169">
        <v>2025</v>
      </c>
      <c r="B169" s="31">
        <f t="shared" si="11"/>
        <v>-34376.85345421805</v>
      </c>
      <c r="C169" s="31">
        <f t="shared" si="12"/>
        <v>104271.09928495667</v>
      </c>
      <c r="D169" s="31">
        <f t="shared" si="13"/>
        <v>-173024.80619339275</v>
      </c>
      <c r="E169" t="s">
        <v>167</v>
      </c>
    </row>
    <row r="170" spans="1:5" x14ac:dyDescent="0.3">
      <c r="A170">
        <v>2026</v>
      </c>
      <c r="B170" s="31">
        <f t="shared" si="11"/>
        <v>-37173.960564604211</v>
      </c>
      <c r="C170" s="31">
        <f t="shared" si="12"/>
        <v>105610.1453081037</v>
      </c>
      <c r="D170" s="31">
        <f t="shared" si="13"/>
        <v>-179958.06643731211</v>
      </c>
      <c r="E170" t="s">
        <v>167</v>
      </c>
    </row>
    <row r="171" spans="1:5" x14ac:dyDescent="0.3">
      <c r="A171">
        <v>2027</v>
      </c>
      <c r="B171" s="31">
        <f t="shared" si="11"/>
        <v>-39914.040523008458</v>
      </c>
      <c r="C171" s="31">
        <f t="shared" si="12"/>
        <v>107006.21848323273</v>
      </c>
      <c r="D171" s="31">
        <f t="shared" si="13"/>
        <v>-186834.29952924966</v>
      </c>
      <c r="E171" t="s">
        <v>167</v>
      </c>
    </row>
    <row r="172" spans="1:5" x14ac:dyDescent="0.3">
      <c r="A172">
        <v>2028</v>
      </c>
      <c r="B172" s="31">
        <f t="shared" si="11"/>
        <v>-42581.909117410469</v>
      </c>
      <c r="C172" s="31">
        <f t="shared" si="12"/>
        <v>108474.50302236392</v>
      </c>
      <c r="D172" s="31">
        <f t="shared" si="13"/>
        <v>-193638.32125718484</v>
      </c>
      <c r="E172" t="s">
        <v>167</v>
      </c>
    </row>
    <row r="173" spans="1:5" x14ac:dyDescent="0.3">
      <c r="A173">
        <v>2029</v>
      </c>
      <c r="B173" s="31">
        <f t="shared" si="11"/>
        <v>-45166.034959107426</v>
      </c>
      <c r="C173" s="31">
        <f t="shared" si="12"/>
        <v>110026.53031420027</v>
      </c>
      <c r="D173" s="31">
        <f t="shared" si="13"/>
        <v>-200358.60023241513</v>
      </c>
      <c r="E173" t="s">
        <v>167</v>
      </c>
    </row>
    <row r="174" spans="1:5" x14ac:dyDescent="0.3">
      <c r="A174">
        <v>2030</v>
      </c>
      <c r="B174" s="31">
        <f t="shared" si="11"/>
        <v>-47658.287302268254</v>
      </c>
      <c r="C174" s="31">
        <f t="shared" si="12"/>
        <v>111670.43110457275</v>
      </c>
      <c r="D174" s="31">
        <f t="shared" si="13"/>
        <v>-206987.00570910927</v>
      </c>
      <c r="E174" t="s">
        <v>167</v>
      </c>
    </row>
    <row r="175" spans="1:5" x14ac:dyDescent="0.3">
      <c r="A175">
        <v>2031</v>
      </c>
      <c r="B175" s="31">
        <f t="shared" si="11"/>
        <v>-50053.567293098888</v>
      </c>
      <c r="C175" s="31">
        <f t="shared" si="12"/>
        <v>112395.01693232742</v>
      </c>
      <c r="D175" s="31">
        <f t="shared" si="13"/>
        <v>-212502.15151852521</v>
      </c>
      <c r="E175" t="s">
        <v>167</v>
      </c>
    </row>
    <row r="176" spans="1:5" x14ac:dyDescent="0.3">
      <c r="A176">
        <v>2032</v>
      </c>
      <c r="B176" s="31">
        <f t="shared" si="11"/>
        <v>-52349.375546374242</v>
      </c>
      <c r="C176" s="31">
        <f t="shared" si="12"/>
        <v>113219.07449763746</v>
      </c>
      <c r="D176" s="31">
        <f t="shared" si="13"/>
        <v>-217917.82559038594</v>
      </c>
      <c r="E176" t="s">
        <v>167</v>
      </c>
    </row>
    <row r="177" spans="1:5" x14ac:dyDescent="0.3">
      <c r="A177">
        <v>2033</v>
      </c>
      <c r="B177" s="31">
        <f t="shared" si="11"/>
        <v>-54545.359800014572</v>
      </c>
      <c r="C177" s="31">
        <f t="shared" si="12"/>
        <v>114142.95606258242</v>
      </c>
      <c r="D177" s="31">
        <f t="shared" si="13"/>
        <v>-223233.67566261155</v>
      </c>
      <c r="E177" t="s">
        <v>167</v>
      </c>
    </row>
    <row r="178" spans="1:5" x14ac:dyDescent="0.3">
      <c r="A178">
        <v>2034</v>
      </c>
      <c r="B178" s="31">
        <f t="shared" si="11"/>
        <v>-56642.875495324079</v>
      </c>
      <c r="C178" s="31">
        <f t="shared" si="12"/>
        <v>115165.30618585832</v>
      </c>
      <c r="D178" s="31">
        <f t="shared" si="13"/>
        <v>-228451.0571765065</v>
      </c>
      <c r="E178" t="s">
        <v>167</v>
      </c>
    </row>
    <row r="179" spans="1:5" x14ac:dyDescent="0.3">
      <c r="A179">
        <v>2035</v>
      </c>
      <c r="B179" s="31">
        <f t="shared" si="11"/>
        <v>-58644.581429574595</v>
      </c>
      <c r="C179" s="31">
        <f t="shared" si="12"/>
        <v>116283.46607019311</v>
      </c>
      <c r="D179" s="31">
        <f t="shared" si="13"/>
        <v>-233572.62892934232</v>
      </c>
      <c r="E179" t="s">
        <v>167</v>
      </c>
    </row>
    <row r="180" spans="1:5" x14ac:dyDescent="0.3">
      <c r="A180">
        <v>2036</v>
      </c>
      <c r="B180" s="31">
        <f t="shared" si="11"/>
        <v>-60554.083329774548</v>
      </c>
      <c r="C180" s="31">
        <f t="shared" si="12"/>
        <v>114144.93724781513</v>
      </c>
      <c r="D180" s="31">
        <f t="shared" si="13"/>
        <v>-235253.10390736425</v>
      </c>
      <c r="E180" t="s">
        <v>167</v>
      </c>
    </row>
    <row r="181" spans="1:5" x14ac:dyDescent="0.3">
      <c r="A181">
        <v>2037</v>
      </c>
      <c r="B181" s="31">
        <f t="shared" si="11"/>
        <v>-62375.630850036927</v>
      </c>
      <c r="C181" s="31">
        <f t="shared" si="12"/>
        <v>112094.36280537487</v>
      </c>
      <c r="D181" s="31">
        <f t="shared" si="13"/>
        <v>-236845.62450544871</v>
      </c>
      <c r="E181" t="s">
        <v>167</v>
      </c>
    </row>
    <row r="182" spans="1:5" x14ac:dyDescent="0.3">
      <c r="A182">
        <v>2038</v>
      </c>
      <c r="B182" s="31">
        <f t="shared" si="11"/>
        <v>-64113.868177187534</v>
      </c>
      <c r="C182" s="31">
        <f t="shared" si="12"/>
        <v>110127.09855604635</v>
      </c>
      <c r="D182" s="31">
        <f t="shared" si="13"/>
        <v>-238354.83491042143</v>
      </c>
      <c r="E182" t="s">
        <v>167</v>
      </c>
    </row>
    <row r="183" spans="1:5" x14ac:dyDescent="0.3">
      <c r="A183">
        <v>2039</v>
      </c>
      <c r="B183" s="31">
        <f t="shared" si="11"/>
        <v>-65773.634932030938</v>
      </c>
      <c r="C183" s="31">
        <f t="shared" si="12"/>
        <v>108238.30487902496</v>
      </c>
      <c r="D183" s="31">
        <f t="shared" si="13"/>
        <v>-239785.57474308682</v>
      </c>
      <c r="E183" t="s">
        <v>167</v>
      </c>
    </row>
    <row r="184" spans="1:5" x14ac:dyDescent="0.3">
      <c r="A184">
        <v>2040</v>
      </c>
      <c r="B184" s="31">
        <f t="shared" si="11"/>
        <v>-67359.81203474506</v>
      </c>
      <c r="C184" s="31">
        <f t="shared" si="12"/>
        <v>106423.10085413294</v>
      </c>
      <c r="D184" s="31">
        <f t="shared" si="13"/>
        <v>-241142.72492362306</v>
      </c>
      <c r="E184" t="s">
        <v>167</v>
      </c>
    </row>
    <row r="185" spans="1:5" x14ac:dyDescent="0.3">
      <c r="A185">
        <v>2041</v>
      </c>
      <c r="B185" s="31">
        <f t="shared" si="11"/>
        <v>-68877.206290254428</v>
      </c>
      <c r="C185" s="31">
        <f t="shared" si="12"/>
        <v>104718.97558817288</v>
      </c>
      <c r="D185" s="31">
        <f t="shared" si="13"/>
        <v>-242473.38816868173</v>
      </c>
      <c r="E185" t="s">
        <v>167</v>
      </c>
    </row>
    <row r="186" spans="1:5" x14ac:dyDescent="0.3">
      <c r="A186">
        <v>2042</v>
      </c>
      <c r="B186" s="31">
        <f t="shared" si="11"/>
        <v>-70330.467302851248</v>
      </c>
      <c r="C186" s="31">
        <f t="shared" si="12"/>
        <v>103078.98356512534</v>
      </c>
      <c r="D186" s="31">
        <f t="shared" si="13"/>
        <v>-243739.91817082785</v>
      </c>
      <c r="E186" t="s">
        <v>167</v>
      </c>
    </row>
    <row r="187" spans="1:5" x14ac:dyDescent="0.3">
      <c r="A187">
        <v>2043</v>
      </c>
      <c r="B187" s="31">
        <f t="shared" si="11"/>
        <v>-71724.030668619598</v>
      </c>
      <c r="C187" s="31">
        <f t="shared" si="12"/>
        <v>101498.68918890641</v>
      </c>
      <c r="D187" s="31">
        <f t="shared" si="13"/>
        <v>-244946.75052614562</v>
      </c>
      <c r="E187" t="s">
        <v>167</v>
      </c>
    </row>
    <row r="188" spans="1:5" x14ac:dyDescent="0.3">
      <c r="A188">
        <v>2044</v>
      </c>
      <c r="B188" s="31">
        <f t="shared" si="11"/>
        <v>-73062.082006257231</v>
      </c>
      <c r="C188" s="31">
        <f t="shared" si="12"/>
        <v>99973.906840818061</v>
      </c>
      <c r="D188" s="31">
        <f t="shared" si="13"/>
        <v>-246098.07085333252</v>
      </c>
      <c r="E188" t="s">
        <v>167</v>
      </c>
    </row>
    <row r="189" spans="1:5" x14ac:dyDescent="0.3">
      <c r="A189">
        <v>2045</v>
      </c>
      <c r="B189" s="31">
        <f t="shared" si="11"/>
        <v>-74348.537120344248</v>
      </c>
      <c r="C189" s="31">
        <f t="shared" si="12"/>
        <v>98500.720716280353</v>
      </c>
      <c r="D189" s="31">
        <f t="shared" si="13"/>
        <v>-247197.79495696886</v>
      </c>
      <c r="E189" t="s">
        <v>167</v>
      </c>
    </row>
    <row r="190" spans="1:5" x14ac:dyDescent="0.3">
      <c r="A190">
        <v>2046</v>
      </c>
      <c r="B190" s="31">
        <f t="shared" si="11"/>
        <v>-75587.03434573632</v>
      </c>
      <c r="C190" s="31">
        <f t="shared" si="12"/>
        <v>96774.163863406284</v>
      </c>
      <c r="D190" s="31">
        <f t="shared" si="13"/>
        <v>-247948.23255487892</v>
      </c>
      <c r="E190" t="s">
        <v>167</v>
      </c>
    </row>
    <row r="191" spans="1:5" x14ac:dyDescent="0.3">
      <c r="A191">
        <v>2047</v>
      </c>
      <c r="B191" s="31">
        <f t="shared" si="11"/>
        <v>-76780.935836465942</v>
      </c>
      <c r="C191" s="31">
        <f t="shared" si="12"/>
        <v>95092.202745194663</v>
      </c>
      <c r="D191" s="31">
        <f t="shared" si="13"/>
        <v>-248654.07441812655</v>
      </c>
      <c r="E191" t="s">
        <v>167</v>
      </c>
    </row>
    <row r="192" spans="1:5" x14ac:dyDescent="0.3">
      <c r="A192">
        <v>2048</v>
      </c>
      <c r="B192" s="31">
        <f t="shared" si="11"/>
        <v>-77933.335204318864</v>
      </c>
      <c r="C192" s="31">
        <f t="shared" si="12"/>
        <v>93451.74374985983</v>
      </c>
      <c r="D192" s="31">
        <f t="shared" si="13"/>
        <v>-249318.41415849756</v>
      </c>
      <c r="E192" t="s">
        <v>167</v>
      </c>
    </row>
    <row r="193" spans="1:5" x14ac:dyDescent="0.3">
      <c r="A193">
        <v>2049</v>
      </c>
      <c r="B193" s="31">
        <f t="shared" si="11"/>
        <v>-79047.06946721235</v>
      </c>
      <c r="C193" s="31">
        <f t="shared" si="12"/>
        <v>91849.949859484463</v>
      </c>
      <c r="D193" s="31">
        <f t="shared" si="13"/>
        <v>-249944.08879390918</v>
      </c>
      <c r="E193" t="s">
        <v>167</v>
      </c>
    </row>
    <row r="194" spans="1:5" x14ac:dyDescent="0.3">
      <c r="A194">
        <v>2050</v>
      </c>
      <c r="B194" s="31">
        <f t="shared" si="11"/>
        <v>-80124.733733806788</v>
      </c>
      <c r="C194" s="31">
        <f t="shared" si="12"/>
        <v>90284.225965408026</v>
      </c>
      <c r="D194" s="31">
        <f t="shared" si="13"/>
        <v>-250533.6934330216</v>
      </c>
      <c r="E194" t="s">
        <v>167</v>
      </c>
    </row>
    <row r="195" spans="1:5" x14ac:dyDescent="0.3">
      <c r="A195">
        <v>2020</v>
      </c>
      <c r="B195" s="31">
        <f>Q3</f>
        <v>67983.326861575872</v>
      </c>
      <c r="C195" s="31">
        <f>R3</f>
        <v>177841.63732197956</v>
      </c>
      <c r="D195" s="31">
        <f>S3</f>
        <v>-41874.983598827836</v>
      </c>
      <c r="E195" t="s">
        <v>176</v>
      </c>
    </row>
    <row r="196" spans="1:5" x14ac:dyDescent="0.3">
      <c r="A196">
        <v>2021</v>
      </c>
      <c r="B196" s="31">
        <f t="shared" ref="B196:B225" si="14">Q4</f>
        <v>68432.381002170732</v>
      </c>
      <c r="C196" s="31">
        <f t="shared" ref="C196:C225" si="15">R4</f>
        <v>184048.61991832865</v>
      </c>
      <c r="D196" s="31">
        <f t="shared" ref="D196:D225" si="16">S4</f>
        <v>-47183.857913987173</v>
      </c>
      <c r="E196" t="s">
        <v>176</v>
      </c>
    </row>
    <row r="197" spans="1:5" x14ac:dyDescent="0.3">
      <c r="A197">
        <v>2022</v>
      </c>
      <c r="B197" s="31">
        <f t="shared" si="14"/>
        <v>64172.43007616324</v>
      </c>
      <c r="C197" s="31">
        <f t="shared" si="15"/>
        <v>185546.59744807534</v>
      </c>
      <c r="D197" s="31">
        <f t="shared" si="16"/>
        <v>-57201.737295748862</v>
      </c>
      <c r="E197" t="s">
        <v>176</v>
      </c>
    </row>
    <row r="198" spans="1:5" x14ac:dyDescent="0.3">
      <c r="A198">
        <v>2023</v>
      </c>
      <c r="B198" s="31">
        <f t="shared" si="14"/>
        <v>21825.810962083371</v>
      </c>
      <c r="C198" s="31">
        <f t="shared" si="15"/>
        <v>148957.90678974969</v>
      </c>
      <c r="D198" s="31">
        <f t="shared" si="16"/>
        <v>-105306.28486558293</v>
      </c>
      <c r="E198" t="s">
        <v>176</v>
      </c>
    </row>
    <row r="199" spans="1:5" x14ac:dyDescent="0.3">
      <c r="A199">
        <v>2024</v>
      </c>
      <c r="B199" s="31">
        <f t="shared" si="14"/>
        <v>-46374.175808978522</v>
      </c>
      <c r="C199" s="31">
        <f t="shared" si="15"/>
        <v>86515.848474441969</v>
      </c>
      <c r="D199" s="31">
        <f t="shared" si="16"/>
        <v>-179264.20009239903</v>
      </c>
      <c r="E199" t="s">
        <v>176</v>
      </c>
    </row>
    <row r="200" spans="1:5" x14ac:dyDescent="0.3">
      <c r="A200">
        <v>2025</v>
      </c>
      <c r="B200" s="31">
        <f t="shared" si="14"/>
        <v>-55765.010448777735</v>
      </c>
      <c r="C200" s="31">
        <f t="shared" si="15"/>
        <v>82882.942290396983</v>
      </c>
      <c r="D200" s="31">
        <f t="shared" si="16"/>
        <v>-194412.96318795244</v>
      </c>
      <c r="E200" t="s">
        <v>176</v>
      </c>
    </row>
    <row r="201" spans="1:5" x14ac:dyDescent="0.3">
      <c r="A201">
        <v>2026</v>
      </c>
      <c r="B201" s="31">
        <f t="shared" si="14"/>
        <v>-65337.883671964359</v>
      </c>
      <c r="C201" s="31">
        <f t="shared" si="15"/>
        <v>77446.222200743548</v>
      </c>
      <c r="D201" s="31">
        <f t="shared" si="16"/>
        <v>-208121.98954467225</v>
      </c>
      <c r="E201" t="s">
        <v>176</v>
      </c>
    </row>
    <row r="202" spans="1:5" x14ac:dyDescent="0.3">
      <c r="A202">
        <v>2027</v>
      </c>
      <c r="B202" s="31">
        <f t="shared" si="14"/>
        <v>-74999.670309469424</v>
      </c>
      <c r="C202" s="31">
        <f t="shared" si="15"/>
        <v>71920.588696771767</v>
      </c>
      <c r="D202" s="31">
        <f t="shared" si="16"/>
        <v>-221919.92931571061</v>
      </c>
      <c r="E202" t="s">
        <v>176</v>
      </c>
    </row>
    <row r="203" spans="1:5" x14ac:dyDescent="0.3">
      <c r="A203">
        <v>2028</v>
      </c>
      <c r="B203" s="31">
        <f t="shared" si="14"/>
        <v>-84667.149026299798</v>
      </c>
      <c r="C203" s="31">
        <f t="shared" si="15"/>
        <v>66389.26311347459</v>
      </c>
      <c r="D203" s="31">
        <f t="shared" si="16"/>
        <v>-235723.56116607419</v>
      </c>
      <c r="E203" t="s">
        <v>176</v>
      </c>
    </row>
    <row r="204" spans="1:5" x14ac:dyDescent="0.3">
      <c r="A204">
        <v>2029</v>
      </c>
      <c r="B204" s="31">
        <f t="shared" si="14"/>
        <v>-94268.290694692012</v>
      </c>
      <c r="C204" s="31">
        <f t="shared" si="15"/>
        <v>60924.274578615688</v>
      </c>
      <c r="D204" s="31">
        <f t="shared" si="16"/>
        <v>-249460.85596799973</v>
      </c>
      <c r="E204" t="s">
        <v>176</v>
      </c>
    </row>
    <row r="205" spans="1:5" x14ac:dyDescent="0.3">
      <c r="A205">
        <v>2030</v>
      </c>
      <c r="B205" s="31">
        <f t="shared" si="14"/>
        <v>-103742.71859298245</v>
      </c>
      <c r="C205" s="31">
        <f t="shared" si="15"/>
        <v>55585.999813858565</v>
      </c>
      <c r="D205" s="31">
        <f t="shared" si="16"/>
        <v>-263071.43699982343</v>
      </c>
      <c r="E205" t="s">
        <v>176</v>
      </c>
    </row>
    <row r="206" spans="1:5" x14ac:dyDescent="0.3">
      <c r="A206">
        <v>2031</v>
      </c>
      <c r="B206" s="31">
        <f t="shared" si="14"/>
        <v>-113041.49826971843</v>
      </c>
      <c r="C206" s="31">
        <f t="shared" si="15"/>
        <v>49407.08595570788</v>
      </c>
      <c r="D206" s="31">
        <f t="shared" si="16"/>
        <v>-275490.08249514474</v>
      </c>
      <c r="E206" t="s">
        <v>176</v>
      </c>
    </row>
    <row r="207" spans="1:5" x14ac:dyDescent="0.3">
      <c r="A207">
        <v>2032</v>
      </c>
      <c r="B207" s="31">
        <f t="shared" si="14"/>
        <v>-122126.43322376872</v>
      </c>
      <c r="C207" s="31">
        <f t="shared" si="15"/>
        <v>43442.016820242978</v>
      </c>
      <c r="D207" s="31">
        <f t="shared" si="16"/>
        <v>-287694.88326778042</v>
      </c>
      <c r="E207" t="s">
        <v>176</v>
      </c>
    </row>
    <row r="208" spans="1:5" x14ac:dyDescent="0.3">
      <c r="A208">
        <v>2033</v>
      </c>
      <c r="B208" s="31">
        <f t="shared" si="14"/>
        <v>-130969.0361228088</v>
      </c>
      <c r="C208" s="31">
        <f t="shared" si="15"/>
        <v>37719.279739788195</v>
      </c>
      <c r="D208" s="31">
        <f t="shared" si="16"/>
        <v>-299657.35198540578</v>
      </c>
      <c r="E208" t="s">
        <v>176</v>
      </c>
    </row>
    <row r="209" spans="1:5" x14ac:dyDescent="0.3">
      <c r="A209">
        <v>2034</v>
      </c>
      <c r="B209" s="31">
        <f t="shared" si="14"/>
        <v>-139549.32307847525</v>
      </c>
      <c r="C209" s="31">
        <f t="shared" si="15"/>
        <v>32258.858602707158</v>
      </c>
      <c r="D209" s="31">
        <f t="shared" si="16"/>
        <v>-311357.50475965766</v>
      </c>
      <c r="E209" t="s">
        <v>176</v>
      </c>
    </row>
    <row r="210" spans="1:5" x14ac:dyDescent="0.3">
      <c r="A210">
        <v>2035</v>
      </c>
      <c r="B210" s="31">
        <f t="shared" si="14"/>
        <v>-147854.54866183086</v>
      </c>
      <c r="C210" s="31">
        <f t="shared" si="15"/>
        <v>27073.498837936844</v>
      </c>
      <c r="D210" s="31">
        <f t="shared" si="16"/>
        <v>-322782.59616159857</v>
      </c>
      <c r="E210" t="s">
        <v>176</v>
      </c>
    </row>
    <row r="211" spans="1:5" x14ac:dyDescent="0.3">
      <c r="A211">
        <v>2036</v>
      </c>
      <c r="B211" s="31">
        <f t="shared" si="14"/>
        <v>-155877.96810340422</v>
      </c>
      <c r="C211" s="31">
        <f t="shared" si="15"/>
        <v>18821.052474185475</v>
      </c>
      <c r="D211" s="31">
        <f t="shared" si="16"/>
        <v>-330576.98868099391</v>
      </c>
      <c r="E211" t="s">
        <v>176</v>
      </c>
    </row>
    <row r="212" spans="1:5" x14ac:dyDescent="0.3">
      <c r="A212">
        <v>2037</v>
      </c>
      <c r="B212" s="31">
        <f t="shared" si="14"/>
        <v>-163617.6845212245</v>
      </c>
      <c r="C212" s="31">
        <f t="shared" si="15"/>
        <v>10852.309134187293</v>
      </c>
      <c r="D212" s="31">
        <f t="shared" si="16"/>
        <v>-338087.67817663628</v>
      </c>
      <c r="E212" t="s">
        <v>176</v>
      </c>
    </row>
    <row r="213" spans="1:5" x14ac:dyDescent="0.3">
      <c r="A213">
        <v>2038</v>
      </c>
      <c r="B213" s="31">
        <f t="shared" si="14"/>
        <v>-171075.61517635424</v>
      </c>
      <c r="C213" s="31">
        <f t="shared" si="15"/>
        <v>3165.3515568796429</v>
      </c>
      <c r="D213" s="31">
        <f t="shared" si="16"/>
        <v>-345316.58190958813</v>
      </c>
      <c r="E213" t="s">
        <v>176</v>
      </c>
    </row>
    <row r="214" spans="1:5" x14ac:dyDescent="0.3">
      <c r="A214">
        <v>2039</v>
      </c>
      <c r="B214" s="31">
        <f t="shared" si="14"/>
        <v>-178256.59234929577</v>
      </c>
      <c r="C214" s="31">
        <f t="shared" si="15"/>
        <v>-4244.6525382398686</v>
      </c>
      <c r="D214" s="31">
        <f t="shared" si="16"/>
        <v>-352268.53216035163</v>
      </c>
      <c r="E214" t="s">
        <v>176</v>
      </c>
    </row>
    <row r="215" spans="1:5" x14ac:dyDescent="0.3">
      <c r="A215">
        <v>2040</v>
      </c>
      <c r="B215" s="31">
        <f t="shared" si="14"/>
        <v>-185167.60121913586</v>
      </c>
      <c r="C215" s="31">
        <f t="shared" si="15"/>
        <v>-11384.688330257864</v>
      </c>
      <c r="D215" s="31">
        <f t="shared" si="16"/>
        <v>-358950.51410801383</v>
      </c>
      <c r="E215" t="s">
        <v>176</v>
      </c>
    </row>
    <row r="216" spans="1:5" x14ac:dyDescent="0.3">
      <c r="A216">
        <v>2041</v>
      </c>
      <c r="B216" s="31">
        <f t="shared" si="14"/>
        <v>-191817.14837376343</v>
      </c>
      <c r="C216" s="31">
        <f t="shared" si="15"/>
        <v>-18220.966495336121</v>
      </c>
      <c r="D216" s="31">
        <f t="shared" si="16"/>
        <v>-365413.3302521907</v>
      </c>
      <c r="E216" t="s">
        <v>176</v>
      </c>
    </row>
    <row r="217" spans="1:5" x14ac:dyDescent="0.3">
      <c r="A217">
        <v>2042</v>
      </c>
      <c r="B217" s="31">
        <f t="shared" si="14"/>
        <v>-198214.74936372216</v>
      </c>
      <c r="C217" s="31">
        <f t="shared" si="15"/>
        <v>-24805.298495745577</v>
      </c>
      <c r="D217" s="31">
        <f t="shared" si="16"/>
        <v>-371624.20023169875</v>
      </c>
      <c r="E217" t="s">
        <v>176</v>
      </c>
    </row>
    <row r="218" spans="1:5" x14ac:dyDescent="0.3">
      <c r="A218">
        <v>2043</v>
      </c>
      <c r="B218" s="31">
        <f t="shared" si="14"/>
        <v>-204370.52112479089</v>
      </c>
      <c r="C218" s="31">
        <f t="shared" si="15"/>
        <v>-31147.801267264877</v>
      </c>
      <c r="D218" s="31">
        <f t="shared" si="16"/>
        <v>-377593.2409823169</v>
      </c>
      <c r="E218" t="s">
        <v>176</v>
      </c>
    </row>
    <row r="219" spans="1:5" x14ac:dyDescent="0.3">
      <c r="A219">
        <v>2044</v>
      </c>
      <c r="B219" s="31">
        <f t="shared" si="14"/>
        <v>-210294.86433954781</v>
      </c>
      <c r="C219" s="31">
        <f t="shared" si="15"/>
        <v>-37258.875492472522</v>
      </c>
      <c r="D219" s="31">
        <f t="shared" si="16"/>
        <v>-383330.85318662308</v>
      </c>
      <c r="E219" t="s">
        <v>176</v>
      </c>
    </row>
    <row r="220" spans="1:5" x14ac:dyDescent="0.3">
      <c r="A220">
        <v>2045</v>
      </c>
      <c r="B220" s="31">
        <f t="shared" si="14"/>
        <v>-215998.22124428247</v>
      </c>
      <c r="C220" s="31">
        <f t="shared" si="15"/>
        <v>-43148.963407657866</v>
      </c>
      <c r="D220" s="31">
        <f t="shared" si="16"/>
        <v>-388847.47908090707</v>
      </c>
      <c r="E220" t="s">
        <v>176</v>
      </c>
    </row>
    <row r="221" spans="1:5" x14ac:dyDescent="0.3">
      <c r="A221">
        <v>2046</v>
      </c>
      <c r="B221" s="31">
        <f t="shared" si="14"/>
        <v>-221490.89552881001</v>
      </c>
      <c r="C221" s="31">
        <f t="shared" si="15"/>
        <v>-49129.697319667408</v>
      </c>
      <c r="D221" s="31">
        <f t="shared" si="16"/>
        <v>-393852.09373795264</v>
      </c>
      <c r="E221" t="s">
        <v>176</v>
      </c>
    </row>
    <row r="222" spans="1:5" x14ac:dyDescent="0.3">
      <c r="A222">
        <v>2047</v>
      </c>
      <c r="B222" s="31">
        <f t="shared" si="14"/>
        <v>-226782.92247512363</v>
      </c>
      <c r="C222" s="31">
        <f t="shared" si="15"/>
        <v>-54909.783893463027</v>
      </c>
      <c r="D222" s="31">
        <f t="shared" si="16"/>
        <v>-398656.06105678424</v>
      </c>
      <c r="E222" t="s">
        <v>176</v>
      </c>
    </row>
    <row r="223" spans="1:5" x14ac:dyDescent="0.3">
      <c r="A223">
        <v>2048</v>
      </c>
      <c r="B223" s="31">
        <f t="shared" si="14"/>
        <v>-231883.97910065568</v>
      </c>
      <c r="C223" s="31">
        <f t="shared" si="15"/>
        <v>-60498.900146476983</v>
      </c>
      <c r="D223" s="31">
        <f t="shared" si="16"/>
        <v>-403269.05805483437</v>
      </c>
      <c r="E223" t="s">
        <v>176</v>
      </c>
    </row>
    <row r="224" spans="1:5" x14ac:dyDescent="0.3">
      <c r="A224">
        <v>2049</v>
      </c>
      <c r="B224" s="31">
        <f t="shared" si="14"/>
        <v>-236803.32566333542</v>
      </c>
      <c r="C224" s="31">
        <f t="shared" si="15"/>
        <v>-65906.306336638605</v>
      </c>
      <c r="D224" s="31">
        <f t="shared" si="16"/>
        <v>-407700.34499003226</v>
      </c>
      <c r="E224" t="s">
        <v>176</v>
      </c>
    </row>
    <row r="225" spans="1:5" x14ac:dyDescent="0.3">
      <c r="A225">
        <v>2050</v>
      </c>
      <c r="B225" s="31">
        <f t="shared" si="14"/>
        <v>-241549.77136112496</v>
      </c>
      <c r="C225" s="31">
        <f t="shared" si="15"/>
        <v>-71140.811661910149</v>
      </c>
      <c r="D225" s="31">
        <f t="shared" si="16"/>
        <v>-411958.73106033978</v>
      </c>
      <c r="E225" t="s">
        <v>176</v>
      </c>
    </row>
    <row r="226" spans="1:5" x14ac:dyDescent="0.3">
      <c r="A226">
        <v>2020</v>
      </c>
      <c r="B226" s="31">
        <f>T3</f>
        <v>67983.326861575872</v>
      </c>
      <c r="C226" s="31">
        <f>U3</f>
        <v>177841.63732197956</v>
      </c>
      <c r="D226" s="31">
        <f>V3</f>
        <v>-41874.983598827836</v>
      </c>
      <c r="E226" t="s">
        <v>177</v>
      </c>
    </row>
    <row r="227" spans="1:5" x14ac:dyDescent="0.3">
      <c r="A227">
        <v>2021</v>
      </c>
      <c r="B227" s="31">
        <f t="shared" ref="B227:B256" si="17">T4</f>
        <v>64578.950170614102</v>
      </c>
      <c r="C227" s="31">
        <f t="shared" ref="C227:C256" si="18">U4</f>
        <v>180195.18908677201</v>
      </c>
      <c r="D227" s="31">
        <f t="shared" ref="D227:D256" si="19">V4</f>
        <v>-51037.288745543803</v>
      </c>
      <c r="E227" t="s">
        <v>177</v>
      </c>
    </row>
    <row r="228" spans="1:5" x14ac:dyDescent="0.3">
      <c r="A228">
        <v>2022</v>
      </c>
      <c r="B228" s="31">
        <f t="shared" si="17"/>
        <v>56316.356498480156</v>
      </c>
      <c r="C228" s="31">
        <f t="shared" si="18"/>
        <v>177690.52387039227</v>
      </c>
      <c r="D228" s="31">
        <f t="shared" si="19"/>
        <v>-65057.810873431947</v>
      </c>
      <c r="E228" t="s">
        <v>177</v>
      </c>
    </row>
    <row r="229" spans="1:5" x14ac:dyDescent="0.3">
      <c r="A229">
        <v>2023</v>
      </c>
      <c r="B229" s="31">
        <f t="shared" si="17"/>
        <v>11183.445974450569</v>
      </c>
      <c r="C229" s="31">
        <f t="shared" si="18"/>
        <v>138315.54180211687</v>
      </c>
      <c r="D229" s="31">
        <f t="shared" si="19"/>
        <v>-115948.64985321573</v>
      </c>
      <c r="E229" t="s">
        <v>177</v>
      </c>
    </row>
    <row r="230" spans="1:5" x14ac:dyDescent="0.3">
      <c r="A230">
        <v>2024</v>
      </c>
      <c r="B230" s="31">
        <f t="shared" si="17"/>
        <v>-57875.922163570081</v>
      </c>
      <c r="C230" s="31">
        <f t="shared" si="18"/>
        <v>75014.102119850417</v>
      </c>
      <c r="D230" s="31">
        <f t="shared" si="19"/>
        <v>-190765.94644699059</v>
      </c>
      <c r="E230" t="s">
        <v>177</v>
      </c>
    </row>
    <row r="231" spans="1:5" x14ac:dyDescent="0.3">
      <c r="A231">
        <v>2025</v>
      </c>
      <c r="B231" s="31">
        <f t="shared" si="17"/>
        <v>-70113.121083341874</v>
      </c>
      <c r="C231" s="31">
        <f t="shared" si="18"/>
        <v>68534.831655832837</v>
      </c>
      <c r="D231" s="31">
        <f t="shared" si="19"/>
        <v>-208761.0738225166</v>
      </c>
      <c r="E231" t="s">
        <v>177</v>
      </c>
    </row>
    <row r="232" spans="1:5" x14ac:dyDescent="0.3">
      <c r="A232">
        <v>2026</v>
      </c>
      <c r="B232" s="31">
        <f t="shared" si="17"/>
        <v>-82440.683667624369</v>
      </c>
      <c r="C232" s="31">
        <f t="shared" si="18"/>
        <v>60343.422205083538</v>
      </c>
      <c r="D232" s="31">
        <f t="shared" si="19"/>
        <v>-225224.78954033228</v>
      </c>
      <c r="E232" t="s">
        <v>177</v>
      </c>
    </row>
    <row r="233" spans="1:5" x14ac:dyDescent="0.3">
      <c r="A233">
        <v>2027</v>
      </c>
      <c r="B233" s="31">
        <f t="shared" si="17"/>
        <v>-94735.84717317429</v>
      </c>
      <c r="C233" s="31">
        <f t="shared" si="18"/>
        <v>52184.411833066901</v>
      </c>
      <c r="D233" s="31">
        <f t="shared" si="19"/>
        <v>-241656.10617941548</v>
      </c>
      <c r="E233" t="s">
        <v>177</v>
      </c>
    </row>
    <row r="234" spans="1:5" x14ac:dyDescent="0.3">
      <c r="A234">
        <v>2028</v>
      </c>
      <c r="B234" s="31">
        <f t="shared" si="17"/>
        <v>-106892.2382181898</v>
      </c>
      <c r="C234" s="31">
        <f t="shared" si="18"/>
        <v>44164.173921584588</v>
      </c>
      <c r="D234" s="31">
        <f t="shared" si="19"/>
        <v>-257948.65035796419</v>
      </c>
      <c r="E234" t="s">
        <v>177</v>
      </c>
    </row>
    <row r="235" spans="1:5" x14ac:dyDescent="0.3">
      <c r="A235">
        <v>2029</v>
      </c>
      <c r="B235" s="31">
        <f t="shared" si="17"/>
        <v>-118820.91817824112</v>
      </c>
      <c r="C235" s="31">
        <f t="shared" si="18"/>
        <v>36371.647095066583</v>
      </c>
      <c r="D235" s="31">
        <f t="shared" si="19"/>
        <v>-274013.48345154885</v>
      </c>
      <c r="E235" t="s">
        <v>177</v>
      </c>
    </row>
    <row r="236" spans="1:5" x14ac:dyDescent="0.3">
      <c r="A236">
        <v>2030</v>
      </c>
      <c r="B236" s="31">
        <f t="shared" si="17"/>
        <v>-130450.33173914257</v>
      </c>
      <c r="C236" s="31">
        <f t="shared" si="18"/>
        <v>28878.386667698447</v>
      </c>
      <c r="D236" s="31">
        <f t="shared" si="19"/>
        <v>-289779.05014598358</v>
      </c>
      <c r="E236" t="s">
        <v>177</v>
      </c>
    </row>
    <row r="237" spans="1:5" x14ac:dyDescent="0.3">
      <c r="A237">
        <v>2031</v>
      </c>
      <c r="B237" s="31">
        <f t="shared" si="17"/>
        <v>-141725.41256291722</v>
      </c>
      <c r="C237" s="31">
        <f t="shared" si="18"/>
        <v>20723.171662509092</v>
      </c>
      <c r="D237" s="31">
        <f t="shared" si="19"/>
        <v>-304173.99678834353</v>
      </c>
      <c r="E237" t="s">
        <v>177</v>
      </c>
    </row>
    <row r="238" spans="1:5" x14ac:dyDescent="0.3">
      <c r="A238">
        <v>2032</v>
      </c>
      <c r="B238" s="31">
        <f t="shared" si="17"/>
        <v>-152606.10859996031</v>
      </c>
      <c r="C238" s="31">
        <f t="shared" si="18"/>
        <v>12962.341444051388</v>
      </c>
      <c r="D238" s="31">
        <f t="shared" si="19"/>
        <v>-318174.55864397204</v>
      </c>
      <c r="E238" t="s">
        <v>177</v>
      </c>
    </row>
    <row r="239" spans="1:5" x14ac:dyDescent="0.3">
      <c r="A239">
        <v>2033</v>
      </c>
      <c r="B239" s="31">
        <f t="shared" si="17"/>
        <v>-163065.56681369987</v>
      </c>
      <c r="C239" s="31">
        <f t="shared" si="18"/>
        <v>5622.7490488971234</v>
      </c>
      <c r="D239" s="31">
        <f t="shared" si="19"/>
        <v>-331753.88267629687</v>
      </c>
      <c r="E239" t="s">
        <v>177</v>
      </c>
    </row>
    <row r="240" spans="1:5" x14ac:dyDescent="0.3">
      <c r="A240">
        <v>2034</v>
      </c>
      <c r="B240" s="31">
        <f t="shared" si="17"/>
        <v>-173088.17624459649</v>
      </c>
      <c r="C240" s="31">
        <f t="shared" si="18"/>
        <v>-1279.9945634140749</v>
      </c>
      <c r="D240" s="31">
        <f t="shared" si="19"/>
        <v>-344896.3579257789</v>
      </c>
      <c r="E240" t="s">
        <v>177</v>
      </c>
    </row>
    <row r="241" spans="1:5" x14ac:dyDescent="0.3">
      <c r="A241">
        <v>2035</v>
      </c>
      <c r="B241" s="31">
        <f t="shared" si="17"/>
        <v>-182667.6206814734</v>
      </c>
      <c r="C241" s="31">
        <f t="shared" si="18"/>
        <v>-7739.5731817056949</v>
      </c>
      <c r="D241" s="31">
        <f t="shared" si="19"/>
        <v>-357595.66818124114</v>
      </c>
      <c r="E241" t="s">
        <v>177</v>
      </c>
    </row>
    <row r="242" spans="1:5" x14ac:dyDescent="0.3">
      <c r="A242">
        <v>2036</v>
      </c>
      <c r="B242" s="31">
        <f t="shared" si="17"/>
        <v>-191805.04579044884</v>
      </c>
      <c r="C242" s="31">
        <f t="shared" si="18"/>
        <v>-17106.025212859153</v>
      </c>
      <c r="D242" s="31">
        <f t="shared" si="19"/>
        <v>-366504.06636803853</v>
      </c>
      <c r="E242" t="s">
        <v>177</v>
      </c>
    </row>
    <row r="243" spans="1:5" x14ac:dyDescent="0.3">
      <c r="A243">
        <v>2037</v>
      </c>
      <c r="B243" s="31">
        <f t="shared" si="17"/>
        <v>-200507.40518622965</v>
      </c>
      <c r="C243" s="31">
        <f t="shared" si="18"/>
        <v>-26037.411530817859</v>
      </c>
      <c r="D243" s="31">
        <f t="shared" si="19"/>
        <v>-374977.39884164144</v>
      </c>
      <c r="E243" t="s">
        <v>177</v>
      </c>
    </row>
    <row r="244" spans="1:5" x14ac:dyDescent="0.3">
      <c r="A244">
        <v>2038</v>
      </c>
      <c r="B244" s="31">
        <f t="shared" si="17"/>
        <v>-208786.01775380355</v>
      </c>
      <c r="C244" s="31">
        <f t="shared" si="18"/>
        <v>-34545.051020569663</v>
      </c>
      <c r="D244" s="31">
        <f t="shared" si="19"/>
        <v>-383026.98448703741</v>
      </c>
      <c r="E244" t="s">
        <v>177</v>
      </c>
    </row>
    <row r="245" spans="1:5" x14ac:dyDescent="0.3">
      <c r="A245">
        <v>2039</v>
      </c>
      <c r="B245" s="31">
        <f t="shared" si="17"/>
        <v>-216655.34480140757</v>
      </c>
      <c r="C245" s="31">
        <f t="shared" si="18"/>
        <v>-42643.404990351672</v>
      </c>
      <c r="D245" s="31">
        <f t="shared" si="19"/>
        <v>-390667.28461246344</v>
      </c>
      <c r="E245" t="s">
        <v>177</v>
      </c>
    </row>
    <row r="246" spans="1:5" x14ac:dyDescent="0.3">
      <c r="A246">
        <v>2040</v>
      </c>
      <c r="B246" s="31">
        <f t="shared" si="17"/>
        <v>-224131.97949322494</v>
      </c>
      <c r="C246" s="31">
        <f t="shared" si="18"/>
        <v>-50349.066604346939</v>
      </c>
      <c r="D246" s="31">
        <f t="shared" si="19"/>
        <v>-397914.8923821029</v>
      </c>
      <c r="E246" t="s">
        <v>177</v>
      </c>
    </row>
    <row r="247" spans="1:5" x14ac:dyDescent="0.3">
      <c r="A247">
        <v>2041</v>
      </c>
      <c r="B247" s="31">
        <f t="shared" si="17"/>
        <v>-231233.8310987115</v>
      </c>
      <c r="C247" s="31">
        <f t="shared" si="18"/>
        <v>-57637.649220284191</v>
      </c>
      <c r="D247" s="31">
        <f t="shared" si="19"/>
        <v>-404830.0129771388</v>
      </c>
      <c r="E247" t="s">
        <v>177</v>
      </c>
    </row>
    <row r="248" spans="1:5" x14ac:dyDescent="0.3">
      <c r="A248">
        <v>2042</v>
      </c>
      <c r="B248" s="31">
        <f t="shared" si="17"/>
        <v>-237979.48141596129</v>
      </c>
      <c r="C248" s="31">
        <f t="shared" si="18"/>
        <v>-64570.030547984701</v>
      </c>
      <c r="D248" s="31">
        <f t="shared" si="19"/>
        <v>-411388.93228393787</v>
      </c>
      <c r="E248" t="s">
        <v>177</v>
      </c>
    </row>
    <row r="249" spans="1:5" x14ac:dyDescent="0.3">
      <c r="A249">
        <v>2043</v>
      </c>
      <c r="B249" s="31">
        <f t="shared" si="17"/>
        <v>-244387.68891034284</v>
      </c>
      <c r="C249" s="31">
        <f t="shared" si="18"/>
        <v>-71164.969052816828</v>
      </c>
      <c r="D249" s="31">
        <f t="shared" si="19"/>
        <v>-417610.40876786888</v>
      </c>
      <c r="E249" t="s">
        <v>177</v>
      </c>
    </row>
    <row r="250" spans="1:5" x14ac:dyDescent="0.3">
      <c r="A250">
        <v>2044</v>
      </c>
      <c r="B250" s="31">
        <f t="shared" si="17"/>
        <v>-250477.01651784524</v>
      </c>
      <c r="C250" s="31">
        <f t="shared" si="18"/>
        <v>-77441.027670769952</v>
      </c>
      <c r="D250" s="31">
        <f t="shared" si="19"/>
        <v>-423513.00536492054</v>
      </c>
      <c r="E250" t="s">
        <v>177</v>
      </c>
    </row>
    <row r="251" spans="1:5" x14ac:dyDescent="0.3">
      <c r="A251">
        <v>2045</v>
      </c>
      <c r="B251" s="31">
        <f t="shared" si="17"/>
        <v>-256265.56081420238</v>
      </c>
      <c r="C251" s="31">
        <f t="shared" si="18"/>
        <v>-83416.302977577783</v>
      </c>
      <c r="D251" s="31">
        <f t="shared" si="19"/>
        <v>-429114.81865082699</v>
      </c>
      <c r="E251" t="s">
        <v>177</v>
      </c>
    </row>
    <row r="252" spans="1:5" x14ac:dyDescent="0.3">
      <c r="A252">
        <v>2046</v>
      </c>
      <c r="B252" s="31">
        <f t="shared" si="17"/>
        <v>-261770.76270517946</v>
      </c>
      <c r="C252" s="31">
        <f t="shared" si="18"/>
        <v>-89409.564496036852</v>
      </c>
      <c r="D252" s="31">
        <f t="shared" si="19"/>
        <v>-434131.96091432206</v>
      </c>
      <c r="E252" t="s">
        <v>177</v>
      </c>
    </row>
    <row r="253" spans="1:5" x14ac:dyDescent="0.3">
      <c r="A253">
        <v>2047</v>
      </c>
      <c r="B253" s="31">
        <f t="shared" si="17"/>
        <v>-267009.28251110861</v>
      </c>
      <c r="C253" s="31">
        <f t="shared" si="18"/>
        <v>-95136.143929448008</v>
      </c>
      <c r="D253" s="31">
        <f t="shared" si="19"/>
        <v>-438882.42109276925</v>
      </c>
      <c r="E253" t="s">
        <v>177</v>
      </c>
    </row>
    <row r="254" spans="1:5" x14ac:dyDescent="0.3">
      <c r="A254">
        <v>2048</v>
      </c>
      <c r="B254" s="31">
        <f t="shared" si="17"/>
        <v>-271996.9250176294</v>
      </c>
      <c r="C254" s="31">
        <f t="shared" si="18"/>
        <v>-100611.84606345071</v>
      </c>
      <c r="D254" s="31">
        <f t="shared" si="19"/>
        <v>-443382.00397180812</v>
      </c>
      <c r="E254" t="s">
        <v>177</v>
      </c>
    </row>
    <row r="255" spans="1:5" x14ac:dyDescent="0.3">
      <c r="A255">
        <v>2049</v>
      </c>
      <c r="B255" s="31">
        <f t="shared" si="17"/>
        <v>-276748.60257807816</v>
      </c>
      <c r="C255" s="31">
        <f t="shared" si="18"/>
        <v>-105851.58325138135</v>
      </c>
      <c r="D255" s="31">
        <f t="shared" si="19"/>
        <v>-447645.62190477498</v>
      </c>
      <c r="E255" t="s">
        <v>177</v>
      </c>
    </row>
    <row r="256" spans="1:5" x14ac:dyDescent="0.3">
      <c r="A256">
        <v>2050</v>
      </c>
      <c r="B256" s="31">
        <f t="shared" si="17"/>
        <v>-281278.3265954068</v>
      </c>
      <c r="C256" s="31">
        <f t="shared" si="18"/>
        <v>-110869.36689619199</v>
      </c>
      <c r="D256" s="31">
        <f t="shared" si="19"/>
        <v>-451687.28629462165</v>
      </c>
      <c r="E256" t="s">
        <v>177</v>
      </c>
    </row>
  </sheetData>
  <mergeCells count="8">
    <mergeCell ref="B38:D38"/>
    <mergeCell ref="T1:V1"/>
    <mergeCell ref="B1:D1"/>
    <mergeCell ref="E1:G1"/>
    <mergeCell ref="H1:J1"/>
    <mergeCell ref="K1:M1"/>
    <mergeCell ref="N1:P1"/>
    <mergeCell ref="Q1:S1"/>
  </mergeCells>
  <phoneticPr fontId="1" type="noConversion"/>
  <conditionalFormatting sqref="C3:V33 B3:B34 B40:D256">
    <cfRule type="cellIs" dxfId="1" priority="5" operator="lessThan">
      <formula>0</formula>
    </cfRule>
    <cfRule type="cellIs" dxfId="0" priority="7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D62E-6AB1-4B84-B0FC-87788F7925C0}">
  <dimension ref="A1:H39"/>
  <sheetViews>
    <sheetView zoomScale="115" zoomScaleNormal="115" workbookViewId="0">
      <selection activeCell="B36" sqref="B36:B39"/>
    </sheetView>
  </sheetViews>
  <sheetFormatPr defaultColWidth="8.83203125" defaultRowHeight="14" x14ac:dyDescent="0.3"/>
  <cols>
    <col min="1" max="1" width="21.83203125" bestFit="1" customWidth="1"/>
    <col min="2" max="5" width="13.33203125" bestFit="1" customWidth="1"/>
    <col min="6" max="8" width="11.1640625" bestFit="1" customWidth="1"/>
  </cols>
  <sheetData>
    <row r="1" spans="1:8" x14ac:dyDescent="0.3"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</row>
    <row r="2" spans="1:8" x14ac:dyDescent="0.3">
      <c r="A2" t="s">
        <v>159</v>
      </c>
      <c r="B2" s="29">
        <f>Best!AC116*Production!$B$3/1000</f>
        <v>102043.26849653358</v>
      </c>
      <c r="C2" s="29">
        <f>Best!AD116*Production!$B$8/1000</f>
        <v>126062.31396718517</v>
      </c>
      <c r="D2" s="29">
        <f>Best!AE116*Production!$B$13/1000</f>
        <v>127353.89553856317</v>
      </c>
      <c r="E2" s="29">
        <f>Best!AF116*Production!$B$18/1000</f>
        <v>130165.26795442995</v>
      </c>
      <c r="F2" s="29">
        <f>Best!AG116*Production!$B$23/1000</f>
        <v>92008.247644067946</v>
      </c>
      <c r="G2" s="29">
        <f>Best!AH116*Production!$B$28/1000</f>
        <v>65222.41409539523</v>
      </c>
      <c r="H2" s="29">
        <f>Best!AI116*Production!$B$33/1000</f>
        <v>36124.52197477172</v>
      </c>
    </row>
    <row r="3" spans="1:8" x14ac:dyDescent="0.3">
      <c r="A3" t="s">
        <v>160</v>
      </c>
      <c r="B3" s="29">
        <f>Best!AC117*Production!$B$3/1000</f>
        <v>113823.4099207379</v>
      </c>
      <c r="C3" s="29">
        <f>Best!AD117*Production!$B$8/1000</f>
        <v>85412.713414085258</v>
      </c>
      <c r="D3" s="29">
        <f>Best!AE117*Production!$B$13/1000</f>
        <v>89067.968624137255</v>
      </c>
      <c r="E3" s="29">
        <f>Best!AF117*Production!$B$18/1000</f>
        <v>63831.81737784369</v>
      </c>
      <c r="F3" s="29">
        <f>Best!AG117*Production!$B$23/1000</f>
        <v>81159.014811227607</v>
      </c>
      <c r="G3" s="29">
        <f>Best!AH117*Production!$B$28/1000</f>
        <v>74907.694885472258</v>
      </c>
      <c r="H3" s="29">
        <f>Best!AI117*Production!$B$33/1000</f>
        <v>68755.110331119256</v>
      </c>
    </row>
    <row r="4" spans="1:8" x14ac:dyDescent="0.3">
      <c r="A4" t="s">
        <v>161</v>
      </c>
      <c r="B4" s="29">
        <f>Best!AC118*Production!$B$3/1000</f>
        <v>27880.211634600349</v>
      </c>
      <c r="C4" s="29">
        <f>Best!AD118*Production!$B$8/1000</f>
        <v>28898.346797150825</v>
      </c>
      <c r="D4" s="29">
        <f>Best!AE118*Production!$B$13/1000</f>
        <v>32622.599429154634</v>
      </c>
      <c r="E4" s="29">
        <f>Best!AF118*Production!$B$18/1000</f>
        <v>39071.041779298139</v>
      </c>
      <c r="F4" s="29">
        <f>Best!AG118*Production!$B$23/1000</f>
        <v>34336.305915266443</v>
      </c>
      <c r="G4" s="29">
        <f>Best!AH118*Production!$B$28/1000</f>
        <v>33856.214849571385</v>
      </c>
      <c r="H4" s="29">
        <f>Best!AI118*Production!$B$33/1000</f>
        <v>33085.813537241833</v>
      </c>
    </row>
    <row r="5" spans="1:8" x14ac:dyDescent="0.3">
      <c r="A5" t="s">
        <v>171</v>
      </c>
      <c r="B5" s="29">
        <f>Best!AC119*Production!$B$3/1000</f>
        <v>-175763.56319029597</v>
      </c>
      <c r="C5" s="29">
        <f>Best!AD119*Production!$B$8/1000</f>
        <v>-250187.91686149721</v>
      </c>
      <c r="D5" s="29">
        <f>Best!AE119*Production!$B$13/1000</f>
        <v>-296289.76421518531</v>
      </c>
      <c r="E5" s="29">
        <f>Best!AF119*Production!$B$18/1000</f>
        <v>-314473.01334612176</v>
      </c>
      <c r="F5" s="29">
        <f>Best!AG119*Production!$B$23/1000</f>
        <v>-340831.7224862494</v>
      </c>
      <c r="G5" s="29">
        <f>Best!AH119*Production!$B$28/1000</f>
        <v>-350260.15911503008</v>
      </c>
      <c r="H5" s="29">
        <f>Best!AI119*Production!$B$33/1000</f>
        <v>-356103.84614091966</v>
      </c>
    </row>
    <row r="10" spans="1:8" x14ac:dyDescent="0.3">
      <c r="B10" t="s">
        <v>214</v>
      </c>
    </row>
    <row r="11" spans="1:8" x14ac:dyDescent="0.3">
      <c r="A11" t="s">
        <v>182</v>
      </c>
      <c r="B11" t="s">
        <v>213</v>
      </c>
      <c r="C11" t="s">
        <v>179</v>
      </c>
    </row>
    <row r="12" spans="1:8" x14ac:dyDescent="0.3">
      <c r="A12" t="s">
        <v>159</v>
      </c>
      <c r="B12" s="29">
        <f>B2</f>
        <v>102043.26849653358</v>
      </c>
      <c r="C12">
        <v>2020</v>
      </c>
    </row>
    <row r="13" spans="1:8" x14ac:dyDescent="0.3">
      <c r="A13" s="40" t="s">
        <v>183</v>
      </c>
      <c r="B13" s="29">
        <f t="shared" ref="B13:B15" si="0">B3</f>
        <v>113823.4099207379</v>
      </c>
      <c r="C13">
        <v>2020</v>
      </c>
    </row>
    <row r="14" spans="1:8" x14ac:dyDescent="0.3">
      <c r="A14" t="s">
        <v>161</v>
      </c>
      <c r="B14" s="29">
        <f t="shared" si="0"/>
        <v>27880.211634600349</v>
      </c>
      <c r="C14">
        <v>2020</v>
      </c>
    </row>
    <row r="15" spans="1:8" x14ac:dyDescent="0.3">
      <c r="A15" t="s">
        <v>171</v>
      </c>
      <c r="B15" s="29">
        <f t="shared" si="0"/>
        <v>-175763.56319029597</v>
      </c>
      <c r="C15">
        <v>2020</v>
      </c>
    </row>
    <row r="16" spans="1:8" x14ac:dyDescent="0.3">
      <c r="A16" t="s">
        <v>159</v>
      </c>
      <c r="B16" s="29">
        <f>C2</f>
        <v>126062.31396718517</v>
      </c>
      <c r="C16">
        <v>2025</v>
      </c>
    </row>
    <row r="17" spans="1:3" x14ac:dyDescent="0.3">
      <c r="A17" t="s">
        <v>184</v>
      </c>
      <c r="B17" s="29">
        <f t="shared" ref="B17:B19" si="1">C3</f>
        <v>85412.713414085258</v>
      </c>
      <c r="C17">
        <v>2025</v>
      </c>
    </row>
    <row r="18" spans="1:3" x14ac:dyDescent="0.3">
      <c r="A18" t="s">
        <v>161</v>
      </c>
      <c r="B18" s="29">
        <f t="shared" si="1"/>
        <v>28898.346797150825</v>
      </c>
      <c r="C18">
        <v>2025</v>
      </c>
    </row>
    <row r="19" spans="1:3" x14ac:dyDescent="0.3">
      <c r="A19" t="s">
        <v>171</v>
      </c>
      <c r="B19" s="29">
        <f t="shared" si="1"/>
        <v>-250187.91686149721</v>
      </c>
      <c r="C19">
        <v>2025</v>
      </c>
    </row>
    <row r="20" spans="1:3" x14ac:dyDescent="0.3">
      <c r="A20" t="s">
        <v>159</v>
      </c>
      <c r="B20" s="29">
        <f>D2</f>
        <v>127353.89553856317</v>
      </c>
      <c r="C20">
        <v>2030</v>
      </c>
    </row>
    <row r="21" spans="1:3" x14ac:dyDescent="0.3">
      <c r="A21" t="s">
        <v>184</v>
      </c>
      <c r="B21" s="29">
        <f t="shared" ref="B21:B23" si="2">D3</f>
        <v>89067.968624137255</v>
      </c>
      <c r="C21">
        <v>2030</v>
      </c>
    </row>
    <row r="22" spans="1:3" x14ac:dyDescent="0.3">
      <c r="A22" t="s">
        <v>161</v>
      </c>
      <c r="B22" s="29">
        <f t="shared" si="2"/>
        <v>32622.599429154634</v>
      </c>
      <c r="C22">
        <v>2030</v>
      </c>
    </row>
    <row r="23" spans="1:3" x14ac:dyDescent="0.3">
      <c r="A23" t="s">
        <v>171</v>
      </c>
      <c r="B23" s="29">
        <f t="shared" si="2"/>
        <v>-296289.76421518531</v>
      </c>
      <c r="C23">
        <v>2030</v>
      </c>
    </row>
    <row r="24" spans="1:3" x14ac:dyDescent="0.3">
      <c r="A24" t="s">
        <v>159</v>
      </c>
      <c r="B24" s="29">
        <f>E2</f>
        <v>130165.26795442995</v>
      </c>
      <c r="C24">
        <v>2035</v>
      </c>
    </row>
    <row r="25" spans="1:3" x14ac:dyDescent="0.3">
      <c r="A25" t="s">
        <v>184</v>
      </c>
      <c r="B25" s="29">
        <f t="shared" ref="B25:B27" si="3">E3</f>
        <v>63831.81737784369</v>
      </c>
      <c r="C25">
        <v>2035</v>
      </c>
    </row>
    <row r="26" spans="1:3" x14ac:dyDescent="0.3">
      <c r="A26" t="s">
        <v>161</v>
      </c>
      <c r="B26" s="29">
        <f t="shared" si="3"/>
        <v>39071.041779298139</v>
      </c>
      <c r="C26">
        <v>2035</v>
      </c>
    </row>
    <row r="27" spans="1:3" x14ac:dyDescent="0.3">
      <c r="A27" t="s">
        <v>171</v>
      </c>
      <c r="B27" s="29">
        <f t="shared" si="3"/>
        <v>-314473.01334612176</v>
      </c>
      <c r="C27">
        <v>2035</v>
      </c>
    </row>
    <row r="28" spans="1:3" x14ac:dyDescent="0.3">
      <c r="A28" t="s">
        <v>159</v>
      </c>
      <c r="B28" s="29">
        <f>F2</f>
        <v>92008.247644067946</v>
      </c>
      <c r="C28">
        <v>2040</v>
      </c>
    </row>
    <row r="29" spans="1:3" x14ac:dyDescent="0.3">
      <c r="A29" t="s">
        <v>184</v>
      </c>
      <c r="B29" s="29">
        <f t="shared" ref="B29:B31" si="4">F3</f>
        <v>81159.014811227607</v>
      </c>
      <c r="C29">
        <v>2040</v>
      </c>
    </row>
    <row r="30" spans="1:3" x14ac:dyDescent="0.3">
      <c r="A30" t="s">
        <v>161</v>
      </c>
      <c r="B30" s="29">
        <f t="shared" si="4"/>
        <v>34336.305915266443</v>
      </c>
      <c r="C30">
        <v>2040</v>
      </c>
    </row>
    <row r="31" spans="1:3" x14ac:dyDescent="0.3">
      <c r="A31" t="s">
        <v>171</v>
      </c>
      <c r="B31" s="29">
        <f t="shared" si="4"/>
        <v>-340831.7224862494</v>
      </c>
      <c r="C31">
        <v>2040</v>
      </c>
    </row>
    <row r="32" spans="1:3" x14ac:dyDescent="0.3">
      <c r="A32" t="s">
        <v>159</v>
      </c>
      <c r="B32" s="29">
        <f>G2</f>
        <v>65222.41409539523</v>
      </c>
      <c r="C32">
        <v>2045</v>
      </c>
    </row>
    <row r="33" spans="1:3" x14ac:dyDescent="0.3">
      <c r="A33" t="s">
        <v>184</v>
      </c>
      <c r="B33" s="29">
        <f t="shared" ref="B33:B35" si="5">G3</f>
        <v>74907.694885472258</v>
      </c>
      <c r="C33">
        <v>2045</v>
      </c>
    </row>
    <row r="34" spans="1:3" x14ac:dyDescent="0.3">
      <c r="A34" t="s">
        <v>161</v>
      </c>
      <c r="B34" s="29">
        <f t="shared" si="5"/>
        <v>33856.214849571385</v>
      </c>
      <c r="C34">
        <v>2045</v>
      </c>
    </row>
    <row r="35" spans="1:3" x14ac:dyDescent="0.3">
      <c r="A35" t="s">
        <v>171</v>
      </c>
      <c r="B35" s="29">
        <f t="shared" si="5"/>
        <v>-350260.15911503008</v>
      </c>
      <c r="C35">
        <v>2045</v>
      </c>
    </row>
    <row r="36" spans="1:3" x14ac:dyDescent="0.3">
      <c r="A36" t="s">
        <v>159</v>
      </c>
      <c r="B36" s="29">
        <f>H2</f>
        <v>36124.52197477172</v>
      </c>
      <c r="C36">
        <v>2050</v>
      </c>
    </row>
    <row r="37" spans="1:3" x14ac:dyDescent="0.3">
      <c r="A37" t="s">
        <v>184</v>
      </c>
      <c r="B37" s="29">
        <f t="shared" ref="B37:B39" si="6">H3</f>
        <v>68755.110331119256</v>
      </c>
      <c r="C37">
        <v>2050</v>
      </c>
    </row>
    <row r="38" spans="1:3" x14ac:dyDescent="0.3">
      <c r="A38" t="s">
        <v>161</v>
      </c>
      <c r="B38" s="29">
        <f t="shared" si="6"/>
        <v>33085.813537241833</v>
      </c>
      <c r="C38">
        <v>2050</v>
      </c>
    </row>
    <row r="39" spans="1:3" x14ac:dyDescent="0.3">
      <c r="A39" t="s">
        <v>171</v>
      </c>
      <c r="B39" s="29">
        <f t="shared" si="6"/>
        <v>-356103.84614091966</v>
      </c>
      <c r="C39">
        <v>2050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Case (Ave)</vt:lpstr>
      <vt:lpstr>Temperature</vt:lpstr>
      <vt:lpstr>Baseline</vt:lpstr>
      <vt:lpstr>Elec str</vt:lpstr>
      <vt:lpstr>Case(Mode_Orl_Gene)</vt:lpstr>
      <vt:lpstr>Case(Mode_Orl_NoGe)</vt:lpstr>
      <vt:lpstr>Case (Mode2050)</vt:lpstr>
      <vt:lpstr>Mode</vt:lpstr>
      <vt:lpstr>Speed</vt:lpstr>
      <vt:lpstr>Infrastructure</vt:lpstr>
      <vt:lpstr>Best</vt:lpstr>
      <vt:lpstr>单位碳足迹</vt:lpstr>
      <vt:lpstr>Production</vt:lpstr>
      <vt:lpstr>Error</vt:lpstr>
      <vt:lpstr>产业碳足迹</vt:lpstr>
      <vt:lpstr>Fig 4a1</vt:lpstr>
      <vt:lpstr>Fig 4a2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2025-10-19T09:00:57Z</dcterms:modified>
</cp:coreProperties>
</file>