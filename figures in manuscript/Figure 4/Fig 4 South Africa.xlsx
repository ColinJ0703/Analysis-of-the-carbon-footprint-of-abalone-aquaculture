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OneDrive\桌面\figures in manuscript\Figure 4\"/>
    </mc:Choice>
  </mc:AlternateContent>
  <xr:revisionPtr revIDLastSave="0" documentId="13_ncr:1_{B01C53BE-1582-45C0-B406-6C64363FF8E1}" xr6:coauthVersionLast="47" xr6:coauthVersionMax="47" xr10:uidLastSave="{00000000-0000-0000-0000-000000000000}"/>
  <bookViews>
    <workbookView xWindow="-110" yWindow="-110" windowWidth="38620" windowHeight="21220" tabRatio="889" firstSheet="2" activeTab="11" xr2:uid="{00000000-000D-0000-FFFF-FFFF00000000}"/>
  </bookViews>
  <sheets>
    <sheet name="Case" sheetId="5" r:id="rId1"/>
    <sheet name="Temperature" sheetId="7" r:id="rId2"/>
    <sheet name="Baseline" sheetId="6" r:id="rId3"/>
    <sheet name="Elec str" sheetId="4" r:id="rId4"/>
    <sheet name="Speed" sheetId="11" r:id="rId5"/>
    <sheet name="Infrastructure" sheetId="12" r:id="rId6"/>
    <sheet name="Feed" sheetId="17" r:id="rId7"/>
    <sheet name="Best" sheetId="13" r:id="rId8"/>
    <sheet name="单位碳足迹" sheetId="1" r:id="rId9"/>
    <sheet name="Production" sheetId="2" r:id="rId10"/>
    <sheet name="Error" sheetId="18" r:id="rId11"/>
    <sheet name="产业碳足迹" sheetId="3" r:id="rId12"/>
    <sheet name="Fig 4c1" sheetId="15" r:id="rId13"/>
    <sheet name="Fig 4c2" sheetId="16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33" i="3" l="1"/>
  <c r="U33" i="3" s="1"/>
  <c r="U4" i="3"/>
  <c r="V4" i="3"/>
  <c r="U5" i="3"/>
  <c r="V5" i="3"/>
  <c r="U6" i="3"/>
  <c r="V6" i="3"/>
  <c r="U7" i="3"/>
  <c r="V7" i="3"/>
  <c r="U8" i="3"/>
  <c r="V8" i="3"/>
  <c r="U9" i="3"/>
  <c r="V9" i="3"/>
  <c r="U10" i="3"/>
  <c r="V10" i="3"/>
  <c r="U11" i="3"/>
  <c r="V11" i="3"/>
  <c r="U12" i="3"/>
  <c r="V12" i="3"/>
  <c r="U13" i="3"/>
  <c r="V13" i="3"/>
  <c r="U14" i="3"/>
  <c r="V14" i="3"/>
  <c r="U15" i="3"/>
  <c r="V15" i="3"/>
  <c r="U16" i="3"/>
  <c r="V16" i="3"/>
  <c r="U17" i="3"/>
  <c r="V17" i="3"/>
  <c r="U18" i="3"/>
  <c r="V18" i="3"/>
  <c r="U19" i="3"/>
  <c r="V19" i="3"/>
  <c r="U20" i="3"/>
  <c r="V20" i="3"/>
  <c r="U21" i="3"/>
  <c r="V21" i="3"/>
  <c r="U22" i="3"/>
  <c r="V22" i="3"/>
  <c r="U23" i="3"/>
  <c r="V23" i="3"/>
  <c r="U24" i="3"/>
  <c r="V24" i="3"/>
  <c r="U25" i="3"/>
  <c r="V25" i="3"/>
  <c r="U26" i="3"/>
  <c r="V26" i="3"/>
  <c r="U27" i="3"/>
  <c r="V27" i="3"/>
  <c r="U28" i="3"/>
  <c r="V28" i="3"/>
  <c r="U29" i="3"/>
  <c r="V29" i="3"/>
  <c r="U30" i="3"/>
  <c r="V30" i="3"/>
  <c r="U31" i="3"/>
  <c r="V31" i="3"/>
  <c r="U32" i="3"/>
  <c r="V32" i="3"/>
  <c r="V3" i="3"/>
  <c r="U3" i="3"/>
  <c r="R4" i="3"/>
  <c r="S4" i="3"/>
  <c r="R5" i="3"/>
  <c r="S5" i="3"/>
  <c r="R6" i="3"/>
  <c r="S6" i="3"/>
  <c r="R7" i="3"/>
  <c r="S7" i="3"/>
  <c r="R8" i="3"/>
  <c r="S8" i="3"/>
  <c r="R9" i="3"/>
  <c r="S9" i="3"/>
  <c r="R10" i="3"/>
  <c r="S10" i="3"/>
  <c r="R11" i="3"/>
  <c r="S11" i="3"/>
  <c r="R12" i="3"/>
  <c r="S12" i="3"/>
  <c r="R13" i="3"/>
  <c r="S13" i="3"/>
  <c r="R14" i="3"/>
  <c r="S14" i="3"/>
  <c r="R15" i="3"/>
  <c r="S15" i="3"/>
  <c r="R16" i="3"/>
  <c r="S16" i="3"/>
  <c r="R17" i="3"/>
  <c r="S17" i="3"/>
  <c r="R18" i="3"/>
  <c r="S18" i="3"/>
  <c r="R19" i="3"/>
  <c r="S19" i="3"/>
  <c r="R20" i="3"/>
  <c r="S20" i="3"/>
  <c r="R21" i="3"/>
  <c r="S21" i="3"/>
  <c r="R22" i="3"/>
  <c r="S22" i="3"/>
  <c r="R23" i="3"/>
  <c r="S23" i="3"/>
  <c r="R24" i="3"/>
  <c r="S24" i="3"/>
  <c r="R25" i="3"/>
  <c r="S25" i="3"/>
  <c r="R26" i="3"/>
  <c r="S26" i="3"/>
  <c r="R27" i="3"/>
  <c r="S27" i="3"/>
  <c r="R28" i="3"/>
  <c r="S28" i="3"/>
  <c r="R29" i="3"/>
  <c r="S29" i="3"/>
  <c r="R30" i="3"/>
  <c r="S30" i="3"/>
  <c r="R31" i="3"/>
  <c r="S31" i="3"/>
  <c r="R32" i="3"/>
  <c r="S32" i="3"/>
  <c r="R33" i="3"/>
  <c r="S33" i="3"/>
  <c r="S3" i="3"/>
  <c r="R3" i="3"/>
  <c r="O4" i="3"/>
  <c r="P4" i="3"/>
  <c r="O5" i="3"/>
  <c r="P5" i="3"/>
  <c r="O6" i="3"/>
  <c r="P6" i="3"/>
  <c r="O7" i="3"/>
  <c r="P7" i="3"/>
  <c r="O8" i="3"/>
  <c r="P8" i="3"/>
  <c r="O9" i="3"/>
  <c r="P9" i="3"/>
  <c r="O10" i="3"/>
  <c r="P10" i="3"/>
  <c r="O11" i="3"/>
  <c r="P11" i="3"/>
  <c r="O12" i="3"/>
  <c r="P12" i="3"/>
  <c r="O13" i="3"/>
  <c r="P13" i="3"/>
  <c r="O14" i="3"/>
  <c r="P14" i="3"/>
  <c r="O15" i="3"/>
  <c r="P15" i="3"/>
  <c r="O16" i="3"/>
  <c r="P16" i="3"/>
  <c r="O17" i="3"/>
  <c r="P17" i="3"/>
  <c r="O18" i="3"/>
  <c r="P18" i="3"/>
  <c r="O19" i="3"/>
  <c r="P19" i="3"/>
  <c r="O20" i="3"/>
  <c r="P20" i="3"/>
  <c r="O21" i="3"/>
  <c r="P21" i="3"/>
  <c r="O22" i="3"/>
  <c r="P22" i="3"/>
  <c r="O23" i="3"/>
  <c r="P23" i="3"/>
  <c r="O24" i="3"/>
  <c r="P24" i="3"/>
  <c r="O25" i="3"/>
  <c r="P25" i="3"/>
  <c r="O26" i="3"/>
  <c r="P26" i="3"/>
  <c r="O27" i="3"/>
  <c r="P27" i="3"/>
  <c r="O28" i="3"/>
  <c r="P28" i="3"/>
  <c r="O29" i="3"/>
  <c r="P29" i="3"/>
  <c r="O30" i="3"/>
  <c r="P30" i="3"/>
  <c r="O31" i="3"/>
  <c r="P31" i="3"/>
  <c r="O32" i="3"/>
  <c r="P32" i="3"/>
  <c r="O33" i="3"/>
  <c r="P33" i="3"/>
  <c r="P3" i="3"/>
  <c r="O3" i="3"/>
  <c r="L4" i="3"/>
  <c r="M4" i="3"/>
  <c r="L5" i="3"/>
  <c r="M5" i="3"/>
  <c r="L6" i="3"/>
  <c r="M6" i="3"/>
  <c r="L7" i="3"/>
  <c r="M7" i="3"/>
  <c r="L8" i="3"/>
  <c r="M8" i="3"/>
  <c r="L9" i="3"/>
  <c r="M9" i="3"/>
  <c r="L10" i="3"/>
  <c r="M10" i="3"/>
  <c r="L11" i="3"/>
  <c r="M11" i="3"/>
  <c r="L12" i="3"/>
  <c r="M12" i="3"/>
  <c r="L13" i="3"/>
  <c r="M13" i="3"/>
  <c r="L14" i="3"/>
  <c r="M14" i="3"/>
  <c r="L15" i="3"/>
  <c r="M15" i="3"/>
  <c r="L16" i="3"/>
  <c r="M16" i="3"/>
  <c r="L17" i="3"/>
  <c r="M17" i="3"/>
  <c r="L18" i="3"/>
  <c r="M18" i="3"/>
  <c r="L19" i="3"/>
  <c r="M19" i="3"/>
  <c r="L20" i="3"/>
  <c r="M20" i="3"/>
  <c r="L21" i="3"/>
  <c r="M21" i="3"/>
  <c r="L22" i="3"/>
  <c r="M22" i="3"/>
  <c r="L23" i="3"/>
  <c r="M23" i="3"/>
  <c r="L24" i="3"/>
  <c r="M24" i="3"/>
  <c r="L25" i="3"/>
  <c r="M25" i="3"/>
  <c r="L26" i="3"/>
  <c r="M26" i="3"/>
  <c r="L27" i="3"/>
  <c r="M27" i="3"/>
  <c r="L28" i="3"/>
  <c r="M28" i="3"/>
  <c r="L29" i="3"/>
  <c r="M29" i="3"/>
  <c r="L30" i="3"/>
  <c r="M30" i="3"/>
  <c r="L31" i="3"/>
  <c r="M31" i="3"/>
  <c r="L32" i="3"/>
  <c r="M32" i="3"/>
  <c r="L33" i="3"/>
  <c r="M33" i="3"/>
  <c r="M3" i="3"/>
  <c r="L3" i="3"/>
  <c r="I4" i="3"/>
  <c r="J4" i="3"/>
  <c r="I5" i="3"/>
  <c r="J5" i="3"/>
  <c r="I6" i="3"/>
  <c r="J6" i="3"/>
  <c r="I7" i="3"/>
  <c r="J7" i="3"/>
  <c r="I8" i="3"/>
  <c r="J8" i="3"/>
  <c r="I9" i="3"/>
  <c r="J9" i="3"/>
  <c r="I10" i="3"/>
  <c r="J10" i="3"/>
  <c r="I11" i="3"/>
  <c r="J11" i="3"/>
  <c r="I12" i="3"/>
  <c r="J12" i="3"/>
  <c r="I13" i="3"/>
  <c r="J13" i="3"/>
  <c r="I14" i="3"/>
  <c r="J14" i="3"/>
  <c r="I15" i="3"/>
  <c r="J15" i="3"/>
  <c r="I16" i="3"/>
  <c r="J16" i="3"/>
  <c r="I17" i="3"/>
  <c r="J17" i="3"/>
  <c r="I18" i="3"/>
  <c r="J18" i="3"/>
  <c r="I19" i="3"/>
  <c r="J19" i="3"/>
  <c r="I20" i="3"/>
  <c r="J20" i="3"/>
  <c r="I21" i="3"/>
  <c r="J21" i="3"/>
  <c r="I22" i="3"/>
  <c r="J22" i="3"/>
  <c r="I23" i="3"/>
  <c r="J23" i="3"/>
  <c r="I24" i="3"/>
  <c r="J24" i="3"/>
  <c r="I25" i="3"/>
  <c r="J25" i="3"/>
  <c r="I26" i="3"/>
  <c r="J26" i="3"/>
  <c r="I27" i="3"/>
  <c r="J27" i="3"/>
  <c r="I28" i="3"/>
  <c r="J28" i="3"/>
  <c r="I29" i="3"/>
  <c r="J29" i="3"/>
  <c r="I30" i="3"/>
  <c r="J30" i="3"/>
  <c r="I31" i="3"/>
  <c r="J31" i="3"/>
  <c r="I32" i="3"/>
  <c r="J32" i="3"/>
  <c r="I33" i="3"/>
  <c r="J33" i="3"/>
  <c r="J3" i="3"/>
  <c r="I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G3" i="3"/>
  <c r="F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D3" i="3"/>
  <c r="C3" i="3"/>
  <c r="F17" i="7"/>
  <c r="F14" i="7"/>
  <c r="B37" i="16"/>
  <c r="B38" i="16"/>
  <c r="B39" i="16"/>
  <c r="B33" i="16"/>
  <c r="B34" i="16"/>
  <c r="B35" i="16"/>
  <c r="B29" i="16"/>
  <c r="B30" i="16"/>
  <c r="B31" i="16"/>
  <c r="B25" i="16"/>
  <c r="B26" i="16"/>
  <c r="B27" i="16"/>
  <c r="B21" i="16"/>
  <c r="B22" i="16"/>
  <c r="B23" i="16"/>
  <c r="B17" i="16"/>
  <c r="B18" i="16"/>
  <c r="B19" i="16"/>
  <c r="B13" i="16"/>
  <c r="B14" i="16"/>
  <c r="B15" i="16"/>
  <c r="B12" i="16"/>
  <c r="B2" i="16"/>
  <c r="B3" i="16"/>
  <c r="B4" i="16"/>
  <c r="B5" i="16"/>
  <c r="C3" i="16"/>
  <c r="C4" i="16"/>
  <c r="C5" i="16"/>
  <c r="D3" i="16"/>
  <c r="D4" i="16"/>
  <c r="D5" i="16"/>
  <c r="E3" i="16"/>
  <c r="E4" i="16"/>
  <c r="E5" i="16"/>
  <c r="F3" i="16"/>
  <c r="G3" i="16"/>
  <c r="H3" i="16"/>
  <c r="F4" i="16"/>
  <c r="G4" i="16"/>
  <c r="H4" i="16"/>
  <c r="F5" i="16"/>
  <c r="G5" i="16"/>
  <c r="H5" i="16"/>
  <c r="V33" i="3" l="1"/>
  <c r="O55" i="13"/>
  <c r="G54" i="13" l="1"/>
  <c r="G55" i="13"/>
  <c r="H55" i="13"/>
  <c r="I55" i="13"/>
  <c r="J55" i="13"/>
  <c r="K55" i="13"/>
  <c r="L55" i="13"/>
  <c r="M55" i="13"/>
  <c r="G56" i="13"/>
  <c r="H56" i="13"/>
  <c r="I56" i="13"/>
  <c r="J56" i="13"/>
  <c r="K56" i="13"/>
  <c r="L56" i="13"/>
  <c r="M56" i="13"/>
  <c r="G57" i="13"/>
  <c r="H57" i="13"/>
  <c r="I57" i="13"/>
  <c r="J57" i="13"/>
  <c r="K57" i="13"/>
  <c r="L57" i="13"/>
  <c r="M5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G4" i="1"/>
  <c r="B4" i="1"/>
  <c r="L2" i="7"/>
  <c r="F19" i="7"/>
  <c r="I32" i="7" s="1"/>
  <c r="L32" i="7" s="1"/>
  <c r="U55" i="13" s="1"/>
  <c r="M54" i="13" s="1"/>
  <c r="H2" i="16" s="1"/>
  <c r="B36" i="16" s="1"/>
  <c r="G34" i="1" l="1"/>
  <c r="K32" i="7"/>
  <c r="B34" i="1" s="1"/>
  <c r="J2" i="7"/>
  <c r="I3" i="7" s="1"/>
  <c r="K2" i="7"/>
  <c r="B11" i="5"/>
  <c r="K3" i="7" l="1"/>
  <c r="B5" i="1" s="1"/>
  <c r="I4" i="7"/>
  <c r="L3" i="7"/>
  <c r="G5" i="1" s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4" i="1"/>
  <c r="I5" i="7" l="1"/>
  <c r="L4" i="7"/>
  <c r="G6" i="1" s="1"/>
  <c r="K4" i="7"/>
  <c r="B6" i="1" s="1"/>
  <c r="L5" i="7" l="1"/>
  <c r="G7" i="1" s="1"/>
  <c r="K5" i="7"/>
  <c r="B7" i="1" s="1"/>
  <c r="I6" i="7"/>
  <c r="P7" i="1"/>
  <c r="N6" i="3" s="1"/>
  <c r="N6" i="15" s="1"/>
  <c r="B173" i="15" s="1"/>
  <c r="P8" i="1"/>
  <c r="N7" i="3" s="1"/>
  <c r="N7" i="15" s="1"/>
  <c r="B174" i="15" s="1"/>
  <c r="P9" i="1"/>
  <c r="N8" i="3" s="1"/>
  <c r="N8" i="15" s="1"/>
  <c r="B175" i="15" s="1"/>
  <c r="P10" i="1"/>
  <c r="N9" i="3" s="1"/>
  <c r="N9" i="15" s="1"/>
  <c r="B176" i="15" s="1"/>
  <c r="P11" i="1"/>
  <c r="N10" i="3" s="1"/>
  <c r="N10" i="15" s="1"/>
  <c r="B177" i="15" s="1"/>
  <c r="P12" i="1"/>
  <c r="N11" i="3" s="1"/>
  <c r="N11" i="15" s="1"/>
  <c r="B178" i="15" s="1"/>
  <c r="P13" i="1"/>
  <c r="N12" i="3" s="1"/>
  <c r="N12" i="15" s="1"/>
  <c r="B179" i="15" s="1"/>
  <c r="P14" i="1"/>
  <c r="N13" i="3" s="1"/>
  <c r="N13" i="15" s="1"/>
  <c r="B180" i="15" s="1"/>
  <c r="P15" i="1"/>
  <c r="N14" i="3" s="1"/>
  <c r="N14" i="15" s="1"/>
  <c r="B181" i="15" s="1"/>
  <c r="P16" i="1"/>
  <c r="N15" i="3" s="1"/>
  <c r="N15" i="15" s="1"/>
  <c r="B182" i="15" s="1"/>
  <c r="P17" i="1"/>
  <c r="N16" i="3" s="1"/>
  <c r="N16" i="15" s="1"/>
  <c r="B183" i="15" s="1"/>
  <c r="P18" i="1"/>
  <c r="N17" i="3" s="1"/>
  <c r="N17" i="15" s="1"/>
  <c r="B184" i="15" s="1"/>
  <c r="P19" i="1"/>
  <c r="N18" i="3" s="1"/>
  <c r="N18" i="15" s="1"/>
  <c r="B185" i="15" s="1"/>
  <c r="P20" i="1"/>
  <c r="N19" i="3" s="1"/>
  <c r="N19" i="15" s="1"/>
  <c r="B186" i="15" s="1"/>
  <c r="P21" i="1"/>
  <c r="N20" i="3" s="1"/>
  <c r="N20" i="15" s="1"/>
  <c r="B187" i="15" s="1"/>
  <c r="P22" i="1"/>
  <c r="N21" i="3" s="1"/>
  <c r="N21" i="15" s="1"/>
  <c r="B188" i="15" s="1"/>
  <c r="P23" i="1"/>
  <c r="N22" i="3" s="1"/>
  <c r="N22" i="15" s="1"/>
  <c r="B189" i="15" s="1"/>
  <c r="P24" i="1"/>
  <c r="N23" i="3" s="1"/>
  <c r="N23" i="15" s="1"/>
  <c r="B190" i="15" s="1"/>
  <c r="P25" i="1"/>
  <c r="N24" i="3" s="1"/>
  <c r="N24" i="15" s="1"/>
  <c r="B191" i="15" s="1"/>
  <c r="P26" i="1"/>
  <c r="N25" i="3" s="1"/>
  <c r="N25" i="15" s="1"/>
  <c r="B192" i="15" s="1"/>
  <c r="P27" i="1"/>
  <c r="N26" i="3" s="1"/>
  <c r="N26" i="15" s="1"/>
  <c r="B193" i="15" s="1"/>
  <c r="P28" i="1"/>
  <c r="N27" i="3" s="1"/>
  <c r="N27" i="15" s="1"/>
  <c r="B194" i="15" s="1"/>
  <c r="P29" i="1"/>
  <c r="N28" i="3" s="1"/>
  <c r="N28" i="15" s="1"/>
  <c r="B195" i="15" s="1"/>
  <c r="P30" i="1"/>
  <c r="N29" i="3" s="1"/>
  <c r="N29" i="15" s="1"/>
  <c r="B196" i="15" s="1"/>
  <c r="P31" i="1"/>
  <c r="N30" i="3" s="1"/>
  <c r="N30" i="15" s="1"/>
  <c r="B197" i="15" s="1"/>
  <c r="P32" i="1"/>
  <c r="N31" i="3" s="1"/>
  <c r="N31" i="15" s="1"/>
  <c r="B198" i="15" s="1"/>
  <c r="P33" i="1"/>
  <c r="N32" i="3" s="1"/>
  <c r="N32" i="15" s="1"/>
  <c r="B199" i="15" s="1"/>
  <c r="P34" i="1"/>
  <c r="N33" i="3" s="1"/>
  <c r="N33" i="15" s="1"/>
  <c r="B200" i="15" s="1"/>
  <c r="P6" i="1"/>
  <c r="N5" i="3" s="1"/>
  <c r="N5" i="15" s="1"/>
  <c r="B172" i="15" s="1"/>
  <c r="P5" i="1"/>
  <c r="N4" i="3" s="1"/>
  <c r="N4" i="15" s="1"/>
  <c r="B171" i="15" s="1"/>
  <c r="P4" i="1"/>
  <c r="N3" i="3" s="1"/>
  <c r="N3" i="15" s="1"/>
  <c r="B170" i="15" s="1"/>
  <c r="P8" i="15"/>
  <c r="D175" i="15" s="1"/>
  <c r="O9" i="15"/>
  <c r="C176" i="15" s="1"/>
  <c r="O10" i="15"/>
  <c r="C177" i="15" s="1"/>
  <c r="P11" i="15"/>
  <c r="D178" i="15" s="1"/>
  <c r="P12" i="15"/>
  <c r="D179" i="15" s="1"/>
  <c r="O13" i="15"/>
  <c r="C180" i="15" s="1"/>
  <c r="O14" i="15"/>
  <c r="C181" i="15" s="1"/>
  <c r="O15" i="15"/>
  <c r="C182" i="15" s="1"/>
  <c r="O16" i="15"/>
  <c r="C183" i="15" s="1"/>
  <c r="P17" i="15"/>
  <c r="D184" i="15" s="1"/>
  <c r="P18" i="15"/>
  <c r="D185" i="15" s="1"/>
  <c r="O19" i="15"/>
  <c r="C186" i="15" s="1"/>
  <c r="O20" i="15"/>
  <c r="C187" i="15" s="1"/>
  <c r="P21" i="15"/>
  <c r="D188" i="15" s="1"/>
  <c r="P22" i="15"/>
  <c r="D189" i="15" s="1"/>
  <c r="P23" i="15"/>
  <c r="D190" i="15" s="1"/>
  <c r="P28" i="15"/>
  <c r="D195" i="15" s="1"/>
  <c r="O29" i="15"/>
  <c r="C196" i="15" s="1"/>
  <c r="O30" i="15"/>
  <c r="C197" i="15" s="1"/>
  <c r="O31" i="15"/>
  <c r="C198" i="15" s="1"/>
  <c r="O32" i="15"/>
  <c r="C199" i="15" s="1"/>
  <c r="O33" i="15"/>
  <c r="C200" i="15" s="1"/>
  <c r="P3" i="15"/>
  <c r="D170" i="15" s="1"/>
  <c r="O4" i="15"/>
  <c r="C171" i="15" s="1"/>
  <c r="P4" i="15"/>
  <c r="D171" i="15" s="1"/>
  <c r="O5" i="15"/>
  <c r="C172" i="15" s="1"/>
  <c r="P5" i="15"/>
  <c r="D172" i="15" s="1"/>
  <c r="O6" i="15"/>
  <c r="C173" i="15" s="1"/>
  <c r="P6" i="15"/>
  <c r="D173" i="15" s="1"/>
  <c r="O7" i="15"/>
  <c r="C174" i="15" s="1"/>
  <c r="P7" i="15"/>
  <c r="D174" i="15" s="1"/>
  <c r="O8" i="15"/>
  <c r="C175" i="15" s="1"/>
  <c r="O24" i="15"/>
  <c r="C191" i="15" s="1"/>
  <c r="P24" i="15"/>
  <c r="D191" i="15" s="1"/>
  <c r="O25" i="15"/>
  <c r="C192" i="15" s="1"/>
  <c r="P25" i="15"/>
  <c r="D192" i="15" s="1"/>
  <c r="O26" i="15"/>
  <c r="C193" i="15" s="1"/>
  <c r="P26" i="15"/>
  <c r="D193" i="15" s="1"/>
  <c r="O27" i="15"/>
  <c r="C194" i="15" s="1"/>
  <c r="P27" i="15"/>
  <c r="D194" i="15" s="1"/>
  <c r="O28" i="15"/>
  <c r="C195" i="15" s="1"/>
  <c r="P29" i="15"/>
  <c r="D196" i="15" s="1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2" i="17"/>
  <c r="L6" i="7" l="1"/>
  <c r="G8" i="1" s="1"/>
  <c r="K6" i="7"/>
  <c r="B8" i="1" s="1"/>
  <c r="I7" i="7"/>
  <c r="P9" i="15"/>
  <c r="D176" i="15" s="1"/>
  <c r="O17" i="15"/>
  <c r="C184" i="15" s="1"/>
  <c r="P16" i="15"/>
  <c r="D183" i="15" s="1"/>
  <c r="P15" i="15"/>
  <c r="D182" i="15" s="1"/>
  <c r="O18" i="15"/>
  <c r="C185" i="15" s="1"/>
  <c r="P14" i="15"/>
  <c r="D181" i="15" s="1"/>
  <c r="P33" i="15"/>
  <c r="D200" i="15" s="1"/>
  <c r="P32" i="15"/>
  <c r="D199" i="15" s="1"/>
  <c r="P13" i="15"/>
  <c r="D180" i="15" s="1"/>
  <c r="P31" i="15"/>
  <c r="D198" i="15" s="1"/>
  <c r="O21" i="15"/>
  <c r="C188" i="15" s="1"/>
  <c r="O11" i="15"/>
  <c r="C178" i="15" s="1"/>
  <c r="P30" i="15"/>
  <c r="D197" i="15" s="1"/>
  <c r="P20" i="15"/>
  <c r="D187" i="15" s="1"/>
  <c r="P10" i="15"/>
  <c r="D177" i="15" s="1"/>
  <c r="O23" i="15"/>
  <c r="C190" i="15" s="1"/>
  <c r="O12" i="15"/>
  <c r="C179" i="15" s="1"/>
  <c r="P19" i="15"/>
  <c r="D186" i="15" s="1"/>
  <c r="O22" i="15"/>
  <c r="C189" i="15" s="1"/>
  <c r="O3" i="15"/>
  <c r="C170" i="15" s="1"/>
  <c r="C71" i="13"/>
  <c r="C41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71" i="13" s="1"/>
  <c r="M48" i="13" s="1"/>
  <c r="D5" i="13"/>
  <c r="D41" i="13" s="1"/>
  <c r="G48" i="13" s="1"/>
  <c r="L7" i="7" l="1"/>
  <c r="I8" i="7"/>
  <c r="K7" i="7"/>
  <c r="B9" i="1" s="1"/>
  <c r="L31" i="13"/>
  <c r="M32" i="17"/>
  <c r="M2" i="17"/>
  <c r="J3" i="17"/>
  <c r="J4" i="17"/>
  <c r="J5" i="17"/>
  <c r="J6" i="17"/>
  <c r="J7" i="17"/>
  <c r="J8" i="17"/>
  <c r="J9" i="17"/>
  <c r="J10" i="17"/>
  <c r="J11" i="17"/>
  <c r="J12" i="17"/>
  <c r="J13" i="17"/>
  <c r="J14" i="17"/>
  <c r="J15" i="17"/>
  <c r="J16" i="17"/>
  <c r="J17" i="17"/>
  <c r="J18" i="17"/>
  <c r="J19" i="17"/>
  <c r="J20" i="17"/>
  <c r="J21" i="17"/>
  <c r="J22" i="17"/>
  <c r="J23" i="17"/>
  <c r="J24" i="17"/>
  <c r="J25" i="17"/>
  <c r="J26" i="17"/>
  <c r="J27" i="17"/>
  <c r="J28" i="17"/>
  <c r="J29" i="17"/>
  <c r="J30" i="17"/>
  <c r="J31" i="17"/>
  <c r="J32" i="17"/>
  <c r="J2" i="17"/>
  <c r="P55" i="13" l="1"/>
  <c r="H54" i="13" s="1"/>
  <c r="C2" i="16" s="1"/>
  <c r="B16" i="16" s="1"/>
  <c r="G9" i="1"/>
  <c r="L8" i="7"/>
  <c r="G10" i="1" s="1"/>
  <c r="I9" i="7"/>
  <c r="K8" i="7"/>
  <c r="B10" i="1" s="1"/>
  <c r="B19" i="5"/>
  <c r="B4" i="17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C4" i="17"/>
  <c r="C5" i="17"/>
  <c r="C6" i="17" s="1"/>
  <c r="C7" i="17" s="1"/>
  <c r="C8" i="17" s="1"/>
  <c r="C9" i="17" s="1"/>
  <c r="C10" i="17" s="1"/>
  <c r="C11" i="17" s="1"/>
  <c r="C12" i="17" s="1"/>
  <c r="C13" i="17" s="1"/>
  <c r="C14" i="17" s="1"/>
  <c r="C15" i="17" s="1"/>
  <c r="C16" i="17" s="1"/>
  <c r="C17" i="17" s="1"/>
  <c r="C18" i="17" s="1"/>
  <c r="C19" i="17" s="1"/>
  <c r="C20" i="17" s="1"/>
  <c r="C21" i="17" s="1"/>
  <c r="C22" i="17" s="1"/>
  <c r="C23" i="17" s="1"/>
  <c r="C24" i="17" s="1"/>
  <c r="C25" i="17" s="1"/>
  <c r="C26" i="17" s="1"/>
  <c r="C27" i="17" s="1"/>
  <c r="C28" i="17" s="1"/>
  <c r="C29" i="17" s="1"/>
  <c r="C30" i="17" s="1"/>
  <c r="C31" i="17" s="1"/>
  <c r="C3" i="17"/>
  <c r="B3" i="17"/>
  <c r="E2" i="17"/>
  <c r="D2" i="17"/>
  <c r="B18" i="5"/>
  <c r="B17" i="5"/>
  <c r="L9" i="7" l="1"/>
  <c r="G11" i="1" s="1"/>
  <c r="K9" i="7"/>
  <c r="B11" i="1" s="1"/>
  <c r="I10" i="7"/>
  <c r="P39" i="4"/>
  <c r="W39" i="4" s="1"/>
  <c r="V48" i="4" s="1"/>
  <c r="D33" i="4" s="1"/>
  <c r="J24" i="4" s="1"/>
  <c r="D24" i="4" s="1"/>
  <c r="D25" i="4" s="1"/>
  <c r="D26" i="4" s="1"/>
  <c r="D27" i="4" s="1"/>
  <c r="D28" i="4" s="1"/>
  <c r="D29" i="4" s="1"/>
  <c r="D30" i="4" s="1"/>
  <c r="D31" i="4" s="1"/>
  <c r="D32" i="4" s="1"/>
  <c r="P38" i="4"/>
  <c r="W38" i="4" s="1"/>
  <c r="V47" i="4" s="1"/>
  <c r="D23" i="4" s="1"/>
  <c r="J14" i="4" s="1"/>
  <c r="D14" i="4" s="1"/>
  <c r="D15" i="4" s="1"/>
  <c r="D16" i="4" s="1"/>
  <c r="D17" i="4" s="1"/>
  <c r="D18" i="4" s="1"/>
  <c r="D19" i="4" s="1"/>
  <c r="D20" i="4" s="1"/>
  <c r="D21" i="4" s="1"/>
  <c r="D22" i="4" s="1"/>
  <c r="P37" i="4"/>
  <c r="W37" i="4" s="1"/>
  <c r="V46" i="4" s="1"/>
  <c r="D13" i="4" s="1"/>
  <c r="P36" i="4"/>
  <c r="P35" i="4"/>
  <c r="L10" i="7" l="1"/>
  <c r="G12" i="1" s="1"/>
  <c r="I11" i="7"/>
  <c r="K10" i="7"/>
  <c r="B12" i="1" s="1"/>
  <c r="U35" i="4"/>
  <c r="W35" i="4"/>
  <c r="S39" i="4"/>
  <c r="W48" i="4" s="1"/>
  <c r="E33" i="4" s="1"/>
  <c r="U36" i="4"/>
  <c r="X45" i="4" s="1"/>
  <c r="F3" i="4" s="1"/>
  <c r="W36" i="4"/>
  <c r="V45" i="4" s="1"/>
  <c r="D3" i="4" s="1"/>
  <c r="J4" i="4" s="1"/>
  <c r="D4" i="4" s="1"/>
  <c r="D5" i="4" s="1"/>
  <c r="D6" i="4" s="1"/>
  <c r="D7" i="4" s="1"/>
  <c r="D8" i="4" s="1"/>
  <c r="D9" i="4" s="1"/>
  <c r="D10" i="4" s="1"/>
  <c r="D11" i="4" s="1"/>
  <c r="D12" i="4" s="1"/>
  <c r="S37" i="4"/>
  <c r="W46" i="4" s="1"/>
  <c r="E13" i="4" s="1"/>
  <c r="S38" i="4"/>
  <c r="W47" i="4" s="1"/>
  <c r="E23" i="4" s="1"/>
  <c r="K14" i="4" s="1"/>
  <c r="E14" i="4" s="1"/>
  <c r="E15" i="4" s="1"/>
  <c r="E16" i="4" s="1"/>
  <c r="E17" i="4" s="1"/>
  <c r="E18" i="4" s="1"/>
  <c r="E19" i="4" s="1"/>
  <c r="E20" i="4" s="1"/>
  <c r="E21" i="4" s="1"/>
  <c r="E22" i="4" s="1"/>
  <c r="V39" i="4"/>
  <c r="U48" i="4" s="1"/>
  <c r="C33" i="4" s="1"/>
  <c r="I24" i="4" s="1"/>
  <c r="C24" i="4" s="1"/>
  <c r="C25" i="4" s="1"/>
  <c r="C26" i="4" s="1"/>
  <c r="C27" i="4" s="1"/>
  <c r="C28" i="4" s="1"/>
  <c r="C29" i="4" s="1"/>
  <c r="C30" i="4" s="1"/>
  <c r="C31" i="4" s="1"/>
  <c r="C32" i="4" s="1"/>
  <c r="U39" i="4"/>
  <c r="X48" i="4" s="1"/>
  <c r="F33" i="4" s="1"/>
  <c r="T39" i="4"/>
  <c r="T48" i="4" s="1"/>
  <c r="B33" i="4" s="1"/>
  <c r="T36" i="4"/>
  <c r="T45" i="4" s="1"/>
  <c r="B3" i="4" s="1"/>
  <c r="V38" i="4"/>
  <c r="U47" i="4" s="1"/>
  <c r="C23" i="4" s="1"/>
  <c r="U38" i="4"/>
  <c r="X47" i="4" s="1"/>
  <c r="F23" i="4" s="1"/>
  <c r="S36" i="4"/>
  <c r="W45" i="4" s="1"/>
  <c r="E3" i="4" s="1"/>
  <c r="T38" i="4"/>
  <c r="T47" i="4" s="1"/>
  <c r="B23" i="4" s="1"/>
  <c r="V37" i="4"/>
  <c r="U46" i="4" s="1"/>
  <c r="C13" i="4" s="1"/>
  <c r="U37" i="4"/>
  <c r="X46" i="4" s="1"/>
  <c r="F13" i="4" s="1"/>
  <c r="L4" i="4" s="1"/>
  <c r="F4" i="4" s="1"/>
  <c r="F5" i="4" s="1"/>
  <c r="F6" i="4" s="1"/>
  <c r="F7" i="4" s="1"/>
  <c r="F8" i="4" s="1"/>
  <c r="F9" i="4" s="1"/>
  <c r="F10" i="4" s="1"/>
  <c r="F11" i="4" s="1"/>
  <c r="F12" i="4" s="1"/>
  <c r="T37" i="4"/>
  <c r="T46" i="4" s="1"/>
  <c r="B13" i="4" s="1"/>
  <c r="V36" i="4"/>
  <c r="U45" i="4" s="1"/>
  <c r="C3" i="4" s="1"/>
  <c r="T35" i="4"/>
  <c r="V35" i="4"/>
  <c r="S35" i="4"/>
  <c r="L11" i="7" l="1"/>
  <c r="G13" i="1" s="1"/>
  <c r="I12" i="7"/>
  <c r="K11" i="7"/>
  <c r="B13" i="1" s="1"/>
  <c r="L14" i="4"/>
  <c r="F14" i="4" s="1"/>
  <c r="F15" i="4" s="1"/>
  <c r="F16" i="4" s="1"/>
  <c r="F17" i="4" s="1"/>
  <c r="F18" i="4" s="1"/>
  <c r="F19" i="4" s="1"/>
  <c r="F20" i="4" s="1"/>
  <c r="F21" i="4" s="1"/>
  <c r="F22" i="4" s="1"/>
  <c r="G3" i="4"/>
  <c r="L24" i="4"/>
  <c r="F24" i="4" s="1"/>
  <c r="F25" i="4" s="1"/>
  <c r="F26" i="4" s="1"/>
  <c r="F27" i="4" s="1"/>
  <c r="F28" i="4" s="1"/>
  <c r="F29" i="4" s="1"/>
  <c r="F30" i="4" s="1"/>
  <c r="F31" i="4" s="1"/>
  <c r="F32" i="4" s="1"/>
  <c r="I4" i="4"/>
  <c r="C4" i="4" s="1"/>
  <c r="C5" i="4" s="1"/>
  <c r="C6" i="4" s="1"/>
  <c r="C7" i="4" s="1"/>
  <c r="C8" i="4" s="1"/>
  <c r="C9" i="4" s="1"/>
  <c r="C10" i="4" s="1"/>
  <c r="C11" i="4" s="1"/>
  <c r="C12" i="4" s="1"/>
  <c r="G33" i="4"/>
  <c r="H24" i="4"/>
  <c r="B24" i="4" s="1"/>
  <c r="K24" i="4"/>
  <c r="E24" i="4" s="1"/>
  <c r="E25" i="4" s="1"/>
  <c r="E26" i="4" s="1"/>
  <c r="E27" i="4" s="1"/>
  <c r="E28" i="4" s="1"/>
  <c r="E29" i="4" s="1"/>
  <c r="E30" i="4" s="1"/>
  <c r="E31" i="4" s="1"/>
  <c r="E32" i="4" s="1"/>
  <c r="G13" i="4"/>
  <c r="H4" i="4"/>
  <c r="B4" i="4" s="1"/>
  <c r="G23" i="4"/>
  <c r="H14" i="4"/>
  <c r="B14" i="4" s="1"/>
  <c r="I14" i="4"/>
  <c r="C14" i="4" s="1"/>
  <c r="C15" i="4" s="1"/>
  <c r="C16" i="4" s="1"/>
  <c r="C17" i="4" s="1"/>
  <c r="C18" i="4" s="1"/>
  <c r="C19" i="4" s="1"/>
  <c r="C20" i="4" s="1"/>
  <c r="C21" i="4" s="1"/>
  <c r="C22" i="4" s="1"/>
  <c r="K4" i="4"/>
  <c r="E4" i="4" s="1"/>
  <c r="E5" i="4" s="1"/>
  <c r="E6" i="4" s="1"/>
  <c r="E7" i="4" s="1"/>
  <c r="E8" i="4" s="1"/>
  <c r="E9" i="4" s="1"/>
  <c r="E10" i="4" s="1"/>
  <c r="E11" i="4" s="1"/>
  <c r="E12" i="4" s="1"/>
  <c r="K29" i="13"/>
  <c r="L12" i="7" l="1"/>
  <c r="K12" i="7"/>
  <c r="B14" i="1" s="1"/>
  <c r="I13" i="7"/>
  <c r="B15" i="4"/>
  <c r="G14" i="4"/>
  <c r="G24" i="4"/>
  <c r="B25" i="4"/>
  <c r="B5" i="4"/>
  <c r="G4" i="4"/>
  <c r="L25" i="13"/>
  <c r="L26" i="13"/>
  <c r="L27" i="13"/>
  <c r="L28" i="13"/>
  <c r="K25" i="13"/>
  <c r="K26" i="13"/>
  <c r="K27" i="13"/>
  <c r="K28" i="13"/>
  <c r="K24" i="13"/>
  <c r="Q55" i="13" l="1"/>
  <c r="I54" i="13" s="1"/>
  <c r="D2" i="16" s="1"/>
  <c r="B20" i="16" s="1"/>
  <c r="G14" i="1"/>
  <c r="L13" i="7"/>
  <c r="G15" i="1" s="1"/>
  <c r="I14" i="7"/>
  <c r="K13" i="7"/>
  <c r="B15" i="1" s="1"/>
  <c r="G25" i="4"/>
  <c r="B26" i="4"/>
  <c r="B6" i="4"/>
  <c r="G5" i="4"/>
  <c r="B16" i="4"/>
  <c r="G15" i="4"/>
  <c r="B13" i="5"/>
  <c r="C11" i="5"/>
  <c r="L14" i="7" l="1"/>
  <c r="G16" i="1" s="1"/>
  <c r="I15" i="7"/>
  <c r="K14" i="7"/>
  <c r="B16" i="1" s="1"/>
  <c r="B5" i="13"/>
  <c r="B17" i="4"/>
  <c r="G16" i="4"/>
  <c r="G26" i="4"/>
  <c r="B27" i="4"/>
  <c r="B7" i="4"/>
  <c r="G6" i="4"/>
  <c r="B35" i="13"/>
  <c r="C6" i="13"/>
  <c r="C26" i="13"/>
  <c r="C32" i="13"/>
  <c r="C15" i="13"/>
  <c r="C20" i="13"/>
  <c r="C25" i="13"/>
  <c r="C7" i="13"/>
  <c r="C27" i="13"/>
  <c r="C30" i="13"/>
  <c r="C13" i="13"/>
  <c r="C34" i="13"/>
  <c r="C5" i="13"/>
  <c r="C8" i="13"/>
  <c r="C28" i="13"/>
  <c r="C21" i="13"/>
  <c r="C9" i="13"/>
  <c r="C29" i="13"/>
  <c r="C10" i="13"/>
  <c r="C14" i="13"/>
  <c r="C35" i="13"/>
  <c r="C17" i="13"/>
  <c r="C18" i="13"/>
  <c r="C24" i="13"/>
  <c r="C11" i="13"/>
  <c r="C31" i="13"/>
  <c r="C12" i="13"/>
  <c r="C33" i="13"/>
  <c r="C16" i="13"/>
  <c r="C19" i="13"/>
  <c r="C23" i="13"/>
  <c r="C22" i="13"/>
  <c r="B6" i="13"/>
  <c r="L15" i="7" l="1"/>
  <c r="G17" i="1" s="1"/>
  <c r="K15" i="7"/>
  <c r="B17" i="1" s="1"/>
  <c r="I16" i="7"/>
  <c r="G27" i="4"/>
  <c r="B28" i="4"/>
  <c r="B8" i="4"/>
  <c r="G7" i="4"/>
  <c r="B18" i="4"/>
  <c r="G17" i="4"/>
  <c r="E6" i="13"/>
  <c r="B41" i="13"/>
  <c r="G45" i="13" s="1"/>
  <c r="E5" i="13"/>
  <c r="E35" i="13"/>
  <c r="B71" i="13"/>
  <c r="M45" i="13" s="1"/>
  <c r="B7" i="13"/>
  <c r="L16" i="7" l="1"/>
  <c r="G18" i="1" s="1"/>
  <c r="K16" i="7"/>
  <c r="B18" i="1" s="1"/>
  <c r="I17" i="7"/>
  <c r="G28" i="4"/>
  <c r="B29" i="4"/>
  <c r="B19" i="4"/>
  <c r="G18" i="4"/>
  <c r="B9" i="4"/>
  <c r="G8" i="4"/>
  <c r="E7" i="13"/>
  <c r="B8" i="13"/>
  <c r="L17" i="7" l="1"/>
  <c r="I18" i="7"/>
  <c r="K17" i="7"/>
  <c r="B19" i="1" s="1"/>
  <c r="B10" i="4"/>
  <c r="G9" i="4"/>
  <c r="G29" i="4"/>
  <c r="B30" i="4"/>
  <c r="B20" i="4"/>
  <c r="G19" i="4"/>
  <c r="E8" i="13"/>
  <c r="B9" i="13"/>
  <c r="R55" i="13" l="1"/>
  <c r="J54" i="13" s="1"/>
  <c r="E2" i="16" s="1"/>
  <c r="B24" i="16" s="1"/>
  <c r="G19" i="1"/>
  <c r="L18" i="7"/>
  <c r="G20" i="1" s="1"/>
  <c r="K18" i="7"/>
  <c r="B20" i="1" s="1"/>
  <c r="I19" i="7"/>
  <c r="B21" i="4"/>
  <c r="G20" i="4"/>
  <c r="G30" i="4"/>
  <c r="B31" i="4"/>
  <c r="B11" i="4"/>
  <c r="G10" i="4"/>
  <c r="E9" i="13"/>
  <c r="B10" i="13"/>
  <c r="L19" i="7" l="1"/>
  <c r="G21" i="1" s="1"/>
  <c r="I20" i="7"/>
  <c r="K19" i="7"/>
  <c r="B21" i="1" s="1"/>
  <c r="G31" i="4"/>
  <c r="B32" i="4"/>
  <c r="G32" i="4" s="1"/>
  <c r="B12" i="4"/>
  <c r="G12" i="4" s="1"/>
  <c r="G11" i="4"/>
  <c r="B22" i="4"/>
  <c r="G22" i="4" s="1"/>
  <c r="G21" i="4"/>
  <c r="E10" i="13"/>
  <c r="B11" i="13"/>
  <c r="L20" i="7" l="1"/>
  <c r="G22" i="1" s="1"/>
  <c r="K20" i="7"/>
  <c r="B22" i="1" s="1"/>
  <c r="I21" i="7"/>
  <c r="E11" i="13"/>
  <c r="B12" i="13"/>
  <c r="L21" i="7" l="1"/>
  <c r="G23" i="1" s="1"/>
  <c r="K21" i="7"/>
  <c r="B23" i="1" s="1"/>
  <c r="I22" i="7"/>
  <c r="E12" i="13"/>
  <c r="B13" i="13"/>
  <c r="L22" i="7" l="1"/>
  <c r="I23" i="7"/>
  <c r="K22" i="7"/>
  <c r="B24" i="1" s="1"/>
  <c r="E13" i="13"/>
  <c r="B14" i="13"/>
  <c r="S55" i="13" l="1"/>
  <c r="K54" i="13" s="1"/>
  <c r="F2" i="16" s="1"/>
  <c r="B28" i="16" s="1"/>
  <c r="G24" i="1"/>
  <c r="L23" i="7"/>
  <c r="G25" i="1" s="1"/>
  <c r="I24" i="7"/>
  <c r="K23" i="7"/>
  <c r="B25" i="1" s="1"/>
  <c r="E14" i="13"/>
  <c r="B15" i="13"/>
  <c r="L24" i="7" l="1"/>
  <c r="G26" i="1" s="1"/>
  <c r="I25" i="7"/>
  <c r="K24" i="7"/>
  <c r="B26" i="1" s="1"/>
  <c r="E15" i="13"/>
  <c r="B16" i="13"/>
  <c r="L25" i="7" l="1"/>
  <c r="G27" i="1" s="1"/>
  <c r="I26" i="7"/>
  <c r="K25" i="7"/>
  <c r="B27" i="1" s="1"/>
  <c r="E16" i="13"/>
  <c r="B17" i="13"/>
  <c r="L26" i="7" l="1"/>
  <c r="G28" i="1" s="1"/>
  <c r="K26" i="7"/>
  <c r="B28" i="1" s="1"/>
  <c r="I27" i="7"/>
  <c r="E17" i="13"/>
  <c r="B18" i="13"/>
  <c r="L27" i="7" l="1"/>
  <c r="K27" i="7"/>
  <c r="B29" i="1" s="1"/>
  <c r="I28" i="7"/>
  <c r="E18" i="13"/>
  <c r="B19" i="13"/>
  <c r="T55" i="13" l="1"/>
  <c r="L54" i="13" s="1"/>
  <c r="G2" i="16" s="1"/>
  <c r="B32" i="16" s="1"/>
  <c r="G29" i="1"/>
  <c r="L28" i="7"/>
  <c r="G30" i="1" s="1"/>
  <c r="I29" i="7"/>
  <c r="K28" i="7"/>
  <c r="B30" i="1" s="1"/>
  <c r="E19" i="13"/>
  <c r="B20" i="13"/>
  <c r="L29" i="7" l="1"/>
  <c r="G31" i="1" s="1"/>
  <c r="K29" i="7"/>
  <c r="B31" i="1" s="1"/>
  <c r="I30" i="7"/>
  <c r="E20" i="13"/>
  <c r="B21" i="13"/>
  <c r="L30" i="7" l="1"/>
  <c r="G32" i="1" s="1"/>
  <c r="I31" i="7"/>
  <c r="K30" i="7"/>
  <c r="B32" i="1" s="1"/>
  <c r="E21" i="13"/>
  <c r="B22" i="13"/>
  <c r="K31" i="7" l="1"/>
  <c r="B33" i="1" s="1"/>
  <c r="L31" i="7"/>
  <c r="G33" i="1" s="1"/>
  <c r="E22" i="13"/>
  <c r="B23" i="13"/>
  <c r="E23" i="13" l="1"/>
  <c r="B24" i="13"/>
  <c r="E24" i="13" l="1"/>
  <c r="B25" i="13"/>
  <c r="E25" i="13" l="1"/>
  <c r="B26" i="13"/>
  <c r="E26" i="13" l="1"/>
  <c r="B27" i="13"/>
  <c r="E27" i="13" l="1"/>
  <c r="B28" i="13"/>
  <c r="E28" i="13" l="1"/>
  <c r="B29" i="13"/>
  <c r="E29" i="13" l="1"/>
  <c r="B30" i="13"/>
  <c r="E30" i="13" l="1"/>
  <c r="B31" i="13"/>
  <c r="E31" i="13" l="1"/>
  <c r="B32" i="13"/>
  <c r="E32" i="13" l="1"/>
  <c r="B34" i="13"/>
  <c r="B33" i="13"/>
  <c r="E33" i="13" l="1"/>
  <c r="E34" i="13"/>
  <c r="B8" i="5"/>
  <c r="L24" i="13"/>
  <c r="B3" i="6"/>
  <c r="B33" i="6"/>
  <c r="B15" i="5"/>
  <c r="F11" i="11"/>
  <c r="F31" i="11"/>
  <c r="F7" i="11"/>
  <c r="F12" i="11"/>
  <c r="F32" i="11"/>
  <c r="F24" i="11"/>
  <c r="F29" i="11"/>
  <c r="F13" i="11"/>
  <c r="F33" i="11"/>
  <c r="K33" i="11" s="1"/>
  <c r="F22" i="11"/>
  <c r="F5" i="11"/>
  <c r="F28" i="11"/>
  <c r="F30" i="11"/>
  <c r="F14" i="11"/>
  <c r="F3" i="11"/>
  <c r="K3" i="11" s="1"/>
  <c r="F23" i="11"/>
  <c r="F27" i="11"/>
  <c r="F10" i="11"/>
  <c r="F15" i="11"/>
  <c r="F16" i="11"/>
  <c r="F21" i="11"/>
  <c r="F4" i="11"/>
  <c r="B12" i="5"/>
  <c r="F9" i="11"/>
  <c r="B14" i="5"/>
  <c r="F17" i="11"/>
  <c r="F19" i="11"/>
  <c r="F6" i="11"/>
  <c r="F18" i="11"/>
  <c r="F20" i="11"/>
  <c r="F25" i="11"/>
  <c r="F26" i="11"/>
  <c r="F8" i="11"/>
  <c r="B3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" i="2"/>
  <c r="L29" i="13" l="1"/>
  <c r="B46" i="4"/>
  <c r="C10" i="1" s="1"/>
  <c r="B54" i="4"/>
  <c r="C18" i="1" s="1"/>
  <c r="B59" i="4"/>
  <c r="C23" i="1" s="1"/>
  <c r="B70" i="4"/>
  <c r="B57" i="4"/>
  <c r="C21" i="1" s="1"/>
  <c r="B58" i="4"/>
  <c r="C22" i="1" s="1"/>
  <c r="B62" i="4"/>
  <c r="C26" i="1" s="1"/>
  <c r="B60" i="4"/>
  <c r="C24" i="1" s="1"/>
  <c r="B69" i="4"/>
  <c r="C33" i="1" s="1"/>
  <c r="B49" i="4"/>
  <c r="C13" i="1" s="1"/>
  <c r="B66" i="4"/>
  <c r="C30" i="1" s="1"/>
  <c r="B64" i="4"/>
  <c r="C28" i="1" s="1"/>
  <c r="B50" i="4"/>
  <c r="C14" i="1" s="1"/>
  <c r="B56" i="4"/>
  <c r="C20" i="1" s="1"/>
  <c r="B47" i="4"/>
  <c r="C11" i="1" s="1"/>
  <c r="B45" i="4"/>
  <c r="C9" i="1" s="1"/>
  <c r="B53" i="4"/>
  <c r="C17" i="1" s="1"/>
  <c r="B51" i="4"/>
  <c r="C15" i="1" s="1"/>
  <c r="B43" i="4"/>
  <c r="C7" i="1" s="1"/>
  <c r="B68" i="4"/>
  <c r="C32" i="1" s="1"/>
  <c r="B65" i="4"/>
  <c r="C29" i="1" s="1"/>
  <c r="B41" i="4"/>
  <c r="C5" i="1" s="1"/>
  <c r="B52" i="4"/>
  <c r="C16" i="1" s="1"/>
  <c r="B48" i="4"/>
  <c r="C12" i="1" s="1"/>
  <c r="B55" i="4"/>
  <c r="C19" i="1" s="1"/>
  <c r="B44" i="4"/>
  <c r="C8" i="1" s="1"/>
  <c r="B61" i="4"/>
  <c r="C25" i="1" s="1"/>
  <c r="B42" i="4"/>
  <c r="C6" i="1" s="1"/>
  <c r="B67" i="4"/>
  <c r="C31" i="1" s="1"/>
  <c r="B63" i="4"/>
  <c r="C27" i="1" s="1"/>
  <c r="B40" i="4"/>
  <c r="E19" i="12"/>
  <c r="E4" i="12"/>
  <c r="I4" i="12" s="1"/>
  <c r="E9" i="12"/>
  <c r="E11" i="12"/>
  <c r="E24" i="12"/>
  <c r="E17" i="12"/>
  <c r="E32" i="12"/>
  <c r="E31" i="12"/>
  <c r="E28" i="12"/>
  <c r="E30" i="12"/>
  <c r="E29" i="12"/>
  <c r="E7" i="12"/>
  <c r="E8" i="12"/>
  <c r="E22" i="12"/>
  <c r="E26" i="12"/>
  <c r="E6" i="12"/>
  <c r="E15" i="12"/>
  <c r="E23" i="12"/>
  <c r="E12" i="12"/>
  <c r="E27" i="12"/>
  <c r="E34" i="12"/>
  <c r="I34" i="12" s="1"/>
  <c r="E14" i="12"/>
  <c r="E16" i="12"/>
  <c r="E18" i="12"/>
  <c r="E10" i="12"/>
  <c r="E13" i="12"/>
  <c r="E25" i="12"/>
  <c r="E21" i="12"/>
  <c r="E5" i="12"/>
  <c r="E20" i="12"/>
  <c r="E33" i="12"/>
  <c r="G35" i="13"/>
  <c r="G40" i="4" l="1"/>
  <c r="C4" i="1"/>
  <c r="G70" i="4"/>
  <c r="C34" i="1"/>
  <c r="E71" i="13"/>
  <c r="H35" i="13"/>
  <c r="H34" i="1" s="1"/>
  <c r="Q34" i="1"/>
  <c r="M28" i="13"/>
  <c r="M27" i="13"/>
  <c r="G5" i="13"/>
  <c r="C4" i="12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5" i="1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14" i="11"/>
  <c r="B5" i="11"/>
  <c r="B6" i="11" s="1"/>
  <c r="B7" i="11" s="1"/>
  <c r="B8" i="11" s="1"/>
  <c r="B9" i="11" s="1"/>
  <c r="B10" i="11" s="1"/>
  <c r="B11" i="11" s="1"/>
  <c r="B12" i="11" s="1"/>
  <c r="B4" i="11"/>
  <c r="D2" i="7"/>
  <c r="B3" i="7" s="1"/>
  <c r="G41" i="4" s="1"/>
  <c r="E41" i="13" l="1"/>
  <c r="H5" i="13"/>
  <c r="H4" i="1" s="1"/>
  <c r="Q4" i="1"/>
  <c r="C42" i="13"/>
  <c r="D42" i="13"/>
  <c r="M3" i="17"/>
  <c r="B42" i="13"/>
  <c r="G6" i="13"/>
  <c r="K4" i="11"/>
  <c r="B4" i="6"/>
  <c r="V33" i="15"/>
  <c r="D262" i="15" s="1"/>
  <c r="R34" i="1"/>
  <c r="T33" i="15" s="1"/>
  <c r="B262" i="15" s="1"/>
  <c r="U33" i="15"/>
  <c r="C262" i="15" s="1"/>
  <c r="I5" i="12"/>
  <c r="S33" i="15"/>
  <c r="D231" i="15" s="1"/>
  <c r="M47" i="13"/>
  <c r="M46" i="13"/>
  <c r="G47" i="13"/>
  <c r="G46" i="13"/>
  <c r="B4" i="7"/>
  <c r="B19" i="12"/>
  <c r="L5" i="1"/>
  <c r="B4" i="3" s="1"/>
  <c r="B4" i="15" s="1"/>
  <c r="B47" i="15" s="1"/>
  <c r="R4" i="1" l="1"/>
  <c r="T3" i="3" s="1"/>
  <c r="T3" i="15" s="1"/>
  <c r="B232" i="15" s="1"/>
  <c r="V3" i="15"/>
  <c r="D232" i="15" s="1"/>
  <c r="U3" i="15"/>
  <c r="C232" i="15" s="1"/>
  <c r="E42" i="13"/>
  <c r="H6" i="13"/>
  <c r="H5" i="1" s="1"/>
  <c r="L6" i="1"/>
  <c r="B5" i="3" s="1"/>
  <c r="B5" i="15" s="1"/>
  <c r="B48" i="15" s="1"/>
  <c r="C43" i="13"/>
  <c r="D43" i="13"/>
  <c r="M4" i="17"/>
  <c r="B43" i="13"/>
  <c r="B5" i="6"/>
  <c r="G7" i="13"/>
  <c r="K5" i="11"/>
  <c r="G42" i="4"/>
  <c r="I6" i="12"/>
  <c r="M50" i="13"/>
  <c r="G50" i="13"/>
  <c r="B5" i="7"/>
  <c r="D3" i="15"/>
  <c r="D46" i="15" s="1"/>
  <c r="J3" i="15"/>
  <c r="D108" i="15" s="1"/>
  <c r="O5" i="1"/>
  <c r="K4" i="3" s="1"/>
  <c r="K4" i="15" s="1"/>
  <c r="B140" i="15" s="1"/>
  <c r="B20" i="12"/>
  <c r="L7" i="1" l="1"/>
  <c r="B6" i="3" s="1"/>
  <c r="B6" i="15" s="1"/>
  <c r="B49" i="15" s="1"/>
  <c r="D44" i="13"/>
  <c r="C44" i="13"/>
  <c r="M5" i="17"/>
  <c r="B44" i="13"/>
  <c r="B6" i="6"/>
  <c r="K6" i="11"/>
  <c r="G8" i="13"/>
  <c r="I7" i="12"/>
  <c r="G43" i="4"/>
  <c r="C5" i="15"/>
  <c r="C48" i="15" s="1"/>
  <c r="E43" i="13"/>
  <c r="H7" i="13"/>
  <c r="H6" i="1" s="1"/>
  <c r="Q5" i="1"/>
  <c r="S4" i="15"/>
  <c r="D202" i="15" s="1"/>
  <c r="R5" i="1"/>
  <c r="T4" i="3" s="1"/>
  <c r="T4" i="15" s="1"/>
  <c r="B233" i="15" s="1"/>
  <c r="V4" i="15"/>
  <c r="D233" i="15" s="1"/>
  <c r="U4" i="15"/>
  <c r="C233" i="15" s="1"/>
  <c r="L33" i="15"/>
  <c r="C169" i="15" s="1"/>
  <c r="M33" i="15"/>
  <c r="D169" i="15" s="1"/>
  <c r="B6" i="7"/>
  <c r="G9" i="13" s="1"/>
  <c r="Q33" i="3"/>
  <c r="Q33" i="15" s="1"/>
  <c r="B231" i="15" s="1"/>
  <c r="O6" i="1"/>
  <c r="K5" i="3" s="1"/>
  <c r="K5" i="15" s="1"/>
  <c r="B141" i="15" s="1"/>
  <c r="C4" i="15"/>
  <c r="C47" i="15" s="1"/>
  <c r="L34" i="1"/>
  <c r="B33" i="3" s="1"/>
  <c r="B33" i="15" s="1"/>
  <c r="B76" i="15" s="1"/>
  <c r="I3" i="15"/>
  <c r="C108" i="15" s="1"/>
  <c r="C3" i="15"/>
  <c r="C46" i="15" s="1"/>
  <c r="L4" i="1"/>
  <c r="B3" i="3" s="1"/>
  <c r="B3" i="15" s="1"/>
  <c r="B46" i="15" s="1"/>
  <c r="N4" i="1"/>
  <c r="H3" i="3" s="1"/>
  <c r="H3" i="15" s="1"/>
  <c r="B108" i="15" s="1"/>
  <c r="M3" i="15"/>
  <c r="D139" i="15" s="1"/>
  <c r="L5" i="15"/>
  <c r="C141" i="15" s="1"/>
  <c r="L6" i="15"/>
  <c r="C142" i="15" s="1"/>
  <c r="L4" i="15"/>
  <c r="C140" i="15" s="1"/>
  <c r="M5" i="15"/>
  <c r="D141" i="15" s="1"/>
  <c r="M4" i="15"/>
  <c r="D140" i="15" s="1"/>
  <c r="O4" i="1"/>
  <c r="K3" i="3" s="1"/>
  <c r="K3" i="15" s="1"/>
  <c r="B139" i="15" s="1"/>
  <c r="O34" i="1"/>
  <c r="K33" i="3" s="1"/>
  <c r="K33" i="15" s="1"/>
  <c r="B169" i="15" s="1"/>
  <c r="R33" i="15"/>
  <c r="C231" i="15" s="1"/>
  <c r="B21" i="12"/>
  <c r="Q6" i="1" l="1"/>
  <c r="S5" i="15"/>
  <c r="D203" i="15" s="1"/>
  <c r="V5" i="15"/>
  <c r="D234" i="15" s="1"/>
  <c r="U5" i="15"/>
  <c r="C234" i="15" s="1"/>
  <c r="R6" i="1"/>
  <c r="T5" i="3" s="1"/>
  <c r="T5" i="15" s="1"/>
  <c r="B234" i="15" s="1"/>
  <c r="E44" i="13"/>
  <c r="H7" i="1"/>
  <c r="D45" i="13"/>
  <c r="C45" i="13"/>
  <c r="M6" i="17"/>
  <c r="B45" i="13"/>
  <c r="B7" i="6"/>
  <c r="K7" i="11"/>
  <c r="I8" i="12"/>
  <c r="G44" i="4"/>
  <c r="C6" i="15"/>
  <c r="C49" i="15" s="1"/>
  <c r="G33" i="15"/>
  <c r="D107" i="15" s="1"/>
  <c r="M4" i="1"/>
  <c r="E3" i="3" s="1"/>
  <c r="E3" i="15" s="1"/>
  <c r="B77" i="15" s="1"/>
  <c r="F6" i="15"/>
  <c r="C80" i="15" s="1"/>
  <c r="M7" i="1"/>
  <c r="E6" i="3" s="1"/>
  <c r="E6" i="15" s="1"/>
  <c r="B80" i="15" s="1"/>
  <c r="O7" i="1"/>
  <c r="K6" i="3" s="1"/>
  <c r="K6" i="15" s="1"/>
  <c r="B142" i="15" s="1"/>
  <c r="M6" i="15"/>
  <c r="D142" i="15" s="1"/>
  <c r="B7" i="7"/>
  <c r="G10" i="13" s="1"/>
  <c r="O8" i="1"/>
  <c r="K7" i="3" s="1"/>
  <c r="K7" i="15" s="1"/>
  <c r="B143" i="15" s="1"/>
  <c r="M34" i="1"/>
  <c r="E33" i="3" s="1"/>
  <c r="E33" i="15" s="1"/>
  <c r="B107" i="15" s="1"/>
  <c r="M5" i="1"/>
  <c r="E4" i="3" s="1"/>
  <c r="E4" i="15" s="1"/>
  <c r="B78" i="15" s="1"/>
  <c r="G5" i="15"/>
  <c r="D79" i="15" s="1"/>
  <c r="M6" i="1"/>
  <c r="E5" i="3" s="1"/>
  <c r="E5" i="15" s="1"/>
  <c r="B79" i="15" s="1"/>
  <c r="Q3" i="3"/>
  <c r="Q3" i="15" s="1"/>
  <c r="B201" i="15" s="1"/>
  <c r="D4" i="15"/>
  <c r="D47" i="15" s="1"/>
  <c r="G6" i="15"/>
  <c r="D80" i="15" s="1"/>
  <c r="S3" i="15"/>
  <c r="D201" i="15" s="1"/>
  <c r="R3" i="15"/>
  <c r="C201" i="15" s="1"/>
  <c r="G7" i="15"/>
  <c r="D81" i="15" s="1"/>
  <c r="F4" i="15"/>
  <c r="C78" i="15" s="1"/>
  <c r="G4" i="15"/>
  <c r="D78" i="15" s="1"/>
  <c r="F7" i="15"/>
  <c r="C81" i="15" s="1"/>
  <c r="G3" i="15"/>
  <c r="D77" i="15" s="1"/>
  <c r="F3" i="15"/>
  <c r="C77" i="15" s="1"/>
  <c r="F33" i="15"/>
  <c r="C107" i="15" s="1"/>
  <c r="F5" i="15"/>
  <c r="C79" i="15" s="1"/>
  <c r="B22" i="12"/>
  <c r="E45" i="13" l="1"/>
  <c r="H8" i="1"/>
  <c r="C7" i="15"/>
  <c r="C50" i="15" s="1"/>
  <c r="Q7" i="1"/>
  <c r="S6" i="15"/>
  <c r="D204" i="15" s="1"/>
  <c r="C46" i="13"/>
  <c r="D46" i="13"/>
  <c r="H48" i="13" s="1"/>
  <c r="M7" i="17"/>
  <c r="B46" i="13"/>
  <c r="H45" i="13" s="1"/>
  <c r="B8" i="6"/>
  <c r="K8" i="11"/>
  <c r="I9" i="12"/>
  <c r="G45" i="4"/>
  <c r="V6" i="15"/>
  <c r="D235" i="15" s="1"/>
  <c r="U6" i="15"/>
  <c r="C235" i="15" s="1"/>
  <c r="R7" i="1"/>
  <c r="T6" i="3" s="1"/>
  <c r="T6" i="15" s="1"/>
  <c r="B235" i="15" s="1"/>
  <c r="L8" i="1"/>
  <c r="B7" i="3" s="1"/>
  <c r="B7" i="15" s="1"/>
  <c r="B50" i="15" s="1"/>
  <c r="M7" i="15"/>
  <c r="D143" i="15" s="1"/>
  <c r="L7" i="15"/>
  <c r="C143" i="15" s="1"/>
  <c r="M8" i="1"/>
  <c r="E7" i="3" s="1"/>
  <c r="E7" i="15" s="1"/>
  <c r="B81" i="15" s="1"/>
  <c r="B8" i="7"/>
  <c r="G11" i="13" s="1"/>
  <c r="M9" i="1"/>
  <c r="E8" i="3" s="1"/>
  <c r="E8" i="15" s="1"/>
  <c r="B82" i="15" s="1"/>
  <c r="C33" i="15"/>
  <c r="C76" i="15" s="1"/>
  <c r="D5" i="15"/>
  <c r="D48" i="15" s="1"/>
  <c r="R4" i="15"/>
  <c r="C202" i="15" s="1"/>
  <c r="B23" i="12"/>
  <c r="C47" i="13" l="1"/>
  <c r="D47" i="13"/>
  <c r="M8" i="17"/>
  <c r="B47" i="13"/>
  <c r="B9" i="6"/>
  <c r="K9" i="11"/>
  <c r="G46" i="4"/>
  <c r="I10" i="12"/>
  <c r="C8" i="15"/>
  <c r="C51" i="15" s="1"/>
  <c r="Q8" i="1"/>
  <c r="S7" i="15"/>
  <c r="D205" i="15" s="1"/>
  <c r="E46" i="13"/>
  <c r="H47" i="13" s="1"/>
  <c r="H9" i="1"/>
  <c r="U7" i="15"/>
  <c r="C236" i="15" s="1"/>
  <c r="R8" i="1"/>
  <c r="T7" i="3" s="1"/>
  <c r="T7" i="15" s="1"/>
  <c r="B236" i="15" s="1"/>
  <c r="V7" i="15"/>
  <c r="D236" i="15" s="1"/>
  <c r="G8" i="15"/>
  <c r="D82" i="15" s="1"/>
  <c r="F8" i="15"/>
  <c r="C82" i="15" s="1"/>
  <c r="M8" i="15"/>
  <c r="D144" i="15" s="1"/>
  <c r="O9" i="1"/>
  <c r="K8" i="3" s="1"/>
  <c r="K8" i="15" s="1"/>
  <c r="B144" i="15" s="1"/>
  <c r="L9" i="1"/>
  <c r="B8" i="3" s="1"/>
  <c r="B8" i="15" s="1"/>
  <c r="B51" i="15" s="1"/>
  <c r="L8" i="15"/>
  <c r="C144" i="15" s="1"/>
  <c r="B9" i="7"/>
  <c r="G12" i="13" s="1"/>
  <c r="D6" i="15"/>
  <c r="D49" i="15" s="1"/>
  <c r="D7" i="15"/>
  <c r="D50" i="15" s="1"/>
  <c r="R5" i="15"/>
  <c r="C203" i="15" s="1"/>
  <c r="B24" i="12"/>
  <c r="R9" i="1" l="1"/>
  <c r="T8" i="3" s="1"/>
  <c r="T8" i="15" s="1"/>
  <c r="B237" i="15" s="1"/>
  <c r="V8" i="15"/>
  <c r="D237" i="15" s="1"/>
  <c r="U8" i="15"/>
  <c r="C237" i="15" s="1"/>
  <c r="Q9" i="1"/>
  <c r="S8" i="15"/>
  <c r="D206" i="15" s="1"/>
  <c r="C48" i="13"/>
  <c r="D48" i="13"/>
  <c r="M9" i="17"/>
  <c r="B48" i="13"/>
  <c r="B10" i="6"/>
  <c r="K10" i="11"/>
  <c r="I11" i="12"/>
  <c r="G47" i="4"/>
  <c r="E47" i="13"/>
  <c r="H10" i="1"/>
  <c r="H46" i="13"/>
  <c r="C9" i="15"/>
  <c r="C52" i="15" s="1"/>
  <c r="D9" i="15"/>
  <c r="D52" i="15" s="1"/>
  <c r="L9" i="15"/>
  <c r="C145" i="15" s="1"/>
  <c r="L10" i="1"/>
  <c r="B9" i="3" s="1"/>
  <c r="B9" i="15" s="1"/>
  <c r="B52" i="15" s="1"/>
  <c r="M9" i="15"/>
  <c r="D145" i="15" s="1"/>
  <c r="O10" i="1"/>
  <c r="K9" i="3" s="1"/>
  <c r="K9" i="15" s="1"/>
  <c r="B145" i="15" s="1"/>
  <c r="G9" i="15"/>
  <c r="D83" i="15" s="1"/>
  <c r="M10" i="1"/>
  <c r="E9" i="3" s="1"/>
  <c r="E9" i="15" s="1"/>
  <c r="B83" i="15" s="1"/>
  <c r="F9" i="15"/>
  <c r="C83" i="15" s="1"/>
  <c r="B10" i="7"/>
  <c r="G13" i="13" s="1"/>
  <c r="R6" i="15"/>
  <c r="C204" i="15" s="1"/>
  <c r="D8" i="15"/>
  <c r="D51" i="15" s="1"/>
  <c r="D33" i="15"/>
  <c r="D76" i="15" s="1"/>
  <c r="B25" i="12"/>
  <c r="E48" i="13" l="1"/>
  <c r="H11" i="1"/>
  <c r="C49" i="13"/>
  <c r="D49" i="13"/>
  <c r="M10" i="17"/>
  <c r="B49" i="13"/>
  <c r="B11" i="6"/>
  <c r="K11" i="11"/>
  <c r="G48" i="4"/>
  <c r="I12" i="12"/>
  <c r="R10" i="1"/>
  <c r="T9" i="3" s="1"/>
  <c r="T9" i="15" s="1"/>
  <c r="B238" i="15" s="1"/>
  <c r="V9" i="15"/>
  <c r="D238" i="15" s="1"/>
  <c r="U9" i="15"/>
  <c r="C238" i="15" s="1"/>
  <c r="Q10" i="1"/>
  <c r="S9" i="15"/>
  <c r="D207" i="15" s="1"/>
  <c r="H50" i="13"/>
  <c r="D10" i="15"/>
  <c r="D53" i="15" s="1"/>
  <c r="C10" i="15"/>
  <c r="C53" i="15" s="1"/>
  <c r="L11" i="1"/>
  <c r="B10" i="3" s="1"/>
  <c r="B10" i="15" s="1"/>
  <c r="B53" i="15" s="1"/>
  <c r="O11" i="1"/>
  <c r="K10" i="3" s="1"/>
  <c r="K10" i="15" s="1"/>
  <c r="B146" i="15" s="1"/>
  <c r="M10" i="15"/>
  <c r="D146" i="15" s="1"/>
  <c r="M11" i="1"/>
  <c r="E10" i="3" s="1"/>
  <c r="E10" i="15" s="1"/>
  <c r="B84" i="15" s="1"/>
  <c r="L10" i="15"/>
  <c r="C146" i="15" s="1"/>
  <c r="G10" i="15"/>
  <c r="D84" i="15" s="1"/>
  <c r="F10" i="15"/>
  <c r="C84" i="15" s="1"/>
  <c r="B11" i="7"/>
  <c r="G14" i="13" s="1"/>
  <c r="R7" i="15"/>
  <c r="C205" i="15" s="1"/>
  <c r="B26" i="12"/>
  <c r="C50" i="13" l="1"/>
  <c r="D50" i="13"/>
  <c r="M11" i="17"/>
  <c r="B50" i="13"/>
  <c r="B12" i="6"/>
  <c r="K12" i="11"/>
  <c r="I13" i="12"/>
  <c r="G49" i="4"/>
  <c r="E49" i="13"/>
  <c r="H12" i="1"/>
  <c r="C11" i="15"/>
  <c r="C54" i="15" s="1"/>
  <c r="D11" i="15"/>
  <c r="D54" i="15" s="1"/>
  <c r="Q11" i="1"/>
  <c r="S10" i="15"/>
  <c r="D208" i="15" s="1"/>
  <c r="U10" i="15"/>
  <c r="C239" i="15" s="1"/>
  <c r="R11" i="1"/>
  <c r="T10" i="3" s="1"/>
  <c r="T10" i="15" s="1"/>
  <c r="B239" i="15" s="1"/>
  <c r="V10" i="15"/>
  <c r="D239" i="15" s="1"/>
  <c r="M11" i="15"/>
  <c r="D147" i="15" s="1"/>
  <c r="L12" i="1"/>
  <c r="B11" i="3" s="1"/>
  <c r="B11" i="15" s="1"/>
  <c r="B54" i="15" s="1"/>
  <c r="L11" i="15"/>
  <c r="C147" i="15" s="1"/>
  <c r="O12" i="1"/>
  <c r="K11" i="3" s="1"/>
  <c r="K11" i="15" s="1"/>
  <c r="B147" i="15" s="1"/>
  <c r="M12" i="1"/>
  <c r="E11" i="3" s="1"/>
  <c r="E11" i="15" s="1"/>
  <c r="B85" i="15" s="1"/>
  <c r="F11" i="15"/>
  <c r="C85" i="15" s="1"/>
  <c r="G11" i="15"/>
  <c r="D85" i="15" s="1"/>
  <c r="B12" i="7"/>
  <c r="G15" i="13" s="1"/>
  <c r="R8" i="15"/>
  <c r="C206" i="15" s="1"/>
  <c r="B27" i="12"/>
  <c r="Q12" i="1" l="1"/>
  <c r="S11" i="15"/>
  <c r="D209" i="15" s="1"/>
  <c r="C51" i="13"/>
  <c r="M12" i="17"/>
  <c r="D51" i="13"/>
  <c r="I48" i="13" s="1"/>
  <c r="B51" i="13"/>
  <c r="I45" i="13" s="1"/>
  <c r="B13" i="6"/>
  <c r="K13" i="11"/>
  <c r="I14" i="12"/>
  <c r="G50" i="4"/>
  <c r="V11" i="15"/>
  <c r="D240" i="15" s="1"/>
  <c r="U11" i="15"/>
  <c r="C240" i="15" s="1"/>
  <c r="R12" i="1"/>
  <c r="T11" i="3" s="1"/>
  <c r="T11" i="15" s="1"/>
  <c r="B240" i="15" s="1"/>
  <c r="E50" i="13"/>
  <c r="H13" i="1"/>
  <c r="D12" i="15"/>
  <c r="D55" i="15" s="1"/>
  <c r="C12" i="15"/>
  <c r="C55" i="15" s="1"/>
  <c r="O13" i="1"/>
  <c r="K12" i="3" s="1"/>
  <c r="K12" i="15" s="1"/>
  <c r="B148" i="15" s="1"/>
  <c r="L13" i="1"/>
  <c r="B12" i="3" s="1"/>
  <c r="B12" i="15" s="1"/>
  <c r="B55" i="15" s="1"/>
  <c r="M12" i="15"/>
  <c r="D148" i="15" s="1"/>
  <c r="M13" i="1"/>
  <c r="E12" i="3" s="1"/>
  <c r="E12" i="15" s="1"/>
  <c r="B86" i="15" s="1"/>
  <c r="L12" i="15"/>
  <c r="C148" i="15" s="1"/>
  <c r="G12" i="15"/>
  <c r="D86" i="15" s="1"/>
  <c r="F12" i="15"/>
  <c r="C86" i="15" s="1"/>
  <c r="B13" i="7"/>
  <c r="G16" i="13" s="1"/>
  <c r="R9" i="15"/>
  <c r="C207" i="15" s="1"/>
  <c r="B28" i="12"/>
  <c r="Q13" i="1" l="1"/>
  <c r="S12" i="15"/>
  <c r="D210" i="15" s="1"/>
  <c r="E51" i="13"/>
  <c r="I47" i="13" s="1"/>
  <c r="H14" i="1"/>
  <c r="I46" i="13"/>
  <c r="D13" i="15"/>
  <c r="D56" i="15" s="1"/>
  <c r="C13" i="15"/>
  <c r="C56" i="15" s="1"/>
  <c r="C52" i="13"/>
  <c r="M13" i="17"/>
  <c r="D52" i="13"/>
  <c r="B52" i="13"/>
  <c r="B14" i="6"/>
  <c r="K14" i="11"/>
  <c r="G51" i="4"/>
  <c r="I15" i="12"/>
  <c r="U12" i="15"/>
  <c r="C241" i="15" s="1"/>
  <c r="R13" i="1"/>
  <c r="T12" i="3" s="1"/>
  <c r="T12" i="15" s="1"/>
  <c r="B241" i="15" s="1"/>
  <c r="V12" i="15"/>
  <c r="D241" i="15" s="1"/>
  <c r="B14" i="7"/>
  <c r="G17" i="13" s="1"/>
  <c r="L14" i="1"/>
  <c r="B13" i="3" s="1"/>
  <c r="B13" i="15" s="1"/>
  <c r="B56" i="15" s="1"/>
  <c r="L13" i="15"/>
  <c r="C149" i="15" s="1"/>
  <c r="M14" i="1"/>
  <c r="E13" i="3" s="1"/>
  <c r="E13" i="15" s="1"/>
  <c r="B87" i="15" s="1"/>
  <c r="O14" i="1"/>
  <c r="K13" i="3" s="1"/>
  <c r="K13" i="15" s="1"/>
  <c r="B149" i="15" s="1"/>
  <c r="M13" i="15"/>
  <c r="D149" i="15" s="1"/>
  <c r="G13" i="15"/>
  <c r="D87" i="15" s="1"/>
  <c r="F13" i="15"/>
  <c r="C87" i="15" s="1"/>
  <c r="R10" i="15"/>
  <c r="C208" i="15" s="1"/>
  <c r="B29" i="12"/>
  <c r="E52" i="13" l="1"/>
  <c r="H15" i="1"/>
  <c r="Q14" i="1"/>
  <c r="S13" i="15"/>
  <c r="D211" i="15" s="1"/>
  <c r="V13" i="15"/>
  <c r="D242" i="15" s="1"/>
  <c r="R14" i="1"/>
  <c r="T13" i="3" s="1"/>
  <c r="T13" i="15" s="1"/>
  <c r="B242" i="15" s="1"/>
  <c r="U13" i="15"/>
  <c r="C242" i="15" s="1"/>
  <c r="C14" i="15"/>
  <c r="C57" i="15" s="1"/>
  <c r="D14" i="15"/>
  <c r="D57" i="15" s="1"/>
  <c r="C53" i="13"/>
  <c r="M14" i="17"/>
  <c r="D53" i="13"/>
  <c r="B53" i="13"/>
  <c r="B15" i="6"/>
  <c r="K15" i="11"/>
  <c r="I16" i="12"/>
  <c r="G52" i="4"/>
  <c r="I50" i="13"/>
  <c r="L15" i="1"/>
  <c r="B14" i="3" s="1"/>
  <c r="B14" i="15" s="1"/>
  <c r="B57" i="15" s="1"/>
  <c r="M14" i="15"/>
  <c r="D150" i="15" s="1"/>
  <c r="L14" i="15"/>
  <c r="C150" i="15" s="1"/>
  <c r="M15" i="1"/>
  <c r="E14" i="3" s="1"/>
  <c r="E14" i="15" s="1"/>
  <c r="B88" i="15" s="1"/>
  <c r="O15" i="1"/>
  <c r="K14" i="3" s="1"/>
  <c r="K14" i="15" s="1"/>
  <c r="B150" i="15" s="1"/>
  <c r="G14" i="15"/>
  <c r="D88" i="15" s="1"/>
  <c r="F14" i="15"/>
  <c r="C88" i="15" s="1"/>
  <c r="B15" i="7"/>
  <c r="G18" i="13" s="1"/>
  <c r="R11" i="15"/>
  <c r="C209" i="15" s="1"/>
  <c r="B30" i="12"/>
  <c r="C54" i="13" l="1"/>
  <c r="D54" i="13"/>
  <c r="M15" i="17"/>
  <c r="B54" i="13"/>
  <c r="B16" i="6"/>
  <c r="K16" i="11"/>
  <c r="I17" i="12"/>
  <c r="G53" i="4"/>
  <c r="E53" i="13"/>
  <c r="H16" i="1"/>
  <c r="D15" i="15"/>
  <c r="D58" i="15" s="1"/>
  <c r="C15" i="15"/>
  <c r="C58" i="15" s="1"/>
  <c r="Q15" i="1"/>
  <c r="S14" i="15"/>
  <c r="D212" i="15" s="1"/>
  <c r="R15" i="1"/>
  <c r="T14" i="3" s="1"/>
  <c r="T14" i="15" s="1"/>
  <c r="B243" i="15" s="1"/>
  <c r="U14" i="15"/>
  <c r="C243" i="15" s="1"/>
  <c r="V14" i="15"/>
  <c r="D243" i="15" s="1"/>
  <c r="L16" i="1"/>
  <c r="B15" i="3" s="1"/>
  <c r="B15" i="15" s="1"/>
  <c r="B58" i="15" s="1"/>
  <c r="M15" i="15"/>
  <c r="D151" i="15" s="1"/>
  <c r="L15" i="15"/>
  <c r="C151" i="15" s="1"/>
  <c r="O16" i="1"/>
  <c r="K15" i="3" s="1"/>
  <c r="K15" i="15" s="1"/>
  <c r="B151" i="15" s="1"/>
  <c r="F15" i="15"/>
  <c r="C89" i="15" s="1"/>
  <c r="M16" i="1"/>
  <c r="E15" i="3" s="1"/>
  <c r="E15" i="15" s="1"/>
  <c r="B89" i="15" s="1"/>
  <c r="G15" i="15"/>
  <c r="D89" i="15" s="1"/>
  <c r="B16" i="7"/>
  <c r="G19" i="13" s="1"/>
  <c r="R12" i="15"/>
  <c r="C210" i="15" s="1"/>
  <c r="B31" i="12"/>
  <c r="C55" i="13" l="1"/>
  <c r="D55" i="13"/>
  <c r="M16" i="17"/>
  <c r="B55" i="13"/>
  <c r="B17" i="6"/>
  <c r="K17" i="11"/>
  <c r="G54" i="4"/>
  <c r="I18" i="12"/>
  <c r="V15" i="15"/>
  <c r="D244" i="15" s="1"/>
  <c r="R16" i="1"/>
  <c r="T15" i="3" s="1"/>
  <c r="T15" i="15" s="1"/>
  <c r="B244" i="15" s="1"/>
  <c r="U15" i="15"/>
  <c r="C244" i="15" s="1"/>
  <c r="Q16" i="1"/>
  <c r="S15" i="15"/>
  <c r="D213" i="15" s="1"/>
  <c r="E54" i="13"/>
  <c r="H17" i="1"/>
  <c r="C16" i="15"/>
  <c r="C59" i="15" s="1"/>
  <c r="D16" i="15"/>
  <c r="D59" i="15" s="1"/>
  <c r="B17" i="7"/>
  <c r="G20" i="13" s="1"/>
  <c r="L17" i="1"/>
  <c r="B16" i="3" s="1"/>
  <c r="B16" i="15" s="1"/>
  <c r="B59" i="15" s="1"/>
  <c r="O17" i="1"/>
  <c r="K16" i="3" s="1"/>
  <c r="K16" i="15" s="1"/>
  <c r="B152" i="15" s="1"/>
  <c r="M16" i="15"/>
  <c r="D152" i="15" s="1"/>
  <c r="M17" i="1"/>
  <c r="E16" i="3" s="1"/>
  <c r="E16" i="15" s="1"/>
  <c r="B90" i="15" s="1"/>
  <c r="L16" i="15"/>
  <c r="C152" i="15" s="1"/>
  <c r="F16" i="15"/>
  <c r="C90" i="15" s="1"/>
  <c r="G16" i="15"/>
  <c r="D90" i="15" s="1"/>
  <c r="R13" i="15"/>
  <c r="C211" i="15" s="1"/>
  <c r="B32" i="12"/>
  <c r="R17" i="1" l="1"/>
  <c r="T16" i="3" s="1"/>
  <c r="T16" i="15" s="1"/>
  <c r="B245" i="15" s="1"/>
  <c r="V16" i="15"/>
  <c r="D245" i="15" s="1"/>
  <c r="U16" i="15"/>
  <c r="C245" i="15" s="1"/>
  <c r="Q17" i="1"/>
  <c r="S16" i="15"/>
  <c r="D214" i="15" s="1"/>
  <c r="C56" i="13"/>
  <c r="D56" i="13"/>
  <c r="J48" i="13" s="1"/>
  <c r="M17" i="17"/>
  <c r="B56" i="13"/>
  <c r="J45" i="13" s="1"/>
  <c r="B18" i="6"/>
  <c r="K18" i="11"/>
  <c r="I19" i="12"/>
  <c r="G55" i="4"/>
  <c r="E55" i="13"/>
  <c r="H18" i="1"/>
  <c r="C17" i="15"/>
  <c r="C60" i="15" s="1"/>
  <c r="D17" i="15"/>
  <c r="D60" i="15" s="1"/>
  <c r="L18" i="1"/>
  <c r="B17" i="3" s="1"/>
  <c r="B17" i="15" s="1"/>
  <c r="B60" i="15" s="1"/>
  <c r="M18" i="1"/>
  <c r="E17" i="3" s="1"/>
  <c r="E17" i="15" s="1"/>
  <c r="B91" i="15" s="1"/>
  <c r="L17" i="15"/>
  <c r="C153" i="15" s="1"/>
  <c r="M17" i="15"/>
  <c r="D153" i="15" s="1"/>
  <c r="O18" i="1"/>
  <c r="K17" i="3" s="1"/>
  <c r="K17" i="15" s="1"/>
  <c r="B153" i="15" s="1"/>
  <c r="F17" i="15"/>
  <c r="C91" i="15" s="1"/>
  <c r="G17" i="15"/>
  <c r="D91" i="15" s="1"/>
  <c r="B18" i="7"/>
  <c r="G21" i="13" s="1"/>
  <c r="R14" i="15"/>
  <c r="C212" i="15" s="1"/>
  <c r="B33" i="12"/>
  <c r="C57" i="13" l="1"/>
  <c r="D57" i="13"/>
  <c r="M18" i="17"/>
  <c r="B57" i="13"/>
  <c r="B19" i="6"/>
  <c r="K19" i="11"/>
  <c r="I20" i="12"/>
  <c r="G56" i="4"/>
  <c r="R18" i="1"/>
  <c r="T17" i="3" s="1"/>
  <c r="T17" i="15" s="1"/>
  <c r="B246" i="15" s="1"/>
  <c r="U17" i="15"/>
  <c r="C246" i="15" s="1"/>
  <c r="V17" i="15"/>
  <c r="D246" i="15" s="1"/>
  <c r="Q18" i="1"/>
  <c r="S17" i="15"/>
  <c r="D215" i="15" s="1"/>
  <c r="E56" i="13"/>
  <c r="J47" i="13" s="1"/>
  <c r="H19" i="1"/>
  <c r="C18" i="15"/>
  <c r="C61" i="15" s="1"/>
  <c r="D18" i="15"/>
  <c r="D61" i="15" s="1"/>
  <c r="L19" i="1"/>
  <c r="B18" i="3" s="1"/>
  <c r="B18" i="15" s="1"/>
  <c r="B61" i="15" s="1"/>
  <c r="M18" i="15"/>
  <c r="D154" i="15" s="1"/>
  <c r="L18" i="15"/>
  <c r="C154" i="15" s="1"/>
  <c r="O19" i="1"/>
  <c r="K18" i="3" s="1"/>
  <c r="K18" i="15" s="1"/>
  <c r="B154" i="15" s="1"/>
  <c r="F18" i="15"/>
  <c r="C92" i="15" s="1"/>
  <c r="M19" i="1"/>
  <c r="E18" i="3" s="1"/>
  <c r="E18" i="15" s="1"/>
  <c r="B92" i="15" s="1"/>
  <c r="G18" i="15"/>
  <c r="D92" i="15" s="1"/>
  <c r="B19" i="7"/>
  <c r="G22" i="13" s="1"/>
  <c r="R15" i="15"/>
  <c r="C213" i="15" s="1"/>
  <c r="R19" i="1" l="1"/>
  <c r="T18" i="3" s="1"/>
  <c r="T18" i="15" s="1"/>
  <c r="B247" i="15" s="1"/>
  <c r="V18" i="15"/>
  <c r="D247" i="15" s="1"/>
  <c r="U18" i="15"/>
  <c r="C247" i="15" s="1"/>
  <c r="E57" i="13"/>
  <c r="H20" i="1"/>
  <c r="C19" i="15"/>
  <c r="C62" i="15" s="1"/>
  <c r="D19" i="15"/>
  <c r="D62" i="15" s="1"/>
  <c r="D58" i="13"/>
  <c r="C58" i="13"/>
  <c r="M19" i="17"/>
  <c r="B58" i="13"/>
  <c r="B20" i="6"/>
  <c r="K20" i="11"/>
  <c r="I21" i="12"/>
  <c r="G57" i="4"/>
  <c r="J46" i="13"/>
  <c r="Q19" i="1"/>
  <c r="S18" i="15"/>
  <c r="D216" i="15" s="1"/>
  <c r="B20" i="7"/>
  <c r="M19" i="15"/>
  <c r="D155" i="15" s="1"/>
  <c r="L20" i="1"/>
  <c r="B19" i="3" s="1"/>
  <c r="B19" i="15" s="1"/>
  <c r="B62" i="15" s="1"/>
  <c r="M20" i="1"/>
  <c r="E19" i="3" s="1"/>
  <c r="E19" i="15" s="1"/>
  <c r="B93" i="15" s="1"/>
  <c r="L19" i="15"/>
  <c r="C155" i="15" s="1"/>
  <c r="O20" i="1"/>
  <c r="K19" i="3" s="1"/>
  <c r="K19" i="15" s="1"/>
  <c r="B155" i="15" s="1"/>
  <c r="F19" i="15"/>
  <c r="C93" i="15" s="1"/>
  <c r="G19" i="15"/>
  <c r="D93" i="15" s="1"/>
  <c r="R16" i="15"/>
  <c r="C214" i="15" s="1"/>
  <c r="J50" i="13" l="1"/>
  <c r="Q20" i="1"/>
  <c r="S19" i="15"/>
  <c r="D217" i="15" s="1"/>
  <c r="V19" i="15"/>
  <c r="D248" i="15" s="1"/>
  <c r="R20" i="1"/>
  <c r="T19" i="3" s="1"/>
  <c r="T19" i="15" s="1"/>
  <c r="B248" i="15" s="1"/>
  <c r="U19" i="15"/>
  <c r="C248" i="15" s="1"/>
  <c r="D20" i="15"/>
  <c r="D63" i="15" s="1"/>
  <c r="C20" i="15"/>
  <c r="C63" i="15" s="1"/>
  <c r="C59" i="13"/>
  <c r="D59" i="13"/>
  <c r="M20" i="17"/>
  <c r="B59" i="13"/>
  <c r="B21" i="6"/>
  <c r="G23" i="13"/>
  <c r="K21" i="11"/>
  <c r="I22" i="12"/>
  <c r="G58" i="4"/>
  <c r="E58" i="13"/>
  <c r="H21" i="1"/>
  <c r="M20" i="15"/>
  <c r="D156" i="15" s="1"/>
  <c r="L21" i="1"/>
  <c r="B20" i="3" s="1"/>
  <c r="B20" i="15" s="1"/>
  <c r="B63" i="15" s="1"/>
  <c r="L20" i="15"/>
  <c r="C156" i="15" s="1"/>
  <c r="M21" i="1"/>
  <c r="E20" i="3" s="1"/>
  <c r="E20" i="15" s="1"/>
  <c r="B94" i="15" s="1"/>
  <c r="O21" i="1"/>
  <c r="K20" i="3" s="1"/>
  <c r="K20" i="15" s="1"/>
  <c r="B156" i="15" s="1"/>
  <c r="G20" i="15"/>
  <c r="D94" i="15" s="1"/>
  <c r="F20" i="15"/>
  <c r="C94" i="15" s="1"/>
  <c r="B21" i="7"/>
  <c r="R17" i="15"/>
  <c r="C215" i="15" s="1"/>
  <c r="C21" i="15" l="1"/>
  <c r="C64" i="15" s="1"/>
  <c r="C60" i="13"/>
  <c r="D60" i="13"/>
  <c r="M21" i="17"/>
  <c r="B60" i="13"/>
  <c r="B22" i="6"/>
  <c r="K22" i="11"/>
  <c r="G24" i="13"/>
  <c r="G59" i="4"/>
  <c r="I23" i="12"/>
  <c r="Q21" i="1"/>
  <c r="S20" i="15"/>
  <c r="D218" i="15" s="1"/>
  <c r="E59" i="13"/>
  <c r="H22" i="1"/>
  <c r="V20" i="15"/>
  <c r="D249" i="15" s="1"/>
  <c r="R21" i="1"/>
  <c r="T20" i="3" s="1"/>
  <c r="T20" i="15" s="1"/>
  <c r="B249" i="15" s="1"/>
  <c r="U20" i="15"/>
  <c r="C249" i="15" s="1"/>
  <c r="B22" i="7"/>
  <c r="L22" i="1"/>
  <c r="B21" i="3" s="1"/>
  <c r="B21" i="15" s="1"/>
  <c r="B64" i="15" s="1"/>
  <c r="L21" i="15"/>
  <c r="C157" i="15" s="1"/>
  <c r="M21" i="15"/>
  <c r="D157" i="15" s="1"/>
  <c r="F21" i="15"/>
  <c r="C95" i="15" s="1"/>
  <c r="G21" i="15"/>
  <c r="D95" i="15" s="1"/>
  <c r="M22" i="1"/>
  <c r="E21" i="3" s="1"/>
  <c r="E21" i="15" s="1"/>
  <c r="B95" i="15" s="1"/>
  <c r="O22" i="1"/>
  <c r="K21" i="3" s="1"/>
  <c r="K21" i="15" s="1"/>
  <c r="B157" i="15" s="1"/>
  <c r="D21" i="15"/>
  <c r="D64" i="15" s="1"/>
  <c r="R18" i="15"/>
  <c r="C216" i="15" s="1"/>
  <c r="E60" i="13" l="1"/>
  <c r="H23" i="1"/>
  <c r="V21" i="15"/>
  <c r="D250" i="15" s="1"/>
  <c r="R22" i="1"/>
  <c r="T21" i="3" s="1"/>
  <c r="T21" i="15" s="1"/>
  <c r="B250" i="15" s="1"/>
  <c r="U21" i="15"/>
  <c r="C250" i="15" s="1"/>
  <c r="Q22" i="1"/>
  <c r="S21" i="15"/>
  <c r="D219" i="15" s="1"/>
  <c r="D22" i="15"/>
  <c r="D65" i="15" s="1"/>
  <c r="C22" i="15"/>
  <c r="C65" i="15" s="1"/>
  <c r="D61" i="13"/>
  <c r="K48" i="13" s="1"/>
  <c r="C61" i="13"/>
  <c r="M22" i="17"/>
  <c r="B61" i="13"/>
  <c r="K45" i="13" s="1"/>
  <c r="B23" i="6"/>
  <c r="G25" i="13"/>
  <c r="K23" i="11"/>
  <c r="G60" i="4"/>
  <c r="I24" i="12"/>
  <c r="L23" i="1"/>
  <c r="B22" i="3" s="1"/>
  <c r="B22" i="15" s="1"/>
  <c r="B65" i="15" s="1"/>
  <c r="L22" i="15"/>
  <c r="C158" i="15" s="1"/>
  <c r="M22" i="15"/>
  <c r="D158" i="15" s="1"/>
  <c r="F22" i="15"/>
  <c r="C96" i="15" s="1"/>
  <c r="M23" i="1"/>
  <c r="E22" i="3" s="1"/>
  <c r="E22" i="15" s="1"/>
  <c r="B96" i="15" s="1"/>
  <c r="G22" i="15"/>
  <c r="D96" i="15" s="1"/>
  <c r="O23" i="1"/>
  <c r="K22" i="3" s="1"/>
  <c r="K22" i="15" s="1"/>
  <c r="B158" i="15" s="1"/>
  <c r="B23" i="7"/>
  <c r="R19" i="15"/>
  <c r="C217" i="15" s="1"/>
  <c r="E61" i="13" l="1"/>
  <c r="K47" i="13" s="1"/>
  <c r="H24" i="1"/>
  <c r="C62" i="13"/>
  <c r="D62" i="13"/>
  <c r="M23" i="17"/>
  <c r="B62" i="13"/>
  <c r="B24" i="6"/>
  <c r="K24" i="11"/>
  <c r="G26" i="13"/>
  <c r="I25" i="12"/>
  <c r="G61" i="4"/>
  <c r="Q23" i="1"/>
  <c r="S22" i="15"/>
  <c r="D220" i="15" s="1"/>
  <c r="U22" i="15"/>
  <c r="C251" i="15" s="1"/>
  <c r="R23" i="1"/>
  <c r="T22" i="3" s="1"/>
  <c r="T22" i="15" s="1"/>
  <c r="B251" i="15" s="1"/>
  <c r="V22" i="15"/>
  <c r="D251" i="15" s="1"/>
  <c r="B24" i="7"/>
  <c r="L23" i="15"/>
  <c r="C159" i="15" s="1"/>
  <c r="L24" i="1"/>
  <c r="B23" i="3" s="1"/>
  <c r="B23" i="15" s="1"/>
  <c r="B66" i="15" s="1"/>
  <c r="M23" i="15"/>
  <c r="D159" i="15" s="1"/>
  <c r="M24" i="1"/>
  <c r="E23" i="3" s="1"/>
  <c r="E23" i="15" s="1"/>
  <c r="B97" i="15" s="1"/>
  <c r="G23" i="15"/>
  <c r="D97" i="15" s="1"/>
  <c r="C23" i="15"/>
  <c r="C66" i="15" s="1"/>
  <c r="F23" i="15"/>
  <c r="C97" i="15" s="1"/>
  <c r="D23" i="15"/>
  <c r="D66" i="15" s="1"/>
  <c r="O24" i="1"/>
  <c r="K23" i="3" s="1"/>
  <c r="K23" i="15" s="1"/>
  <c r="B159" i="15" s="1"/>
  <c r="R20" i="15"/>
  <c r="C218" i="15" s="1"/>
  <c r="E62" i="13" l="1"/>
  <c r="H25" i="1"/>
  <c r="C63" i="13"/>
  <c r="D63" i="13"/>
  <c r="M24" i="17"/>
  <c r="B63" i="13"/>
  <c r="B25" i="6"/>
  <c r="G27" i="13"/>
  <c r="K25" i="11"/>
  <c r="G62" i="4"/>
  <c r="I26" i="12"/>
  <c r="Q24" i="1"/>
  <c r="S23" i="15"/>
  <c r="D221" i="15" s="1"/>
  <c r="V23" i="15"/>
  <c r="D252" i="15" s="1"/>
  <c r="R24" i="1"/>
  <c r="T23" i="3" s="1"/>
  <c r="T23" i="15" s="1"/>
  <c r="B252" i="15" s="1"/>
  <c r="U23" i="15"/>
  <c r="C252" i="15" s="1"/>
  <c r="K46" i="13"/>
  <c r="L25" i="1"/>
  <c r="B24" i="3" s="1"/>
  <c r="B24" i="15" s="1"/>
  <c r="B67" i="15" s="1"/>
  <c r="M24" i="15"/>
  <c r="D160" i="15" s="1"/>
  <c r="L24" i="15"/>
  <c r="C160" i="15" s="1"/>
  <c r="M25" i="1"/>
  <c r="E24" i="3" s="1"/>
  <c r="E24" i="15" s="1"/>
  <c r="B98" i="15" s="1"/>
  <c r="C24" i="15"/>
  <c r="C67" i="15" s="1"/>
  <c r="F24" i="15"/>
  <c r="C98" i="15" s="1"/>
  <c r="G24" i="15"/>
  <c r="D98" i="15" s="1"/>
  <c r="D24" i="15"/>
  <c r="D67" i="15" s="1"/>
  <c r="O25" i="1"/>
  <c r="K24" i="3" s="1"/>
  <c r="K24" i="15" s="1"/>
  <c r="B160" i="15" s="1"/>
  <c r="B25" i="7"/>
  <c r="R21" i="15"/>
  <c r="C219" i="15" s="1"/>
  <c r="E63" i="13" l="1"/>
  <c r="H26" i="1"/>
  <c r="Q25" i="1"/>
  <c r="S24" i="15"/>
  <c r="D222" i="15" s="1"/>
  <c r="R25" i="1"/>
  <c r="T24" i="3" s="1"/>
  <c r="T24" i="15" s="1"/>
  <c r="B253" i="15" s="1"/>
  <c r="U24" i="15"/>
  <c r="C253" i="15" s="1"/>
  <c r="V24" i="15"/>
  <c r="D253" i="15" s="1"/>
  <c r="D64" i="13"/>
  <c r="C64" i="13"/>
  <c r="M25" i="17"/>
  <c r="B64" i="13"/>
  <c r="B26" i="6"/>
  <c r="K26" i="11"/>
  <c r="G28" i="13"/>
  <c r="I27" i="12"/>
  <c r="G63" i="4"/>
  <c r="K50" i="13"/>
  <c r="B26" i="7"/>
  <c r="L26" i="1"/>
  <c r="B25" i="3" s="1"/>
  <c r="B25" i="15" s="1"/>
  <c r="B68" i="15" s="1"/>
  <c r="M25" i="15"/>
  <c r="D161" i="15" s="1"/>
  <c r="M26" i="1"/>
  <c r="E25" i="3" s="1"/>
  <c r="E25" i="15" s="1"/>
  <c r="B99" i="15" s="1"/>
  <c r="L25" i="15"/>
  <c r="C161" i="15" s="1"/>
  <c r="F25" i="15"/>
  <c r="C99" i="15" s="1"/>
  <c r="C25" i="15"/>
  <c r="C68" i="15" s="1"/>
  <c r="G25" i="15"/>
  <c r="D99" i="15" s="1"/>
  <c r="D25" i="15"/>
  <c r="D68" i="15" s="1"/>
  <c r="O26" i="1"/>
  <c r="K25" i="3" s="1"/>
  <c r="K25" i="15" s="1"/>
  <c r="B161" i="15" s="1"/>
  <c r="R22" i="15"/>
  <c r="C220" i="15" s="1"/>
  <c r="Q26" i="1" l="1"/>
  <c r="S25" i="15"/>
  <c r="D223" i="15" s="1"/>
  <c r="D65" i="13"/>
  <c r="C65" i="13"/>
  <c r="M26" i="17"/>
  <c r="B65" i="13"/>
  <c r="B27" i="6"/>
  <c r="G29" i="13"/>
  <c r="K27" i="11"/>
  <c r="G64" i="4"/>
  <c r="I28" i="12"/>
  <c r="V25" i="15"/>
  <c r="D254" i="15" s="1"/>
  <c r="R26" i="1"/>
  <c r="T25" i="3" s="1"/>
  <c r="T25" i="15" s="1"/>
  <c r="B254" i="15" s="1"/>
  <c r="U25" i="15"/>
  <c r="C254" i="15" s="1"/>
  <c r="C26" i="15"/>
  <c r="C69" i="15" s="1"/>
  <c r="D26" i="15"/>
  <c r="D69" i="15" s="1"/>
  <c r="E64" i="13"/>
  <c r="H28" i="13"/>
  <c r="H27" i="1" s="1"/>
  <c r="L27" i="1"/>
  <c r="B26" i="3" s="1"/>
  <c r="B26" i="15" s="1"/>
  <c r="B69" i="15" s="1"/>
  <c r="M26" i="15"/>
  <c r="D162" i="15" s="1"/>
  <c r="L26" i="15"/>
  <c r="C162" i="15" s="1"/>
  <c r="M27" i="1"/>
  <c r="E26" i="3" s="1"/>
  <c r="E26" i="15" s="1"/>
  <c r="B100" i="15" s="1"/>
  <c r="G26" i="15"/>
  <c r="D100" i="15" s="1"/>
  <c r="F26" i="15"/>
  <c r="C100" i="15" s="1"/>
  <c r="O27" i="1"/>
  <c r="K26" i="3" s="1"/>
  <c r="K26" i="15" s="1"/>
  <c r="B162" i="15" s="1"/>
  <c r="B27" i="7"/>
  <c r="R23" i="15"/>
  <c r="C221" i="15" s="1"/>
  <c r="V26" i="15" l="1"/>
  <c r="D255" i="15" s="1"/>
  <c r="R27" i="1"/>
  <c r="T26" i="3" s="1"/>
  <c r="T26" i="15" s="1"/>
  <c r="B255" i="15" s="1"/>
  <c r="U26" i="15"/>
  <c r="C255" i="15" s="1"/>
  <c r="C27" i="15"/>
  <c r="C70" i="15" s="1"/>
  <c r="E65" i="13"/>
  <c r="H29" i="13"/>
  <c r="H28" i="1" s="1"/>
  <c r="C66" i="13"/>
  <c r="D66" i="13"/>
  <c r="L48" i="13" s="1"/>
  <c r="M27" i="17"/>
  <c r="B66" i="13"/>
  <c r="L45" i="13" s="1"/>
  <c r="B28" i="6"/>
  <c r="G30" i="13"/>
  <c r="K28" i="11"/>
  <c r="G65" i="4"/>
  <c r="I29" i="12"/>
  <c r="Q27" i="1"/>
  <c r="S26" i="15"/>
  <c r="D224" i="15" s="1"/>
  <c r="B28" i="7"/>
  <c r="L27" i="15"/>
  <c r="C163" i="15" s="1"/>
  <c r="L28" i="1"/>
  <c r="B27" i="3" s="1"/>
  <c r="B27" i="15" s="1"/>
  <c r="B70" i="15" s="1"/>
  <c r="M27" i="15"/>
  <c r="D163" i="15" s="1"/>
  <c r="M28" i="1"/>
  <c r="E27" i="3" s="1"/>
  <c r="E27" i="15" s="1"/>
  <c r="B101" i="15" s="1"/>
  <c r="G27" i="15"/>
  <c r="D101" i="15" s="1"/>
  <c r="F27" i="15"/>
  <c r="C101" i="15" s="1"/>
  <c r="D27" i="15"/>
  <c r="D70" i="15" s="1"/>
  <c r="O28" i="1"/>
  <c r="K27" i="3" s="1"/>
  <c r="K27" i="15" s="1"/>
  <c r="B163" i="15" s="1"/>
  <c r="R24" i="15"/>
  <c r="C222" i="15" s="1"/>
  <c r="E66" i="13" l="1"/>
  <c r="L47" i="13" s="1"/>
  <c r="H30" i="13"/>
  <c r="H29" i="1" s="1"/>
  <c r="Q28" i="1"/>
  <c r="S27" i="15"/>
  <c r="D225" i="15" s="1"/>
  <c r="L46" i="13"/>
  <c r="U27" i="15"/>
  <c r="C256" i="15" s="1"/>
  <c r="R28" i="1"/>
  <c r="T27" i="3" s="1"/>
  <c r="T27" i="15" s="1"/>
  <c r="B256" i="15" s="1"/>
  <c r="V27" i="15"/>
  <c r="D256" i="15" s="1"/>
  <c r="C67" i="13"/>
  <c r="D67" i="13"/>
  <c r="M28" i="17"/>
  <c r="B67" i="13"/>
  <c r="B29" i="6"/>
  <c r="G31" i="13"/>
  <c r="K29" i="11"/>
  <c r="I30" i="12"/>
  <c r="G66" i="4"/>
  <c r="L29" i="1"/>
  <c r="B28" i="3" s="1"/>
  <c r="B28" i="15" s="1"/>
  <c r="B71" i="15" s="1"/>
  <c r="L28" i="15"/>
  <c r="C164" i="15" s="1"/>
  <c r="M28" i="15"/>
  <c r="D164" i="15" s="1"/>
  <c r="M29" i="1"/>
  <c r="E28" i="3" s="1"/>
  <c r="E28" i="15" s="1"/>
  <c r="B102" i="15" s="1"/>
  <c r="G28" i="15"/>
  <c r="D102" i="15" s="1"/>
  <c r="C28" i="15"/>
  <c r="C71" i="15" s="1"/>
  <c r="F28" i="15"/>
  <c r="C102" i="15" s="1"/>
  <c r="D28" i="15"/>
  <c r="D71" i="15" s="1"/>
  <c r="O29" i="1"/>
  <c r="K28" i="3" s="1"/>
  <c r="K28" i="15" s="1"/>
  <c r="B164" i="15" s="1"/>
  <c r="B29" i="7"/>
  <c r="R25" i="15"/>
  <c r="C223" i="15" s="1"/>
  <c r="C68" i="13" l="1"/>
  <c r="D68" i="13"/>
  <c r="M29" i="17"/>
  <c r="B68" i="13"/>
  <c r="B30" i="6"/>
  <c r="G32" i="13"/>
  <c r="K30" i="11"/>
  <c r="I31" i="12"/>
  <c r="G67" i="4"/>
  <c r="L50" i="13"/>
  <c r="C29" i="15"/>
  <c r="C72" i="15" s="1"/>
  <c r="D29" i="15"/>
  <c r="D72" i="15" s="1"/>
  <c r="Q29" i="1"/>
  <c r="S28" i="15"/>
  <c r="D226" i="15" s="1"/>
  <c r="V28" i="15"/>
  <c r="D257" i="15" s="1"/>
  <c r="R29" i="1"/>
  <c r="T28" i="3" s="1"/>
  <c r="T28" i="15" s="1"/>
  <c r="B257" i="15" s="1"/>
  <c r="U28" i="15"/>
  <c r="C257" i="15" s="1"/>
  <c r="E67" i="13"/>
  <c r="H31" i="13"/>
  <c r="H30" i="1" s="1"/>
  <c r="L29" i="15"/>
  <c r="C165" i="15" s="1"/>
  <c r="L30" i="1"/>
  <c r="B29" i="3" s="1"/>
  <c r="B29" i="15" s="1"/>
  <c r="B72" i="15" s="1"/>
  <c r="M29" i="15"/>
  <c r="D165" i="15" s="1"/>
  <c r="G29" i="15"/>
  <c r="D103" i="15" s="1"/>
  <c r="F29" i="15"/>
  <c r="C103" i="15" s="1"/>
  <c r="M30" i="1"/>
  <c r="E29" i="3" s="1"/>
  <c r="E29" i="15" s="1"/>
  <c r="B103" i="15" s="1"/>
  <c r="O30" i="1"/>
  <c r="K29" i="3" s="1"/>
  <c r="K29" i="15" s="1"/>
  <c r="B165" i="15" s="1"/>
  <c r="B30" i="7"/>
  <c r="R26" i="15"/>
  <c r="C224" i="15" s="1"/>
  <c r="I13" i="15"/>
  <c r="C118" i="15" s="1"/>
  <c r="J13" i="15"/>
  <c r="D118" i="15" s="1"/>
  <c r="N14" i="1"/>
  <c r="H13" i="3" s="1"/>
  <c r="H13" i="15" s="1"/>
  <c r="B118" i="15" s="1"/>
  <c r="C3" i="11"/>
  <c r="C69" i="13" l="1"/>
  <c r="D69" i="13"/>
  <c r="M30" i="17"/>
  <c r="B69" i="13"/>
  <c r="B31" i="6"/>
  <c r="K31" i="11"/>
  <c r="G33" i="13"/>
  <c r="I32" i="12"/>
  <c r="G68" i="4"/>
  <c r="E68" i="13"/>
  <c r="H32" i="13"/>
  <c r="H31" i="1" s="1"/>
  <c r="Q30" i="1"/>
  <c r="S29" i="15"/>
  <c r="D227" i="15" s="1"/>
  <c r="U29" i="15"/>
  <c r="C258" i="15" s="1"/>
  <c r="R30" i="1"/>
  <c r="T29" i="3" s="1"/>
  <c r="T29" i="15" s="1"/>
  <c r="B258" i="15" s="1"/>
  <c r="V29" i="15"/>
  <c r="D258" i="15" s="1"/>
  <c r="D30" i="15"/>
  <c r="D73" i="15" s="1"/>
  <c r="C30" i="15"/>
  <c r="C73" i="15" s="1"/>
  <c r="L31" i="1"/>
  <c r="B30" i="3" s="1"/>
  <c r="B30" i="15" s="1"/>
  <c r="B73" i="15" s="1"/>
  <c r="M30" i="15"/>
  <c r="D166" i="15" s="1"/>
  <c r="L30" i="15"/>
  <c r="C166" i="15" s="1"/>
  <c r="M31" i="1"/>
  <c r="E30" i="3" s="1"/>
  <c r="E30" i="15" s="1"/>
  <c r="B104" i="15" s="1"/>
  <c r="F30" i="15"/>
  <c r="C104" i="15" s="1"/>
  <c r="G30" i="15"/>
  <c r="D104" i="15" s="1"/>
  <c r="O31" i="1"/>
  <c r="K30" i="3" s="1"/>
  <c r="K30" i="15" s="1"/>
  <c r="B166" i="15" s="1"/>
  <c r="B31" i="7"/>
  <c r="R27" i="15"/>
  <c r="C225" i="15" s="1"/>
  <c r="J5" i="15"/>
  <c r="D110" i="15" s="1"/>
  <c r="I5" i="15"/>
  <c r="C110" i="15" s="1"/>
  <c r="N6" i="1"/>
  <c r="H5" i="3" s="1"/>
  <c r="H5" i="15" s="1"/>
  <c r="B110" i="15" s="1"/>
  <c r="J14" i="15"/>
  <c r="D119" i="15" s="1"/>
  <c r="I14" i="15"/>
  <c r="C119" i="15" s="1"/>
  <c r="N15" i="1"/>
  <c r="H14" i="3" s="1"/>
  <c r="H14" i="15" s="1"/>
  <c r="B119" i="15" s="1"/>
  <c r="I4" i="15"/>
  <c r="C109" i="15" s="1"/>
  <c r="J4" i="15"/>
  <c r="D109" i="15" s="1"/>
  <c r="N5" i="1"/>
  <c r="H4" i="3" s="1"/>
  <c r="H4" i="15" s="1"/>
  <c r="B109" i="15" s="1"/>
  <c r="Q31" i="1" l="1"/>
  <c r="S30" i="15"/>
  <c r="D228" i="15" s="1"/>
  <c r="C70" i="13"/>
  <c r="M31" i="17"/>
  <c r="D70" i="13"/>
  <c r="B32" i="6"/>
  <c r="B70" i="13"/>
  <c r="K32" i="11"/>
  <c r="G34" i="13"/>
  <c r="G69" i="4"/>
  <c r="I33" i="12"/>
  <c r="V30" i="15"/>
  <c r="D259" i="15" s="1"/>
  <c r="U30" i="15"/>
  <c r="C259" i="15" s="1"/>
  <c r="R31" i="1"/>
  <c r="T30" i="3" s="1"/>
  <c r="T30" i="15" s="1"/>
  <c r="B259" i="15" s="1"/>
  <c r="E69" i="13"/>
  <c r="H33" i="13"/>
  <c r="H32" i="1" s="1"/>
  <c r="C31" i="15"/>
  <c r="C74" i="15" s="1"/>
  <c r="D31" i="15"/>
  <c r="D74" i="15" s="1"/>
  <c r="L32" i="1"/>
  <c r="B31" i="3" s="1"/>
  <c r="B31" i="15" s="1"/>
  <c r="B74" i="15" s="1"/>
  <c r="M31" i="15"/>
  <c r="D167" i="15" s="1"/>
  <c r="L31" i="15"/>
  <c r="C167" i="15" s="1"/>
  <c r="G31" i="15"/>
  <c r="D105" i="15" s="1"/>
  <c r="M32" i="1"/>
  <c r="E31" i="3" s="1"/>
  <c r="E31" i="15" s="1"/>
  <c r="B105" i="15" s="1"/>
  <c r="F31" i="15"/>
  <c r="C105" i="15" s="1"/>
  <c r="O32" i="1"/>
  <c r="K31" i="3" s="1"/>
  <c r="K31" i="15" s="1"/>
  <c r="B167" i="15" s="1"/>
  <c r="R28" i="15"/>
  <c r="C226" i="15" s="1"/>
  <c r="N16" i="1"/>
  <c r="H15" i="3" s="1"/>
  <c r="H15" i="15" s="1"/>
  <c r="B120" i="15" s="1"/>
  <c r="I15" i="15"/>
  <c r="C120" i="15" s="1"/>
  <c r="J15" i="15"/>
  <c r="D120" i="15" s="1"/>
  <c r="J6" i="15"/>
  <c r="D111" i="15" s="1"/>
  <c r="N7" i="1"/>
  <c r="H6" i="3" s="1"/>
  <c r="H6" i="15" s="1"/>
  <c r="B111" i="15" s="1"/>
  <c r="I6" i="15"/>
  <c r="C111" i="15" s="1"/>
  <c r="V31" i="15" l="1"/>
  <c r="D260" i="15" s="1"/>
  <c r="U31" i="15"/>
  <c r="C260" i="15" s="1"/>
  <c r="R32" i="1"/>
  <c r="T31" i="3" s="1"/>
  <c r="T31" i="15" s="1"/>
  <c r="B260" i="15" s="1"/>
  <c r="Q32" i="1"/>
  <c r="S31" i="15"/>
  <c r="D229" i="15" s="1"/>
  <c r="E70" i="13"/>
  <c r="H34" i="13"/>
  <c r="H33" i="1" s="1"/>
  <c r="C32" i="15"/>
  <c r="C75" i="15" s="1"/>
  <c r="L33" i="1"/>
  <c r="B32" i="3" s="1"/>
  <c r="B32" i="15" s="1"/>
  <c r="B75" i="15" s="1"/>
  <c r="M32" i="15"/>
  <c r="D168" i="15" s="1"/>
  <c r="M33" i="1"/>
  <c r="E32" i="3" s="1"/>
  <c r="E32" i="15" s="1"/>
  <c r="B106" i="15" s="1"/>
  <c r="L32" i="15"/>
  <c r="C168" i="15" s="1"/>
  <c r="G32" i="15"/>
  <c r="D106" i="15" s="1"/>
  <c r="F32" i="15"/>
  <c r="C106" i="15" s="1"/>
  <c r="D32" i="15"/>
  <c r="D75" i="15" s="1"/>
  <c r="O33" i="1"/>
  <c r="K32" i="3" s="1"/>
  <c r="K32" i="15" s="1"/>
  <c r="B168" i="15" s="1"/>
  <c r="R29" i="15"/>
  <c r="C227" i="15" s="1"/>
  <c r="I7" i="15"/>
  <c r="C112" i="15" s="1"/>
  <c r="J7" i="15"/>
  <c r="D112" i="15" s="1"/>
  <c r="N8" i="1"/>
  <c r="H7" i="3" s="1"/>
  <c r="H7" i="15" s="1"/>
  <c r="B112" i="15" s="1"/>
  <c r="N17" i="1"/>
  <c r="H16" i="3" s="1"/>
  <c r="H16" i="15" s="1"/>
  <c r="B121" i="15" s="1"/>
  <c r="I16" i="15"/>
  <c r="C121" i="15" s="1"/>
  <c r="J16" i="15"/>
  <c r="D121" i="15" s="1"/>
  <c r="U32" i="15" l="1"/>
  <c r="C261" i="15" s="1"/>
  <c r="R33" i="1"/>
  <c r="T32" i="3" s="1"/>
  <c r="T32" i="15" s="1"/>
  <c r="B261" i="15" s="1"/>
  <c r="V32" i="15"/>
  <c r="D261" i="15" s="1"/>
  <c r="Q33" i="1"/>
  <c r="S32" i="15"/>
  <c r="D230" i="15" s="1"/>
  <c r="R30" i="15"/>
  <c r="C228" i="15" s="1"/>
  <c r="J17" i="15"/>
  <c r="D122" i="15" s="1"/>
  <c r="I17" i="15"/>
  <c r="C122" i="15" s="1"/>
  <c r="N18" i="1"/>
  <c r="H17" i="3" s="1"/>
  <c r="H17" i="15" s="1"/>
  <c r="B122" i="15" s="1"/>
  <c r="N9" i="1"/>
  <c r="H8" i="3" s="1"/>
  <c r="H8" i="15" s="1"/>
  <c r="B113" i="15" s="1"/>
  <c r="J8" i="15"/>
  <c r="D113" i="15" s="1"/>
  <c r="I8" i="15"/>
  <c r="C113" i="15" s="1"/>
  <c r="R32" i="15" l="1"/>
  <c r="C230" i="15" s="1"/>
  <c r="R31" i="15"/>
  <c r="C229" i="15" s="1"/>
  <c r="I9" i="15"/>
  <c r="C114" i="15" s="1"/>
  <c r="J9" i="15"/>
  <c r="D114" i="15" s="1"/>
  <c r="N10" i="1"/>
  <c r="H9" i="3" s="1"/>
  <c r="H9" i="15" s="1"/>
  <c r="B114" i="15" s="1"/>
  <c r="N19" i="1"/>
  <c r="H18" i="3" s="1"/>
  <c r="H18" i="15" s="1"/>
  <c r="B123" i="15" s="1"/>
  <c r="J18" i="15"/>
  <c r="D123" i="15" s="1"/>
  <c r="I18" i="15"/>
  <c r="C123" i="15" s="1"/>
  <c r="N20" i="1" l="1"/>
  <c r="H19" i="3" s="1"/>
  <c r="H19" i="15" s="1"/>
  <c r="B124" i="15" s="1"/>
  <c r="I19" i="15"/>
  <c r="C124" i="15" s="1"/>
  <c r="J19" i="15"/>
  <c r="D124" i="15" s="1"/>
  <c r="N11" i="1"/>
  <c r="H10" i="3" s="1"/>
  <c r="H10" i="15" s="1"/>
  <c r="B115" i="15" s="1"/>
  <c r="J10" i="15"/>
  <c r="D115" i="15" s="1"/>
  <c r="I10" i="15"/>
  <c r="C115" i="15" s="1"/>
  <c r="J11" i="15" l="1"/>
  <c r="D116" i="15" s="1"/>
  <c r="N12" i="1"/>
  <c r="H11" i="3" s="1"/>
  <c r="H11" i="15" s="1"/>
  <c r="B116" i="15" s="1"/>
  <c r="I11" i="15"/>
  <c r="C116" i="15" s="1"/>
  <c r="J20" i="15"/>
  <c r="D125" i="15" s="1"/>
  <c r="I20" i="15"/>
  <c r="C125" i="15" s="1"/>
  <c r="N21" i="1"/>
  <c r="H20" i="3" s="1"/>
  <c r="H20" i="15" s="1"/>
  <c r="B125" i="15" s="1"/>
  <c r="N22" i="1" l="1"/>
  <c r="H21" i="3" s="1"/>
  <c r="H21" i="15" s="1"/>
  <c r="B126" i="15" s="1"/>
  <c r="I21" i="15"/>
  <c r="C126" i="15" s="1"/>
  <c r="J21" i="15"/>
  <c r="D126" i="15" s="1"/>
  <c r="I12" i="15"/>
  <c r="C117" i="15" s="1"/>
  <c r="J12" i="15"/>
  <c r="D117" i="15" s="1"/>
  <c r="N13" i="1"/>
  <c r="H12" i="3" s="1"/>
  <c r="H12" i="15" s="1"/>
  <c r="B117" i="15" s="1"/>
  <c r="N23" i="1" l="1"/>
  <c r="H22" i="3" s="1"/>
  <c r="H22" i="15" s="1"/>
  <c r="B127" i="15" s="1"/>
  <c r="I22" i="15"/>
  <c r="C127" i="15" s="1"/>
  <c r="J22" i="15"/>
  <c r="D127" i="15" s="1"/>
  <c r="I23" i="15" l="1"/>
  <c r="C128" i="15" s="1"/>
  <c r="N24" i="1"/>
  <c r="H23" i="3" s="1"/>
  <c r="H23" i="15" s="1"/>
  <c r="B128" i="15" s="1"/>
  <c r="J23" i="15"/>
  <c r="D128" i="15" s="1"/>
  <c r="N25" i="1" l="1"/>
  <c r="H24" i="3" s="1"/>
  <c r="H24" i="15" s="1"/>
  <c r="B129" i="15" s="1"/>
  <c r="I24" i="15"/>
  <c r="C129" i="15" s="1"/>
  <c r="J24" i="15"/>
  <c r="D129" i="15" s="1"/>
  <c r="I25" i="15" l="1"/>
  <c r="C130" i="15" s="1"/>
  <c r="N26" i="1"/>
  <c r="H25" i="3" s="1"/>
  <c r="H25" i="15" s="1"/>
  <c r="B130" i="15" s="1"/>
  <c r="J25" i="15"/>
  <c r="D130" i="15" s="1"/>
  <c r="J26" i="15" l="1"/>
  <c r="D131" i="15" s="1"/>
  <c r="I26" i="15"/>
  <c r="C131" i="15" s="1"/>
  <c r="N27" i="1"/>
  <c r="H26" i="3" s="1"/>
  <c r="H26" i="15" s="1"/>
  <c r="B131" i="15" s="1"/>
  <c r="J27" i="15" l="1"/>
  <c r="D132" i="15" s="1"/>
  <c r="N28" i="1"/>
  <c r="H27" i="3" s="1"/>
  <c r="H27" i="15" s="1"/>
  <c r="B132" i="15" s="1"/>
  <c r="I27" i="15"/>
  <c r="C132" i="15" s="1"/>
  <c r="I28" i="15" l="1"/>
  <c r="C133" i="15" s="1"/>
  <c r="J28" i="15"/>
  <c r="D133" i="15" s="1"/>
  <c r="N29" i="1"/>
  <c r="H28" i="3" s="1"/>
  <c r="H28" i="15" s="1"/>
  <c r="B133" i="15" s="1"/>
  <c r="I29" i="15" l="1"/>
  <c r="C134" i="15" s="1"/>
  <c r="N30" i="1"/>
  <c r="H29" i="3" s="1"/>
  <c r="H29" i="15" s="1"/>
  <c r="B134" i="15" s="1"/>
  <c r="J29" i="15"/>
  <c r="D134" i="15" s="1"/>
  <c r="I30" i="15" l="1"/>
  <c r="C135" i="15" s="1"/>
  <c r="N31" i="1"/>
  <c r="H30" i="3" s="1"/>
  <c r="H30" i="15" s="1"/>
  <c r="B135" i="15" s="1"/>
  <c r="J30" i="15"/>
  <c r="D135" i="15" s="1"/>
  <c r="J31" i="15" l="1"/>
  <c r="D136" i="15" s="1"/>
  <c r="N32" i="1"/>
  <c r="H31" i="3" s="1"/>
  <c r="H31" i="15" s="1"/>
  <c r="B136" i="15" s="1"/>
  <c r="I31" i="15"/>
  <c r="C136" i="15" s="1"/>
  <c r="I32" i="15" l="1"/>
  <c r="C137" i="15" s="1"/>
  <c r="J32" i="15"/>
  <c r="D137" i="15" s="1"/>
  <c r="N33" i="1"/>
  <c r="H32" i="3" s="1"/>
  <c r="H32" i="15" s="1"/>
  <c r="B137" i="15" s="1"/>
  <c r="N34" i="1" l="1"/>
  <c r="H33" i="3" s="1"/>
  <c r="H33" i="15" s="1"/>
  <c r="B138" i="15" s="1"/>
  <c r="I33" i="15"/>
  <c r="C138" i="15" s="1"/>
  <c r="J33" i="15"/>
  <c r="D138" i="15" s="1"/>
  <c r="Q4" i="3" l="1"/>
  <c r="Q4" i="15" s="1"/>
  <c r="B202" i="15" s="1"/>
  <c r="Q5" i="3" l="1"/>
  <c r="Q5" i="15" s="1"/>
  <c r="B203" i="15" s="1"/>
  <c r="Q6" i="3" l="1"/>
  <c r="Q6" i="15" s="1"/>
  <c r="B204" i="15" s="1"/>
  <c r="Q7" i="3" l="1"/>
  <c r="Q7" i="15" s="1"/>
  <c r="B205" i="15" s="1"/>
  <c r="Q8" i="3" l="1"/>
  <c r="Q8" i="15" s="1"/>
  <c r="B206" i="15" s="1"/>
  <c r="Q9" i="3"/>
  <c r="Q9" i="15" s="1"/>
  <c r="B207" i="15" s="1"/>
  <c r="Q10" i="3" l="1"/>
  <c r="Q10" i="15" s="1"/>
  <c r="B208" i="15" s="1"/>
  <c r="Q11" i="3" l="1"/>
  <c r="Q11" i="15" s="1"/>
  <c r="B209" i="15" s="1"/>
  <c r="Q12" i="3" l="1"/>
  <c r="Q12" i="15" s="1"/>
  <c r="B210" i="15" s="1"/>
  <c r="Q13" i="3" l="1"/>
  <c r="Q13" i="15" s="1"/>
  <c r="B211" i="15" s="1"/>
  <c r="Q14" i="3"/>
  <c r="Q14" i="15" s="1"/>
  <c r="B212" i="15" s="1"/>
  <c r="Q15" i="3" l="1"/>
  <c r="Q15" i="15" s="1"/>
  <c r="B213" i="15" s="1"/>
  <c r="Q16" i="3" l="1"/>
  <c r="Q16" i="15" s="1"/>
  <c r="B214" i="15" s="1"/>
  <c r="Q17" i="3" l="1"/>
  <c r="Q17" i="15" s="1"/>
  <c r="B215" i="15" s="1"/>
  <c r="Q18" i="3" l="1"/>
  <c r="Q18" i="15" s="1"/>
  <c r="B216" i="15" s="1"/>
  <c r="Q19" i="3"/>
  <c r="Q19" i="15" s="1"/>
  <c r="B217" i="15" s="1"/>
  <c r="Q20" i="3" l="1"/>
  <c r="Q20" i="15" s="1"/>
  <c r="B218" i="15" s="1"/>
  <c r="Q21" i="3" l="1"/>
  <c r="Q21" i="15" s="1"/>
  <c r="B219" i="15" s="1"/>
  <c r="Q22" i="3" l="1"/>
  <c r="Q22" i="15" s="1"/>
  <c r="B220" i="15" s="1"/>
  <c r="Q23" i="3" l="1"/>
  <c r="Q23" i="15" s="1"/>
  <c r="B221" i="15" s="1"/>
  <c r="Q24" i="3"/>
  <c r="Q24" i="15" s="1"/>
  <c r="B222" i="15" s="1"/>
  <c r="Q25" i="3" l="1"/>
  <c r="Q25" i="15" s="1"/>
  <c r="B223" i="15" s="1"/>
  <c r="Q26" i="3" l="1"/>
  <c r="Q26" i="15" s="1"/>
  <c r="B224" i="15" s="1"/>
  <c r="Q27" i="3" l="1"/>
  <c r="Q27" i="15" s="1"/>
  <c r="B225" i="15" s="1"/>
  <c r="Q28" i="3" l="1"/>
  <c r="Q28" i="15" s="1"/>
  <c r="B226" i="15" s="1"/>
  <c r="Q29" i="3"/>
  <c r="Q29" i="15" s="1"/>
  <c r="B227" i="15" s="1"/>
  <c r="Q30" i="3" l="1"/>
  <c r="Q30" i="15" s="1"/>
  <c r="B228" i="15" s="1"/>
  <c r="Q32" i="3" l="1"/>
  <c r="Q32" i="15" s="1"/>
  <c r="B230" i="15" s="1"/>
  <c r="Q31" i="3"/>
  <c r="Q31" i="15" s="1"/>
  <c r="B229" i="15" s="1"/>
  <c r="L3" i="15" l="1"/>
  <c r="C139" i="15" s="1"/>
</calcChain>
</file>

<file path=xl/sharedStrings.xml><?xml version="1.0" encoding="utf-8"?>
<sst xmlns="http://schemas.openxmlformats.org/spreadsheetml/2006/main" count="484" uniqueCount="119">
  <si>
    <t>年份</t>
    <phoneticPr fontId="1" type="noConversion"/>
  </si>
  <si>
    <t>mean</t>
    <phoneticPr fontId="1" type="noConversion"/>
  </si>
  <si>
    <t>max</t>
    <phoneticPr fontId="1" type="noConversion"/>
  </si>
  <si>
    <t>min</t>
    <phoneticPr fontId="1" type="noConversion"/>
  </si>
  <si>
    <t>基准情景单位产量碳足迹</t>
    <phoneticPr fontId="1" type="noConversion"/>
  </si>
  <si>
    <t>能源改进单位产量碳足迹</t>
    <phoneticPr fontId="1" type="noConversion"/>
  </si>
  <si>
    <t>光伏</t>
  </si>
  <si>
    <t>风力</t>
  </si>
  <si>
    <t>1kwh排放</t>
  </si>
  <si>
    <t>核电</t>
  </si>
  <si>
    <t>煤电</t>
  </si>
  <si>
    <t>光伏</t>
    <phoneticPr fontId="1" type="noConversion"/>
  </si>
  <si>
    <t>风电</t>
    <phoneticPr fontId="1" type="noConversion"/>
  </si>
  <si>
    <t>电力</t>
    <phoneticPr fontId="1" type="noConversion"/>
  </si>
  <si>
    <t>皱纹盘鲍</t>
    <phoneticPr fontId="1" type="noConversion"/>
  </si>
  <si>
    <t>mean</t>
  </si>
  <si>
    <t>max</t>
  </si>
  <si>
    <t>min</t>
  </si>
  <si>
    <t>其他</t>
    <phoneticPr fontId="1" type="noConversion"/>
  </si>
  <si>
    <t>一吨鲍鱼碳足迹</t>
    <phoneticPr fontId="1" type="noConversion"/>
  </si>
  <si>
    <t>1t鲍鱼碳足迹</t>
  </si>
  <si>
    <t xml:space="preserve"> </t>
  </si>
  <si>
    <t>加温度</t>
    <phoneticPr fontId="1" type="noConversion"/>
  </si>
  <si>
    <t>带温度</t>
    <phoneticPr fontId="1" type="noConversion"/>
  </si>
  <si>
    <t>参考sheet Temprature</t>
    <phoneticPr fontId="1" type="noConversion"/>
  </si>
  <si>
    <t>参考sheet Baseline</t>
    <phoneticPr fontId="1" type="noConversion"/>
  </si>
  <si>
    <t>参考sheet Elec str</t>
    <phoneticPr fontId="1" type="noConversion"/>
  </si>
  <si>
    <t>品种优化</t>
    <phoneticPr fontId="1" type="noConversion"/>
  </si>
  <si>
    <t>参考sheet Speed</t>
    <phoneticPr fontId="1" type="noConversion"/>
  </si>
  <si>
    <t>基建改进</t>
    <phoneticPr fontId="1" type="noConversion"/>
  </si>
  <si>
    <t>参考sheet Infrastructure</t>
    <phoneticPr fontId="1" type="noConversion"/>
  </si>
  <si>
    <t>基建</t>
    <phoneticPr fontId="1" type="noConversion"/>
  </si>
  <si>
    <t>基建排放比例</t>
    <phoneticPr fontId="1" type="noConversion"/>
  </si>
  <si>
    <t>参考sheet Best</t>
    <phoneticPr fontId="1" type="noConversion"/>
  </si>
  <si>
    <t>自然</t>
    <phoneticPr fontId="1" type="noConversion"/>
  </si>
  <si>
    <t>基准情景</t>
    <phoneticPr fontId="1" type="noConversion"/>
  </si>
  <si>
    <t>能源改进</t>
    <phoneticPr fontId="1" type="noConversion"/>
  </si>
  <si>
    <t>Energy</t>
  </si>
  <si>
    <t>Transport</t>
  </si>
  <si>
    <t>Net carbon sequestration</t>
  </si>
  <si>
    <t>BAU</t>
    <phoneticPr fontId="1" type="noConversion"/>
  </si>
  <si>
    <t>P1</t>
    <phoneticPr fontId="1" type="noConversion"/>
  </si>
  <si>
    <t>P3</t>
    <phoneticPr fontId="1" type="noConversion"/>
  </si>
  <si>
    <t>P5</t>
    <phoneticPr fontId="1" type="noConversion"/>
  </si>
  <si>
    <t>FRCM-Raft (South Korea)</t>
  </si>
  <si>
    <t>Infrastructure</t>
  </si>
  <si>
    <t>Equipment</t>
  </si>
  <si>
    <t>时间</t>
  </si>
  <si>
    <t>鲍鱼（万吨）</t>
    <phoneticPr fontId="1" type="noConversion"/>
  </si>
  <si>
    <t>Feed</t>
    <phoneticPr fontId="1" type="noConversion"/>
  </si>
  <si>
    <t>燃气</t>
    <phoneticPr fontId="1" type="noConversion"/>
  </si>
  <si>
    <t>核能</t>
    <phoneticPr fontId="1" type="noConversion"/>
  </si>
  <si>
    <t>除电力外</t>
    <phoneticPr fontId="1" type="noConversion"/>
  </si>
  <si>
    <t>CF</t>
    <phoneticPr fontId="1" type="noConversion"/>
  </si>
  <si>
    <t>Input</t>
    <phoneticPr fontId="1" type="noConversion"/>
  </si>
  <si>
    <t>除基建外</t>
    <phoneticPr fontId="1" type="noConversion"/>
  </si>
  <si>
    <t>除电力+基建外</t>
    <phoneticPr fontId="1" type="noConversion"/>
  </si>
  <si>
    <t>总</t>
    <phoneticPr fontId="1" type="noConversion"/>
  </si>
  <si>
    <t>加生长速度和温度</t>
    <phoneticPr fontId="1" type="noConversion"/>
  </si>
  <si>
    <t>error</t>
  </si>
  <si>
    <t>Infra.&amp;Equip</t>
  </si>
  <si>
    <t>贡献分解</t>
    <phoneticPr fontId="1" type="noConversion"/>
  </si>
  <si>
    <t>CF (no seaweed)</t>
    <phoneticPr fontId="1" type="noConversion"/>
  </si>
  <si>
    <t>转化后</t>
    <phoneticPr fontId="1" type="noConversion"/>
  </si>
  <si>
    <t>贡献分解（加自然）</t>
    <phoneticPr fontId="1" type="noConversion"/>
  </si>
  <si>
    <t>煤电</t>
    <phoneticPr fontId="1" type="noConversion"/>
  </si>
  <si>
    <t>核电</t>
    <phoneticPr fontId="1" type="noConversion"/>
  </si>
  <si>
    <t>燃气发电</t>
    <phoneticPr fontId="1" type="noConversion"/>
  </si>
  <si>
    <t>光伏发电</t>
    <phoneticPr fontId="1" type="noConversion"/>
  </si>
  <si>
    <t>来自：https://cer.org.za/wp-content/uploads/2006/08/IRP-assumptions-base-case-results-and-observations-october-2016_20161125-GGN-40445-01431.pdf</t>
    <phoneticPr fontId="1" type="noConversion"/>
  </si>
  <si>
    <t>饲料</t>
    <phoneticPr fontId="1" type="noConversion"/>
  </si>
  <si>
    <t>除饲料外</t>
    <phoneticPr fontId="1" type="noConversion"/>
  </si>
  <si>
    <t>配合饲料</t>
    <phoneticPr fontId="1" type="noConversion"/>
  </si>
  <si>
    <t>海藻</t>
    <phoneticPr fontId="1" type="noConversion"/>
  </si>
  <si>
    <t>除饲料+电力+基建外</t>
    <phoneticPr fontId="1" type="noConversion"/>
  </si>
  <si>
    <t>Both</t>
    <phoneticPr fontId="1" type="noConversion"/>
  </si>
  <si>
    <t>CF除基建、电力、饲料、自然外</t>
    <phoneticPr fontId="1" type="noConversion"/>
  </si>
  <si>
    <t>龙须菜工业过程</t>
    <phoneticPr fontId="1" type="noConversion"/>
  </si>
  <si>
    <t>参考sheet Feed</t>
    <phoneticPr fontId="1" type="noConversion"/>
  </si>
  <si>
    <t>饲料替代</t>
    <phoneticPr fontId="1" type="noConversion"/>
  </si>
  <si>
    <t>P4</t>
    <phoneticPr fontId="1" type="noConversion"/>
  </si>
  <si>
    <t>20t</t>
    <phoneticPr fontId="1" type="noConversion"/>
  </si>
  <si>
    <t>不带温度</t>
    <phoneticPr fontId="1" type="noConversion"/>
  </si>
  <si>
    <t>最优 (with BG)</t>
    <phoneticPr fontId="1" type="noConversion"/>
  </si>
  <si>
    <t>最优 (without BG)</t>
    <phoneticPr fontId="1" type="noConversion"/>
  </si>
  <si>
    <t>注：基准考虑温度，其他不考虑</t>
    <phoneticPr fontId="1" type="noConversion"/>
  </si>
  <si>
    <t>Best (with BG)</t>
    <phoneticPr fontId="1" type="noConversion"/>
  </si>
  <si>
    <t>Best (without BG)</t>
    <phoneticPr fontId="1" type="noConversion"/>
  </si>
  <si>
    <t>Best (without BG)</t>
  </si>
  <si>
    <t>Best (with BG)</t>
  </si>
  <si>
    <t>Year</t>
    <phoneticPr fontId="1" type="noConversion"/>
  </si>
  <si>
    <t>scenario</t>
    <phoneticPr fontId="1" type="noConversion"/>
  </si>
  <si>
    <t>Process</t>
    <phoneticPr fontId="1" type="noConversion"/>
  </si>
  <si>
    <t>Infra.&amp;Equip.</t>
    <phoneticPr fontId="1" type="noConversion"/>
  </si>
  <si>
    <t>新增冷却用电量</t>
    <phoneticPr fontId="1" type="noConversion"/>
  </si>
  <si>
    <t>新增冷却用电碳足迹（不考虑电力结构）</t>
    <phoneticPr fontId="1" type="noConversion"/>
  </si>
  <si>
    <t>新增冷却用电碳足迹（考虑电力结构）</t>
    <phoneticPr fontId="1" type="noConversion"/>
  </si>
  <si>
    <t>维持时间</t>
    <phoneticPr fontId="1" type="noConversion"/>
  </si>
  <si>
    <t>day</t>
    <phoneticPr fontId="1" type="noConversion"/>
  </si>
  <si>
    <t>hour</t>
    <phoneticPr fontId="1" type="noConversion"/>
  </si>
  <si>
    <t>空调</t>
    <phoneticPr fontId="1" type="noConversion"/>
  </si>
  <si>
    <t>制冷机</t>
    <phoneticPr fontId="1" type="noConversion"/>
  </si>
  <si>
    <t>原来</t>
    <phoneticPr fontId="1" type="noConversion"/>
  </si>
  <si>
    <t>增加值</t>
    <phoneticPr fontId="1" type="noConversion"/>
  </si>
  <si>
    <t>kwh</t>
    <phoneticPr fontId="1" type="noConversion"/>
  </si>
  <si>
    <t>一个房间</t>
    <phoneticPr fontId="1" type="noConversion"/>
  </si>
  <si>
    <t>池子数</t>
    <phoneticPr fontId="1" type="noConversion"/>
  </si>
  <si>
    <t>空调数</t>
    <phoneticPr fontId="1" type="noConversion"/>
  </si>
  <si>
    <t>每小时总增加值</t>
    <phoneticPr fontId="1" type="noConversion"/>
  </si>
  <si>
    <t>养殖周期总增加值</t>
    <phoneticPr fontId="1" type="noConversion"/>
  </si>
  <si>
    <t>折算到每吨</t>
    <phoneticPr fontId="1" type="noConversion"/>
  </si>
  <si>
    <t>新增冷却电力</t>
    <phoneticPr fontId="1" type="noConversion"/>
  </si>
  <si>
    <t>南非未来鲍鱼总产量（吨）</t>
    <phoneticPr fontId="1" type="noConversion"/>
  </si>
  <si>
    <t>产量（吨）</t>
    <phoneticPr fontId="1" type="noConversion"/>
  </si>
  <si>
    <t>功率</t>
    <phoneticPr fontId="1" type="noConversion"/>
  </si>
  <si>
    <t>CO2</t>
    <phoneticPr fontId="1" type="noConversion"/>
  </si>
  <si>
    <t>t CO2 eq.</t>
  </si>
  <si>
    <t>error</t>
    <phoneticPr fontId="1" type="noConversion"/>
  </si>
  <si>
    <t>year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</si>
</sst>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0_ "/>
  </numFmts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1"/>
      <charset val="134"/>
    </font>
    <font>
      <sz val="12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12"/>
      <color rgb="FFFF0000"/>
      <name val="等线"/>
      <family val="3"/>
      <charset val="134"/>
      <scheme val="minor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53">
    <xf numFmtId="0" fontId="0" fillId="0" borderId="0" xfId="0"/>
    <xf numFmtId="0" fontId="0" fillId="2" borderId="0" xfId="0" applyFill="1"/>
    <xf numFmtId="0" fontId="2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1" applyFont="1"/>
    <xf numFmtId="176" fontId="4" fillId="0" borderId="0" xfId="1" applyNumberFormat="1" applyFont="1"/>
    <xf numFmtId="0" fontId="4" fillId="0" borderId="0" xfId="1" applyFont="1" applyAlignment="1">
      <alignment horizontal="center"/>
    </xf>
    <xf numFmtId="11" fontId="4" fillId="0" borderId="0" xfId="1" applyNumberFormat="1" applyFont="1"/>
    <xf numFmtId="0" fontId="5" fillId="0" borderId="0" xfId="1"/>
    <xf numFmtId="0" fontId="4" fillId="2" borderId="0" xfId="1" applyFont="1" applyFill="1"/>
    <xf numFmtId="176" fontId="4" fillId="2" borderId="0" xfId="1" applyNumberFormat="1" applyFont="1" applyFill="1"/>
    <xf numFmtId="11" fontId="4" fillId="2" borderId="0" xfId="1" applyNumberFormat="1" applyFont="1" applyFill="1"/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2" borderId="0" xfId="0" applyFont="1" applyFill="1"/>
    <xf numFmtId="11" fontId="0" fillId="0" borderId="0" xfId="0" applyNumberFormat="1"/>
    <xf numFmtId="0" fontId="6" fillId="0" borderId="1" xfId="0" applyFont="1" applyBorder="1" applyAlignment="1">
      <alignment horizontal="center" vertical="center"/>
    </xf>
    <xf numFmtId="11" fontId="0" fillId="0" borderId="1" xfId="0" applyNumberFormat="1" applyBorder="1"/>
    <xf numFmtId="0" fontId="6" fillId="0" borderId="2" xfId="0" applyFon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0" xfId="0" applyFont="1"/>
    <xf numFmtId="176" fontId="5" fillId="0" borderId="0" xfId="1" applyNumberFormat="1"/>
    <xf numFmtId="0" fontId="9" fillId="2" borderId="0" xfId="0" applyFont="1" applyFill="1"/>
    <xf numFmtId="0" fontId="9" fillId="0" borderId="0" xfId="0" applyFont="1"/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3" fillId="2" borderId="0" xfId="0" applyFont="1" applyFill="1"/>
    <xf numFmtId="0" fontId="0" fillId="4" borderId="0" xfId="0" applyFill="1"/>
    <xf numFmtId="0" fontId="8" fillId="4" borderId="0" xfId="0" applyFont="1" applyFill="1"/>
    <xf numFmtId="177" fontId="0" fillId="0" borderId="0" xfId="0" applyNumberFormat="1"/>
    <xf numFmtId="0" fontId="8" fillId="0" borderId="0" xfId="0" applyFont="1"/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176" fontId="4" fillId="0" borderId="0" xfId="1" applyNumberFormat="1" applyFont="1" applyAlignment="1">
      <alignment horizontal="center"/>
    </xf>
    <xf numFmtId="11" fontId="4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</cellXfs>
  <cellStyles count="2">
    <cellStyle name="常规" xfId="0" builtinId="0"/>
    <cellStyle name="常规 2" xfId="1" xr:uid="{E9D8CFB1-B1F9-4A91-BE32-69CA1056180C}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76200</xdr:colOff>
      <xdr:row>3</xdr:row>
      <xdr:rowOff>31750</xdr:rowOff>
    </xdr:from>
    <xdr:to>
      <xdr:col>16</xdr:col>
      <xdr:colOff>323849</xdr:colOff>
      <xdr:row>24</xdr:row>
      <xdr:rowOff>74850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FA4F5C8D-8C5B-42C8-90A3-235B593CB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2350" y="565150"/>
          <a:ext cx="4210049" cy="3834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77B63-C359-44D7-86AA-0A670DC3E5F9}">
  <dimension ref="A1:F22"/>
  <sheetViews>
    <sheetView workbookViewId="0">
      <selection activeCell="Q11" sqref="Q11"/>
    </sheetView>
  </sheetViews>
  <sheetFormatPr defaultColWidth="8.6640625" defaultRowHeight="14" x14ac:dyDescent="0.3"/>
  <cols>
    <col min="1" max="1" width="21.33203125" style="3" bestFit="1" customWidth="1"/>
    <col min="2" max="2" width="11.33203125" style="3" bestFit="1" customWidth="1"/>
    <col min="3" max="21" width="8.6640625" style="3"/>
    <col min="22" max="22" width="16.1640625" style="3" bestFit="1" customWidth="1"/>
    <col min="23" max="16384" width="8.6640625" style="3"/>
  </cols>
  <sheetData>
    <row r="1" spans="1:6" x14ac:dyDescent="0.3">
      <c r="A1" s="3" t="s">
        <v>44</v>
      </c>
    </row>
    <row r="2" spans="1:6" ht="15.5" x14ac:dyDescent="0.35">
      <c r="A2" s="3" t="s">
        <v>49</v>
      </c>
      <c r="B2" s="9">
        <v>2604.7140915677546</v>
      </c>
      <c r="F2" s="9"/>
    </row>
    <row r="3" spans="1:6" ht="15.5" x14ac:dyDescent="0.35">
      <c r="A3" s="23" t="s">
        <v>37</v>
      </c>
      <c r="B3" s="9">
        <v>6882.9122618300544</v>
      </c>
      <c r="F3" s="9"/>
    </row>
    <row r="4" spans="1:6" ht="15.5" x14ac:dyDescent="0.35">
      <c r="A4" s="23" t="s">
        <v>45</v>
      </c>
      <c r="B4" s="9">
        <v>1215.0177506864734</v>
      </c>
    </row>
    <row r="5" spans="1:6" ht="15.5" x14ac:dyDescent="0.35">
      <c r="A5" s="23" t="s">
        <v>46</v>
      </c>
      <c r="B5" s="9">
        <v>7.5840311458256454E-2</v>
      </c>
    </row>
    <row r="6" spans="1:6" ht="15.5" x14ac:dyDescent="0.35">
      <c r="A6" s="23" t="s">
        <v>38</v>
      </c>
      <c r="B6" s="23">
        <v>418.73568945860188</v>
      </c>
    </row>
    <row r="8" spans="1:6" x14ac:dyDescent="0.3">
      <c r="A8" s="2" t="s">
        <v>62</v>
      </c>
      <c r="B8" s="3">
        <f>SUM(B2:B7)</f>
        <v>11121.455633854341</v>
      </c>
    </row>
    <row r="10" spans="1:6" ht="15.5" x14ac:dyDescent="0.35">
      <c r="B10" s="3" t="s">
        <v>53</v>
      </c>
      <c r="C10" s="3" t="s">
        <v>54</v>
      </c>
      <c r="D10" s="9"/>
      <c r="E10" s="9"/>
    </row>
    <row r="11" spans="1:6" ht="15.5" x14ac:dyDescent="0.35">
      <c r="A11" s="4" t="s">
        <v>13</v>
      </c>
      <c r="B11" s="3">
        <f>B3</f>
        <v>6882.9122618300544</v>
      </c>
      <c r="C11" s="3">
        <f>B11/'Elec str'!G3</f>
        <v>6972.6280815756327</v>
      </c>
      <c r="D11" s="9"/>
      <c r="E11" s="23"/>
    </row>
    <row r="12" spans="1:6" ht="15.5" x14ac:dyDescent="0.35">
      <c r="A12" s="4" t="s">
        <v>52</v>
      </c>
      <c r="B12" s="3">
        <f>B8-B11</f>
        <v>4238.5433720242863</v>
      </c>
      <c r="D12" s="23"/>
      <c r="E12" s="9"/>
    </row>
    <row r="13" spans="1:6" ht="15.5" x14ac:dyDescent="0.35">
      <c r="A13" s="4" t="s">
        <v>31</v>
      </c>
      <c r="B13" s="3">
        <f>B4</f>
        <v>1215.0177506864734</v>
      </c>
      <c r="D13" s="23"/>
      <c r="E13" s="9"/>
    </row>
    <row r="14" spans="1:6" ht="15.5" x14ac:dyDescent="0.35">
      <c r="A14" s="4" t="s">
        <v>55</v>
      </c>
      <c r="B14" s="3">
        <f>B8-B13</f>
        <v>9906.4378831678678</v>
      </c>
      <c r="D14" s="23"/>
      <c r="E14" s="9"/>
    </row>
    <row r="15" spans="1:6" ht="15.5" x14ac:dyDescent="0.35">
      <c r="A15" s="4" t="s">
        <v>56</v>
      </c>
      <c r="B15" s="3">
        <f>B8-B11-B13</f>
        <v>3023.5256213378129</v>
      </c>
      <c r="D15" s="23"/>
      <c r="E15" s="23"/>
    </row>
    <row r="16" spans="1:6" ht="14.5" x14ac:dyDescent="0.3">
      <c r="A16" s="4"/>
    </row>
    <row r="17" spans="1:5" ht="14.5" x14ac:dyDescent="0.3">
      <c r="A17" s="4" t="s">
        <v>70</v>
      </c>
      <c r="B17" s="3">
        <f>B2</f>
        <v>2604.7140915677546</v>
      </c>
    </row>
    <row r="18" spans="1:5" ht="14.5" x14ac:dyDescent="0.3">
      <c r="A18" s="4" t="s">
        <v>71</v>
      </c>
      <c r="B18" s="3">
        <f>B8-B17</f>
        <v>8516.7415422865852</v>
      </c>
    </row>
    <row r="19" spans="1:5" ht="14.5" x14ac:dyDescent="0.3">
      <c r="A19" s="4" t="s">
        <v>74</v>
      </c>
      <c r="B19" s="3">
        <f>B8-B2-B4-B3</f>
        <v>418.81152977005786</v>
      </c>
    </row>
    <row r="22" spans="1:5" ht="14.5" x14ac:dyDescent="0.3">
      <c r="E22" s="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AD9EB-2CC6-46DF-B8F4-138FDE474F3F}">
  <dimension ref="A1:L32"/>
  <sheetViews>
    <sheetView workbookViewId="0">
      <selection activeCell="F19" sqref="F19"/>
    </sheetView>
  </sheetViews>
  <sheetFormatPr defaultColWidth="8.83203125" defaultRowHeight="14" x14ac:dyDescent="0.3"/>
  <cols>
    <col min="5" max="5" width="16.25" bestFit="1" customWidth="1"/>
    <col min="6" max="6" width="8.5" bestFit="1" customWidth="1"/>
    <col min="7" max="7" width="6.6640625" bestFit="1" customWidth="1"/>
    <col min="8" max="8" width="5.1640625" bestFit="1" customWidth="1"/>
    <col min="9" max="9" width="14.33203125" bestFit="1" customWidth="1"/>
    <col min="10" max="10" width="14.33203125" customWidth="1"/>
    <col min="11" max="11" width="35.9140625" bestFit="1" customWidth="1"/>
    <col min="12" max="12" width="34" bestFit="1" customWidth="1"/>
  </cols>
  <sheetData>
    <row r="1" spans="1:12" x14ac:dyDescent="0.3">
      <c r="B1" t="s">
        <v>14</v>
      </c>
      <c r="I1" t="s">
        <v>94</v>
      </c>
      <c r="K1" t="s">
        <v>95</v>
      </c>
      <c r="L1" t="s">
        <v>96</v>
      </c>
    </row>
    <row r="2" spans="1:12" x14ac:dyDescent="0.3">
      <c r="A2">
        <v>2020</v>
      </c>
      <c r="B2">
        <v>1</v>
      </c>
      <c r="D2">
        <f>(B32-B2)/($A$32-$A$2)</f>
        <v>-3.3333333333333327E-3</v>
      </c>
      <c r="F2" t="s">
        <v>97</v>
      </c>
      <c r="H2">
        <v>2020</v>
      </c>
      <c r="I2">
        <v>0</v>
      </c>
      <c r="J2">
        <f>(I32-I2)/(H32-H2)</f>
        <v>159.04761904761907</v>
      </c>
      <c r="K2">
        <f>I2*'Elec str'!$G$3</f>
        <v>0</v>
      </c>
      <c r="L2">
        <f>I2*'Elec str'!G3</f>
        <v>0</v>
      </c>
    </row>
    <row r="3" spans="1:12" x14ac:dyDescent="0.3">
      <c r="A3">
        <v>2021</v>
      </c>
      <c r="B3">
        <f t="shared" ref="B3:B31" si="0">B2+D$2</f>
        <v>0.9966666666666667</v>
      </c>
      <c r="F3" t="s">
        <v>98</v>
      </c>
      <c r="G3" t="s">
        <v>99</v>
      </c>
      <c r="H3">
        <v>2021</v>
      </c>
      <c r="I3">
        <f>I2+$J$2</f>
        <v>159.04761904761907</v>
      </c>
      <c r="K3">
        <f>I3*'Elec str'!$G$3</f>
        <v>157.00117581925528</v>
      </c>
      <c r="L3">
        <f>I3*'Elec str'!G4</f>
        <v>155.21635479435042</v>
      </c>
    </row>
    <row r="4" spans="1:12" ht="15.5" x14ac:dyDescent="0.35">
      <c r="A4">
        <v>2022</v>
      </c>
      <c r="B4">
        <f t="shared" si="0"/>
        <v>0.9933333333333334</v>
      </c>
      <c r="E4" s="35"/>
      <c r="F4">
        <v>100</v>
      </c>
      <c r="G4">
        <v>2400</v>
      </c>
      <c r="H4">
        <v>2022</v>
      </c>
      <c r="I4">
        <f t="shared" ref="I4:I31" si="1">I3+$J$2</f>
        <v>318.09523809523813</v>
      </c>
      <c r="K4">
        <f>I4*'Elec str'!$G$3</f>
        <v>314.00235163851056</v>
      </c>
      <c r="L4">
        <f>I4*'Elec str'!G5</f>
        <v>306.86306753889113</v>
      </c>
    </row>
    <row r="5" spans="1:12" x14ac:dyDescent="0.3">
      <c r="A5">
        <v>2023</v>
      </c>
      <c r="B5">
        <f t="shared" si="0"/>
        <v>0.9900000000000001</v>
      </c>
      <c r="H5">
        <v>2023</v>
      </c>
      <c r="I5">
        <f t="shared" si="1"/>
        <v>477.14285714285722</v>
      </c>
      <c r="K5">
        <f>I5*'Elec str'!$G$3</f>
        <v>471.00352745776593</v>
      </c>
      <c r="L5">
        <f>I5*'Elec str'!G6</f>
        <v>454.94013823362224</v>
      </c>
    </row>
    <row r="6" spans="1:12" x14ac:dyDescent="0.3">
      <c r="A6">
        <v>2024</v>
      </c>
      <c r="B6">
        <f t="shared" si="0"/>
        <v>0.9866666666666668</v>
      </c>
      <c r="E6" t="s">
        <v>104</v>
      </c>
      <c r="H6">
        <v>2024</v>
      </c>
      <c r="I6">
        <f t="shared" si="1"/>
        <v>636.19047619047626</v>
      </c>
      <c r="K6">
        <f>I6*'Elec str'!$G$3</f>
        <v>628.00470327702112</v>
      </c>
      <c r="L6">
        <f>I6*'Elec str'!G7</f>
        <v>599.4475668785434</v>
      </c>
    </row>
    <row r="7" spans="1:12" x14ac:dyDescent="0.3">
      <c r="A7">
        <v>2025</v>
      </c>
      <c r="B7">
        <f t="shared" si="0"/>
        <v>0.9833333333333335</v>
      </c>
      <c r="E7" t="s">
        <v>114</v>
      </c>
      <c r="F7" t="s">
        <v>101</v>
      </c>
      <c r="G7" t="s">
        <v>100</v>
      </c>
      <c r="H7">
        <v>2025</v>
      </c>
      <c r="I7">
        <f t="shared" si="1"/>
        <v>795.2380952380953</v>
      </c>
      <c r="K7">
        <f>I7*'Elec str'!$G$3</f>
        <v>785.00587909627643</v>
      </c>
      <c r="L7">
        <f>I7*'Elec str'!G8</f>
        <v>740.38535347365507</v>
      </c>
    </row>
    <row r="8" spans="1:12" x14ac:dyDescent="0.3">
      <c r="A8">
        <v>2026</v>
      </c>
      <c r="B8">
        <f t="shared" si="0"/>
        <v>0.9800000000000002</v>
      </c>
      <c r="E8" t="s">
        <v>102</v>
      </c>
      <c r="F8">
        <v>2.25</v>
      </c>
      <c r="G8">
        <v>3.75</v>
      </c>
      <c r="H8">
        <v>2026</v>
      </c>
      <c r="I8">
        <f t="shared" si="1"/>
        <v>954.28571428571433</v>
      </c>
      <c r="K8">
        <f>I8*'Elec str'!$G$3</f>
        <v>942.00705491553174</v>
      </c>
      <c r="L8">
        <f>I8*'Elec str'!G9</f>
        <v>877.75349801895686</v>
      </c>
    </row>
    <row r="9" spans="1:12" x14ac:dyDescent="0.3">
      <c r="A9">
        <v>2027</v>
      </c>
      <c r="B9">
        <f t="shared" si="0"/>
        <v>0.9766666666666669</v>
      </c>
      <c r="E9" t="s">
        <v>103</v>
      </c>
      <c r="F9">
        <v>4.4999999999999998E-2</v>
      </c>
      <c r="G9">
        <v>0.7</v>
      </c>
      <c r="H9">
        <v>2027</v>
      </c>
      <c r="I9">
        <f t="shared" si="1"/>
        <v>1113.3333333333335</v>
      </c>
      <c r="K9">
        <f>I9*'Elec str'!$G$3</f>
        <v>1099.008230734787</v>
      </c>
      <c r="L9">
        <f>I9*'Elec str'!G10</f>
        <v>1011.5520005144493</v>
      </c>
    </row>
    <row r="10" spans="1:12" x14ac:dyDescent="0.3">
      <c r="A10">
        <v>2028</v>
      </c>
      <c r="B10">
        <f t="shared" si="0"/>
        <v>0.97333333333333361</v>
      </c>
      <c r="H10">
        <v>2028</v>
      </c>
      <c r="I10">
        <f t="shared" si="1"/>
        <v>1272.3809523809525</v>
      </c>
      <c r="K10">
        <f>I10*'Elec str'!$G$3</f>
        <v>1256.0094065540422</v>
      </c>
      <c r="L10">
        <f>I10*'Elec str'!G11</f>
        <v>1141.7808609601318</v>
      </c>
    </row>
    <row r="11" spans="1:12" x14ac:dyDescent="0.3">
      <c r="A11">
        <v>2029</v>
      </c>
      <c r="B11">
        <f t="shared" si="0"/>
        <v>0.97000000000000031</v>
      </c>
      <c r="E11" t="s">
        <v>105</v>
      </c>
      <c r="F11" t="s">
        <v>106</v>
      </c>
      <c r="G11">
        <v>3</v>
      </c>
      <c r="H11">
        <v>2029</v>
      </c>
      <c r="I11">
        <f t="shared" si="1"/>
        <v>1431.4285714285716</v>
      </c>
      <c r="K11">
        <f>I11*'Elec str'!$G$3</f>
        <v>1413.0105823732977</v>
      </c>
      <c r="L11">
        <f>I11*'Elec str'!G12</f>
        <v>1268.4400793560044</v>
      </c>
    </row>
    <row r="12" spans="1:12" x14ac:dyDescent="0.3">
      <c r="A12">
        <v>2030</v>
      </c>
      <c r="B12">
        <f t="shared" si="0"/>
        <v>0.96666666666666701</v>
      </c>
      <c r="F12" t="s">
        <v>107</v>
      </c>
      <c r="G12">
        <v>1</v>
      </c>
      <c r="H12">
        <v>2030</v>
      </c>
      <c r="I12">
        <f t="shared" si="1"/>
        <v>1590.4761904761906</v>
      </c>
      <c r="K12">
        <f>I12*'Elec str'!$G$3</f>
        <v>1570.0117581925529</v>
      </c>
      <c r="L12">
        <f>I12*'Elec str'!G13</f>
        <v>1391.5296557020677</v>
      </c>
    </row>
    <row r="13" spans="1:12" x14ac:dyDescent="0.3">
      <c r="A13">
        <v>2031</v>
      </c>
      <c r="B13">
        <f t="shared" si="0"/>
        <v>0.96333333333333371</v>
      </c>
      <c r="H13">
        <v>2031</v>
      </c>
      <c r="I13">
        <f t="shared" si="1"/>
        <v>1749.5238095238096</v>
      </c>
      <c r="K13">
        <f>I13*'Elec str'!$G$3</f>
        <v>1727.0129340118081</v>
      </c>
      <c r="L13">
        <f>I13*'Elec str'!G14</f>
        <v>1499.1413958604915</v>
      </c>
    </row>
    <row r="14" spans="1:12" x14ac:dyDescent="0.3">
      <c r="A14">
        <v>2032</v>
      </c>
      <c r="B14">
        <f t="shared" si="0"/>
        <v>0.96000000000000041</v>
      </c>
      <c r="E14" t="s">
        <v>108</v>
      </c>
      <c r="F14">
        <f>3*F9+G12*G9</f>
        <v>0.83499999999999996</v>
      </c>
      <c r="H14">
        <v>2032</v>
      </c>
      <c r="I14">
        <f t="shared" si="1"/>
        <v>1908.5714285714287</v>
      </c>
      <c r="K14">
        <f>I14*'Elec str'!$G$3</f>
        <v>1884.0141098310635</v>
      </c>
      <c r="L14">
        <f>I14*'Elec str'!G15</f>
        <v>1601.0183677622276</v>
      </c>
    </row>
    <row r="15" spans="1:12" x14ac:dyDescent="0.3">
      <c r="A15">
        <v>2033</v>
      </c>
      <c r="B15">
        <f t="shared" si="0"/>
        <v>0.95666666666666711</v>
      </c>
      <c r="H15">
        <v>2033</v>
      </c>
      <c r="I15">
        <f t="shared" si="1"/>
        <v>2067.6190476190477</v>
      </c>
      <c r="K15">
        <f>I15*'Elec str'!$G$3</f>
        <v>2041.0152856503187</v>
      </c>
      <c r="L15">
        <f>I15*'Elec str'!G16</f>
        <v>1697.1605714072762</v>
      </c>
    </row>
    <row r="16" spans="1:12" x14ac:dyDescent="0.3">
      <c r="A16">
        <v>2034</v>
      </c>
      <c r="B16">
        <f t="shared" si="0"/>
        <v>0.95333333333333381</v>
      </c>
      <c r="H16">
        <v>2034</v>
      </c>
      <c r="I16">
        <f t="shared" si="1"/>
        <v>2226.666666666667</v>
      </c>
      <c r="K16">
        <f>I16*'Elec str'!$G$3</f>
        <v>2198.0164614695741</v>
      </c>
      <c r="L16">
        <f>I16*'Elec str'!G17</f>
        <v>1787.5680067956371</v>
      </c>
    </row>
    <row r="17" spans="1:12" x14ac:dyDescent="0.3">
      <c r="A17">
        <v>2035</v>
      </c>
      <c r="B17">
        <f t="shared" si="0"/>
        <v>0.95000000000000051</v>
      </c>
      <c r="E17" t="s">
        <v>109</v>
      </c>
      <c r="F17">
        <f>F14*G4</f>
        <v>2004</v>
      </c>
      <c r="H17">
        <v>2035</v>
      </c>
      <c r="I17">
        <f t="shared" si="1"/>
        <v>2385.7142857142862</v>
      </c>
      <c r="K17">
        <f>I17*'Elec str'!$G$3</f>
        <v>2355.0176372888295</v>
      </c>
      <c r="L17">
        <f>I17*'Elec str'!G18</f>
        <v>1872.2406739273104</v>
      </c>
    </row>
    <row r="18" spans="1:12" x14ac:dyDescent="0.3">
      <c r="A18">
        <v>2036</v>
      </c>
      <c r="B18">
        <f t="shared" si="0"/>
        <v>0.94666666666666721</v>
      </c>
      <c r="E18" t="s">
        <v>113</v>
      </c>
      <c r="F18">
        <v>0.42</v>
      </c>
      <c r="H18">
        <v>2036</v>
      </c>
      <c r="I18">
        <f t="shared" si="1"/>
        <v>2544.7619047619055</v>
      </c>
      <c r="K18">
        <f>I18*'Elec str'!$G$3</f>
        <v>2512.0188131080849</v>
      </c>
      <c r="L18">
        <f>I18*'Elec str'!G19</f>
        <v>1951.1785728022953</v>
      </c>
    </row>
    <row r="19" spans="1:12" x14ac:dyDescent="0.3">
      <c r="A19">
        <v>2037</v>
      </c>
      <c r="B19">
        <f t="shared" si="0"/>
        <v>0.94333333333333391</v>
      </c>
      <c r="E19" t="s">
        <v>110</v>
      </c>
      <c r="F19" s="1">
        <f>F17/F18</f>
        <v>4771.4285714285716</v>
      </c>
      <c r="H19">
        <v>2037</v>
      </c>
      <c r="I19">
        <f t="shared" si="1"/>
        <v>2703.8095238095248</v>
      </c>
      <c r="K19">
        <f>I19*'Elec str'!$G$3</f>
        <v>2669.0199889273408</v>
      </c>
      <c r="L19">
        <f>I19*'Elec str'!G20</f>
        <v>2024.3817034205927</v>
      </c>
    </row>
    <row r="20" spans="1:12" x14ac:dyDescent="0.3">
      <c r="A20">
        <v>2038</v>
      </c>
      <c r="B20">
        <f t="shared" si="0"/>
        <v>0.94000000000000061</v>
      </c>
      <c r="H20">
        <v>2038</v>
      </c>
      <c r="I20">
        <f t="shared" si="1"/>
        <v>2862.857142857144</v>
      </c>
      <c r="K20">
        <f>I20*'Elec str'!$G$3</f>
        <v>2826.0211647465962</v>
      </c>
      <c r="L20">
        <f>I20*'Elec str'!G21</f>
        <v>2091.8500657822024</v>
      </c>
    </row>
    <row r="21" spans="1:12" x14ac:dyDescent="0.3">
      <c r="A21">
        <v>2039</v>
      </c>
      <c r="B21">
        <f t="shared" si="0"/>
        <v>0.93666666666666731</v>
      </c>
      <c r="H21">
        <v>2039</v>
      </c>
      <c r="I21">
        <f t="shared" si="1"/>
        <v>3021.9047619047633</v>
      </c>
      <c r="K21">
        <f>I21*'Elec str'!$G$3</f>
        <v>2983.0223405658517</v>
      </c>
      <c r="L21">
        <f>I21*'Elec str'!G22</f>
        <v>2153.5836598871247</v>
      </c>
    </row>
    <row r="22" spans="1:12" x14ac:dyDescent="0.3">
      <c r="A22">
        <v>2040</v>
      </c>
      <c r="B22">
        <f t="shared" si="0"/>
        <v>0.93333333333333401</v>
      </c>
      <c r="H22">
        <v>2040</v>
      </c>
      <c r="I22">
        <f t="shared" si="1"/>
        <v>3180.9523809523826</v>
      </c>
      <c r="K22">
        <f>I22*'Elec str'!$G$3</f>
        <v>3140.0235163851071</v>
      </c>
      <c r="L22">
        <f>I22*'Elec str'!G23</f>
        <v>2209.5824857353568</v>
      </c>
    </row>
    <row r="23" spans="1:12" x14ac:dyDescent="0.3">
      <c r="A23">
        <v>2041</v>
      </c>
      <c r="B23">
        <f t="shared" si="0"/>
        <v>0.93000000000000071</v>
      </c>
      <c r="H23">
        <v>2041</v>
      </c>
      <c r="I23">
        <f t="shared" si="1"/>
        <v>3340.0000000000018</v>
      </c>
      <c r="K23">
        <f>I23*'Elec str'!$G$3</f>
        <v>3297.0246922043625</v>
      </c>
      <c r="L23">
        <f>I23*'Elec str'!G24</f>
        <v>2228.5606383343634</v>
      </c>
    </row>
    <row r="24" spans="1:12" x14ac:dyDescent="0.3">
      <c r="A24">
        <v>2042</v>
      </c>
      <c r="B24">
        <f t="shared" si="0"/>
        <v>0.92666666666666742</v>
      </c>
      <c r="H24">
        <v>2042</v>
      </c>
      <c r="I24">
        <f t="shared" si="1"/>
        <v>3499.0476190476211</v>
      </c>
      <c r="K24">
        <f>I24*'Elec str'!$G$3</f>
        <v>3454.0258680236179</v>
      </c>
      <c r="L24">
        <f>I24*'Elec str'!G25</f>
        <v>2238.824412677393</v>
      </c>
    </row>
    <row r="25" spans="1:12" x14ac:dyDescent="0.3">
      <c r="A25">
        <v>2043</v>
      </c>
      <c r="B25">
        <f t="shared" si="0"/>
        <v>0.92333333333333412</v>
      </c>
      <c r="H25">
        <v>2043</v>
      </c>
      <c r="I25">
        <f t="shared" si="1"/>
        <v>3658.0952380952403</v>
      </c>
      <c r="K25">
        <f>I25*'Elec str'!$G$3</f>
        <v>3611.0270438428734</v>
      </c>
      <c r="L25">
        <f>I25*'Elec str'!G26</f>
        <v>2240.3738087644451</v>
      </c>
    </row>
    <row r="26" spans="1:12" x14ac:dyDescent="0.3">
      <c r="A26">
        <v>2044</v>
      </c>
      <c r="B26">
        <f t="shared" si="0"/>
        <v>0.92000000000000082</v>
      </c>
      <c r="H26">
        <v>2044</v>
      </c>
      <c r="I26">
        <f t="shared" si="1"/>
        <v>3817.1428571428596</v>
      </c>
      <c r="K26">
        <f>I26*'Elec str'!$G$3</f>
        <v>3768.0282196621292</v>
      </c>
      <c r="L26">
        <f>I26*'Elec str'!G27</f>
        <v>2233.2088265955203</v>
      </c>
    </row>
    <row r="27" spans="1:12" x14ac:dyDescent="0.3">
      <c r="A27">
        <v>2045</v>
      </c>
      <c r="B27">
        <f t="shared" si="0"/>
        <v>0.91666666666666752</v>
      </c>
      <c r="H27">
        <v>2045</v>
      </c>
      <c r="I27">
        <f t="shared" si="1"/>
        <v>3976.1904761904789</v>
      </c>
      <c r="K27">
        <f>I27*'Elec str'!$G$3</f>
        <v>3925.0293954813847</v>
      </c>
      <c r="L27">
        <f>I27*'Elec str'!G28</f>
        <v>2217.3294661706177</v>
      </c>
    </row>
    <row r="28" spans="1:12" x14ac:dyDescent="0.3">
      <c r="A28">
        <v>2046</v>
      </c>
      <c r="B28">
        <f t="shared" si="0"/>
        <v>0.91333333333333422</v>
      </c>
      <c r="H28">
        <v>2046</v>
      </c>
      <c r="I28">
        <f t="shared" si="1"/>
        <v>4135.2380952380981</v>
      </c>
      <c r="K28">
        <f>I28*'Elec str'!$G$3</f>
        <v>4082.0305713006401</v>
      </c>
      <c r="L28">
        <f>I28*'Elec str'!G29</f>
        <v>2192.7357274897381</v>
      </c>
    </row>
    <row r="29" spans="1:12" x14ac:dyDescent="0.3">
      <c r="A29">
        <v>2047</v>
      </c>
      <c r="B29">
        <f t="shared" si="0"/>
        <v>0.91000000000000092</v>
      </c>
      <c r="H29">
        <v>2047</v>
      </c>
      <c r="I29">
        <f t="shared" si="1"/>
        <v>4294.2857142857174</v>
      </c>
      <c r="K29">
        <f>I29*'Elec str'!$G$3</f>
        <v>4239.031747119895</v>
      </c>
      <c r="L29">
        <f>I29*'Elec str'!G30</f>
        <v>2159.4276105528811</v>
      </c>
    </row>
    <row r="30" spans="1:12" x14ac:dyDescent="0.3">
      <c r="A30">
        <v>2048</v>
      </c>
      <c r="B30">
        <f t="shared" si="0"/>
        <v>0.90666666666666762</v>
      </c>
      <c r="H30">
        <v>2048</v>
      </c>
      <c r="I30">
        <f t="shared" si="1"/>
        <v>4453.3333333333367</v>
      </c>
      <c r="K30">
        <f>I30*'Elec str'!$G$3</f>
        <v>4396.0329229391509</v>
      </c>
      <c r="L30">
        <f>I30*'Elec str'!G31</f>
        <v>2117.4051153600467</v>
      </c>
    </row>
    <row r="31" spans="1:12" x14ac:dyDescent="0.3">
      <c r="A31">
        <v>2049</v>
      </c>
      <c r="B31">
        <f t="shared" si="0"/>
        <v>0.90333333333333432</v>
      </c>
      <c r="H31">
        <v>2049</v>
      </c>
      <c r="I31">
        <f t="shared" si="1"/>
        <v>4612.3809523809559</v>
      </c>
      <c r="K31">
        <f>I31*'Elec str'!$G$3</f>
        <v>4553.0340987584068</v>
      </c>
      <c r="L31">
        <f>I31*'Elec str'!G32</f>
        <v>2066.6682419112353</v>
      </c>
    </row>
    <row r="32" spans="1:12" x14ac:dyDescent="0.3">
      <c r="A32">
        <v>2050</v>
      </c>
      <c r="B32">
        <v>0.9</v>
      </c>
      <c r="H32">
        <v>2050</v>
      </c>
      <c r="I32">
        <f>F19</f>
        <v>4771.4285714285716</v>
      </c>
      <c r="K32">
        <f>I32*'Elec str'!$G$3</f>
        <v>4710.0352745776581</v>
      </c>
      <c r="L32">
        <f>I32*'Elec str'!G33</f>
        <v>2007.2169902064463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31953-53F8-41A6-A4E7-4F0587F8FDFD}">
  <dimension ref="A1:XEO37"/>
  <sheetViews>
    <sheetView zoomScale="85" zoomScaleNormal="85" workbookViewId="0">
      <selection activeCell="B3" sqref="B3"/>
    </sheetView>
  </sheetViews>
  <sheetFormatPr defaultColWidth="10" defaultRowHeight="15.5" x14ac:dyDescent="0.35"/>
  <cols>
    <col min="1" max="1" width="10" style="5"/>
    <col min="2" max="2" width="10" style="6"/>
    <col min="3" max="4" width="10" style="8"/>
    <col min="5" max="16369" width="10" style="5"/>
    <col min="16370" max="16384" width="10" style="9"/>
  </cols>
  <sheetData>
    <row r="1" spans="1:5 16351:16369" x14ac:dyDescent="0.35">
      <c r="A1" s="10" t="s">
        <v>22</v>
      </c>
      <c r="B1" s="38" t="s">
        <v>20</v>
      </c>
      <c r="C1" s="39"/>
      <c r="D1" s="39"/>
      <c r="E1" s="7"/>
      <c r="XED1" s="9"/>
      <c r="XEE1" s="9"/>
      <c r="XEF1" s="9"/>
      <c r="XEG1" s="9"/>
      <c r="XEH1" s="9"/>
      <c r="XEI1" s="9"/>
      <c r="XEJ1" s="9"/>
      <c r="XEK1" s="9"/>
      <c r="XEL1" s="9"/>
      <c r="XEM1" s="9"/>
      <c r="XEN1" s="9"/>
      <c r="XEO1" s="9"/>
    </row>
    <row r="2" spans="1:5 16351:16369" x14ac:dyDescent="0.35">
      <c r="B2" s="6" t="s">
        <v>15</v>
      </c>
      <c r="C2" s="8" t="s">
        <v>16</v>
      </c>
      <c r="D2" s="8" t="s">
        <v>17</v>
      </c>
      <c r="XED2" s="9"/>
      <c r="XEE2" s="9"/>
      <c r="XEF2" s="9"/>
      <c r="XEG2" s="9"/>
      <c r="XEH2" s="9"/>
      <c r="XEI2" s="9"/>
      <c r="XEJ2" s="9"/>
      <c r="XEK2" s="9"/>
      <c r="XEL2" s="9"/>
      <c r="XEM2" s="9"/>
      <c r="XEN2" s="9"/>
      <c r="XEO2" s="9"/>
    </row>
    <row r="3" spans="1:5 16351:16369" x14ac:dyDescent="0.35">
      <c r="A3" s="5">
        <v>2020</v>
      </c>
      <c r="B3" s="11">
        <f>Case!$B$8/Temperature!B2</f>
        <v>11121.455633854341</v>
      </c>
      <c r="C3" s="12"/>
      <c r="D3" s="12"/>
      <c r="XED3" s="9"/>
      <c r="XEE3" s="9"/>
      <c r="XEF3" s="9"/>
      <c r="XEG3" s="9"/>
      <c r="XEH3" s="9"/>
      <c r="XEI3" s="9"/>
      <c r="XEJ3" s="9"/>
      <c r="XEK3" s="9"/>
      <c r="XEL3" s="9"/>
      <c r="XEM3" s="9"/>
      <c r="XEN3" s="9"/>
      <c r="XEO3" s="9"/>
    </row>
    <row r="4" spans="1:5 16351:16369" x14ac:dyDescent="0.35">
      <c r="A4" s="5">
        <v>2021</v>
      </c>
      <c r="B4" s="11">
        <f>Case!$B$8/Temperature!B3</f>
        <v>11158.651137646495</v>
      </c>
      <c r="C4" s="12"/>
      <c r="D4" s="12"/>
      <c r="XED4" s="9"/>
      <c r="XEE4" s="9"/>
      <c r="XEF4" s="9"/>
      <c r="XEG4" s="9"/>
      <c r="XEH4" s="9"/>
      <c r="XEI4" s="9"/>
      <c r="XEJ4" s="9"/>
      <c r="XEK4" s="9"/>
      <c r="XEL4" s="9"/>
      <c r="XEM4" s="9"/>
      <c r="XEN4" s="9"/>
      <c r="XEO4" s="9"/>
    </row>
    <row r="5" spans="1:5 16351:16369" x14ac:dyDescent="0.35">
      <c r="A5" s="5">
        <v>2022</v>
      </c>
      <c r="B5" s="11">
        <f>Case!$B$8/Temperature!B4</f>
        <v>11196.096275692289</v>
      </c>
      <c r="C5" s="12"/>
      <c r="D5" s="12"/>
      <c r="XED5" s="9"/>
      <c r="XEE5" s="9"/>
      <c r="XEF5" s="9"/>
      <c r="XEG5" s="9"/>
      <c r="XEH5" s="9"/>
      <c r="XEI5" s="9"/>
      <c r="XEJ5" s="9"/>
      <c r="XEK5" s="9"/>
      <c r="XEL5" s="9"/>
      <c r="XEM5" s="9"/>
      <c r="XEN5" s="9"/>
      <c r="XEO5" s="9"/>
    </row>
    <row r="6" spans="1:5 16351:16369" x14ac:dyDescent="0.35">
      <c r="A6" s="5">
        <v>2023</v>
      </c>
      <c r="B6" s="11">
        <f>Case!$B$8/Temperature!B5</f>
        <v>11233.793569549838</v>
      </c>
      <c r="C6" s="12"/>
      <c r="D6" s="12"/>
      <c r="XED6" s="9"/>
      <c r="XEE6" s="9"/>
      <c r="XEF6" s="9"/>
      <c r="XEG6" s="9"/>
      <c r="XEH6" s="9"/>
      <c r="XEI6" s="9"/>
      <c r="XEJ6" s="9"/>
      <c r="XEK6" s="9"/>
      <c r="XEL6" s="9"/>
      <c r="XEM6" s="9"/>
      <c r="XEN6" s="9"/>
      <c r="XEO6" s="9"/>
    </row>
    <row r="7" spans="1:5 16351:16369" x14ac:dyDescent="0.35">
      <c r="A7" s="5">
        <v>2024</v>
      </c>
      <c r="B7" s="11">
        <f>Case!$B$8/Temperature!B6</f>
        <v>11271.745574852372</v>
      </c>
      <c r="C7" s="12"/>
      <c r="D7" s="12"/>
      <c r="XED7" s="9"/>
      <c r="XEE7" s="9"/>
      <c r="XEF7" s="9"/>
      <c r="XEG7" s="9"/>
      <c r="XEH7" s="9"/>
      <c r="XEI7" s="9"/>
      <c r="XEJ7" s="9"/>
      <c r="XEK7" s="9"/>
      <c r="XEL7" s="9"/>
      <c r="XEM7" s="9"/>
      <c r="XEN7" s="9"/>
      <c r="XEO7" s="9"/>
    </row>
    <row r="8" spans="1:5 16351:16369" x14ac:dyDescent="0.35">
      <c r="A8" s="5">
        <v>2025</v>
      </c>
      <c r="B8" s="11">
        <f>Case!$B$8/Temperature!B7</f>
        <v>11309.954881885767</v>
      </c>
      <c r="C8" s="12"/>
      <c r="D8" s="12"/>
      <c r="XED8" s="9"/>
      <c r="XEE8" s="9"/>
      <c r="XEF8" s="9"/>
      <c r="XEG8" s="9"/>
      <c r="XEH8" s="9"/>
      <c r="XEI8" s="9"/>
      <c r="XEJ8" s="9"/>
      <c r="XEK8" s="9"/>
      <c r="XEL8" s="9"/>
      <c r="XEM8" s="9"/>
      <c r="XEN8" s="9"/>
      <c r="XEO8" s="9"/>
    </row>
    <row r="9" spans="1:5 16351:16369" x14ac:dyDescent="0.35">
      <c r="A9" s="5">
        <v>2026</v>
      </c>
      <c r="B9" s="11">
        <f>Case!$B$8/Temperature!B8</f>
        <v>11348.424116177895</v>
      </c>
      <c r="C9" s="12"/>
      <c r="D9" s="12"/>
      <c r="XED9" s="9"/>
      <c r="XEE9" s="9"/>
      <c r="XEF9" s="9"/>
      <c r="XEG9" s="9"/>
      <c r="XEH9" s="9"/>
      <c r="XEI9" s="9"/>
      <c r="XEJ9" s="9"/>
      <c r="XEK9" s="9"/>
      <c r="XEL9" s="9"/>
      <c r="XEM9" s="9"/>
      <c r="XEN9" s="9"/>
      <c r="XEO9" s="9"/>
    </row>
    <row r="10" spans="1:5 16351:16369" x14ac:dyDescent="0.35">
      <c r="A10" s="5">
        <v>2027</v>
      </c>
      <c r="B10" s="11">
        <f>Case!$B$8/Temperature!B9</f>
        <v>11387.155939100005</v>
      </c>
      <c r="C10" s="12"/>
      <c r="D10" s="12"/>
      <c r="XED10" s="9"/>
      <c r="XEE10" s="9"/>
      <c r="XEF10" s="9"/>
      <c r="XEG10" s="9"/>
      <c r="XEH10" s="9"/>
      <c r="XEI10" s="9"/>
      <c r="XEJ10" s="9"/>
      <c r="XEK10" s="9"/>
      <c r="XEL10" s="9"/>
      <c r="XEM10" s="9"/>
      <c r="XEN10" s="9"/>
      <c r="XEO10" s="9"/>
    </row>
    <row r="11" spans="1:5 16351:16369" x14ac:dyDescent="0.35">
      <c r="A11" s="5">
        <v>2028</v>
      </c>
      <c r="B11" s="11">
        <f>Case!$B$8/Temperature!B10</f>
        <v>11426.153048480484</v>
      </c>
      <c r="C11" s="12"/>
      <c r="D11" s="12"/>
      <c r="E11" s="9"/>
      <c r="XDW11" s="9"/>
      <c r="XDX11" s="9"/>
      <c r="XDY11" s="9"/>
      <c r="XDZ11" s="9"/>
      <c r="XEA11" s="9"/>
      <c r="XEB11" s="9"/>
      <c r="XEC11" s="9"/>
      <c r="XED11" s="9"/>
      <c r="XEE11" s="9"/>
      <c r="XEF11" s="9"/>
      <c r="XEG11" s="9"/>
      <c r="XEH11" s="9"/>
      <c r="XEI11" s="9"/>
      <c r="XEJ11" s="9"/>
      <c r="XEK11" s="9"/>
      <c r="XEL11" s="9"/>
      <c r="XEM11" s="9"/>
      <c r="XEN11" s="9"/>
      <c r="XEO11" s="9"/>
    </row>
    <row r="12" spans="1:5 16351:16369" x14ac:dyDescent="0.35">
      <c r="A12" s="5">
        <v>2029</v>
      </c>
      <c r="B12" s="11">
        <f>Case!$B$8/Temperature!B11</f>
        <v>11465.418179231276</v>
      </c>
      <c r="C12" s="12"/>
      <c r="D12" s="12"/>
      <c r="E12" s="9"/>
      <c r="XDW12" s="9"/>
      <c r="XDX12" s="9"/>
      <c r="XDY12" s="9"/>
      <c r="XDZ12" s="9"/>
      <c r="XEA12" s="9"/>
      <c r="XEB12" s="9"/>
      <c r="XEC12" s="9"/>
      <c r="XED12" s="9"/>
      <c r="XEE12" s="9"/>
      <c r="XEF12" s="9"/>
      <c r="XEG12" s="9"/>
      <c r="XEH12" s="9"/>
      <c r="XEI12" s="9"/>
      <c r="XEJ12" s="9"/>
      <c r="XEK12" s="9"/>
      <c r="XEL12" s="9"/>
      <c r="XEM12" s="9"/>
      <c r="XEN12" s="9"/>
      <c r="XEO12" s="9"/>
    </row>
    <row r="13" spans="1:5 16351:16369" x14ac:dyDescent="0.35">
      <c r="A13" s="5">
        <v>2030</v>
      </c>
      <c r="B13" s="11">
        <f>Case!$B$8/Temperature!B12</f>
        <v>11504.954103987246</v>
      </c>
      <c r="C13" s="12"/>
      <c r="D13" s="12"/>
      <c r="XDW13" s="9"/>
      <c r="XDX13" s="9"/>
      <c r="XDY13" s="9"/>
      <c r="XDZ13" s="9"/>
      <c r="XEA13" s="9"/>
      <c r="XEB13" s="9"/>
      <c r="XEC13" s="9"/>
      <c r="XED13" s="9"/>
      <c r="XEE13" s="9"/>
      <c r="XEF13" s="9"/>
      <c r="XEG13" s="9"/>
      <c r="XEH13" s="9"/>
      <c r="XEI13" s="9"/>
      <c r="XEJ13" s="9"/>
      <c r="XEK13" s="9"/>
      <c r="XEL13" s="9"/>
      <c r="XEM13" s="9"/>
      <c r="XEN13" s="9"/>
      <c r="XEO13" s="9"/>
    </row>
    <row r="14" spans="1:5 16351:16369" x14ac:dyDescent="0.35">
      <c r="A14" s="5">
        <v>2031</v>
      </c>
      <c r="B14" s="11">
        <f>Case!$B$8/Temperature!B13</f>
        <v>11544.763633758826</v>
      </c>
      <c r="C14" s="12"/>
      <c r="D14" s="12"/>
      <c r="XEI14" s="9"/>
      <c r="XEJ14" s="9"/>
      <c r="XEK14" s="9"/>
      <c r="XEL14" s="9"/>
      <c r="XEM14" s="9"/>
      <c r="XEN14" s="9"/>
      <c r="XEO14" s="9"/>
    </row>
    <row r="15" spans="1:5 16351:16369" x14ac:dyDescent="0.35">
      <c r="A15" s="5">
        <v>2032</v>
      </c>
      <c r="B15" s="11">
        <f>Case!$B$8/Temperature!B14</f>
        <v>11584.849618598266</v>
      </c>
      <c r="C15" s="12"/>
      <c r="D15" s="12"/>
      <c r="XEI15" s="9"/>
      <c r="XEJ15" s="9"/>
      <c r="XEK15" s="9"/>
      <c r="XEL15" s="9"/>
      <c r="XEM15" s="9"/>
      <c r="XEN15" s="9"/>
      <c r="XEO15" s="9"/>
    </row>
    <row r="16" spans="1:5 16351:16369" x14ac:dyDescent="0.35">
      <c r="A16" s="5">
        <v>2033</v>
      </c>
      <c r="B16" s="11">
        <f>Case!$B$8/Temperature!B15</f>
        <v>11625.214948279794</v>
      </c>
      <c r="C16" s="12"/>
      <c r="D16" s="12"/>
      <c r="XEI16" s="9"/>
      <c r="XEJ16" s="9"/>
      <c r="XEK16" s="9"/>
      <c r="XEL16" s="9"/>
      <c r="XEM16" s="9"/>
      <c r="XEN16" s="9"/>
      <c r="XEO16" s="9"/>
    </row>
    <row r="17" spans="1:9 16363:16369" x14ac:dyDescent="0.35">
      <c r="A17" s="5">
        <v>2034</v>
      </c>
      <c r="B17" s="11">
        <f>Case!$B$8/Temperature!B16</f>
        <v>11665.862552994058</v>
      </c>
      <c r="C17" s="12"/>
      <c r="D17" s="12"/>
      <c r="XEI17" s="9"/>
      <c r="XEJ17" s="9"/>
      <c r="XEK17" s="9"/>
      <c r="XEL17" s="9"/>
      <c r="XEM17" s="9"/>
      <c r="XEN17" s="9"/>
      <c r="XEO17" s="9"/>
    </row>
    <row r="18" spans="1:9 16363:16369" x14ac:dyDescent="0.35">
      <c r="A18" s="5">
        <v>2035</v>
      </c>
      <c r="B18" s="11">
        <f>Case!$B$8/Temperature!B17</f>
        <v>11706.795404057195</v>
      </c>
      <c r="C18" s="12"/>
      <c r="D18" s="12"/>
      <c r="XEI18" s="9"/>
      <c r="XEJ18" s="9"/>
      <c r="XEK18" s="9"/>
      <c r="XEL18" s="9"/>
      <c r="XEM18" s="9"/>
      <c r="XEN18" s="9"/>
      <c r="XEO18" s="9"/>
    </row>
    <row r="19" spans="1:9 16363:16369" x14ac:dyDescent="0.35">
      <c r="A19" s="5">
        <v>2036</v>
      </c>
      <c r="B19" s="11">
        <f>Case!$B$8/Temperature!B18</f>
        <v>11748.016514634861</v>
      </c>
      <c r="C19" s="12"/>
      <c r="D19" s="12"/>
      <c r="XEI19" s="9"/>
      <c r="XEJ19" s="9"/>
      <c r="XEK19" s="9"/>
      <c r="XEL19" s="9"/>
      <c r="XEM19" s="9"/>
      <c r="XEN19" s="9"/>
      <c r="XEO19" s="9"/>
    </row>
    <row r="20" spans="1:9 16363:16369" x14ac:dyDescent="0.35">
      <c r="A20" s="5">
        <v>2037</v>
      </c>
      <c r="B20" s="11">
        <f>Case!$B$8/Temperature!B19</f>
        <v>11789.528940481627</v>
      </c>
      <c r="C20" s="12"/>
      <c r="D20" s="12"/>
      <c r="XEI20" s="9"/>
      <c r="XEJ20" s="9"/>
      <c r="XEK20" s="9"/>
      <c r="XEL20" s="9"/>
      <c r="XEM20" s="9"/>
      <c r="XEN20" s="9"/>
      <c r="XEO20" s="9"/>
    </row>
    <row r="21" spans="1:9 16363:16369" x14ac:dyDescent="0.35">
      <c r="A21" s="5">
        <v>2038</v>
      </c>
      <c r="B21" s="11">
        <f>Case!$B$8/Temperature!B20</f>
        <v>11831.335780696099</v>
      </c>
      <c r="C21" s="12"/>
      <c r="D21" s="12"/>
      <c r="XEI21" s="9"/>
      <c r="XEJ21" s="9"/>
      <c r="XEK21" s="9"/>
      <c r="XEL21" s="9"/>
      <c r="XEM21" s="9"/>
      <c r="XEN21" s="9"/>
      <c r="XEO21" s="9"/>
    </row>
    <row r="22" spans="1:9 16363:16369" x14ac:dyDescent="0.35">
      <c r="A22" s="5">
        <v>2039</v>
      </c>
      <c r="B22" s="11">
        <f>Case!$B$8/Temperature!B21</f>
        <v>11873.44017849217</v>
      </c>
      <c r="C22" s="12"/>
      <c r="D22" s="12"/>
      <c r="XEI22" s="9"/>
      <c r="XEJ22" s="9"/>
      <c r="XEK22" s="9"/>
      <c r="XEL22" s="9"/>
      <c r="XEM22" s="9"/>
      <c r="XEN22" s="9"/>
      <c r="XEO22" s="9"/>
    </row>
    <row r="23" spans="1:9 16363:16369" x14ac:dyDescent="0.35">
      <c r="A23" s="5">
        <v>2040</v>
      </c>
      <c r="B23" s="11">
        <f>Case!$B$8/Temperature!B22</f>
        <v>11915.845321986784</v>
      </c>
      <c r="C23" s="12"/>
      <c r="D23" s="12"/>
      <c r="XEI23" s="9"/>
      <c r="XEJ23" s="9"/>
      <c r="XEK23" s="9"/>
      <c r="XEL23" s="9"/>
      <c r="XEM23" s="9"/>
      <c r="XEN23" s="9"/>
      <c r="XEO23" s="9"/>
    </row>
    <row r="24" spans="1:9 16363:16369" x14ac:dyDescent="0.35">
      <c r="A24" s="5">
        <v>2041</v>
      </c>
      <c r="B24" s="11">
        <f>Case!$B$8/Temperature!B23</f>
        <v>11958.554445004658</v>
      </c>
      <c r="C24" s="12"/>
      <c r="D24" s="12"/>
      <c r="XEI24" s="9"/>
      <c r="XEJ24" s="9"/>
      <c r="XEK24" s="9"/>
      <c r="XEL24" s="9"/>
      <c r="XEM24" s="9"/>
      <c r="XEN24" s="9"/>
      <c r="XEO24" s="9"/>
    </row>
    <row r="25" spans="1:9 16363:16369" x14ac:dyDescent="0.35">
      <c r="A25" s="5">
        <v>2042</v>
      </c>
      <c r="B25" s="11">
        <f>Case!$B$8/Temperature!B24</f>
        <v>12001.570827900357</v>
      </c>
      <c r="C25" s="12"/>
      <c r="D25" s="12"/>
      <c r="XEI25" s="9"/>
      <c r="XEJ25" s="9"/>
      <c r="XEK25" s="9"/>
      <c r="XEL25" s="9"/>
      <c r="XEM25" s="9"/>
      <c r="XEN25" s="9"/>
      <c r="XEO25" s="9"/>
    </row>
    <row r="26" spans="1:9 16363:16369" x14ac:dyDescent="0.35">
      <c r="A26" s="5">
        <v>2043</v>
      </c>
      <c r="B26" s="11">
        <f>Case!$B$8/Temperature!B25</f>
        <v>12044.897798398193</v>
      </c>
      <c r="C26" s="12"/>
      <c r="D26" s="12"/>
    </row>
    <row r="27" spans="1:9 16363:16369" x14ac:dyDescent="0.35">
      <c r="A27" s="5">
        <v>2044</v>
      </c>
      <c r="B27" s="11">
        <f>Case!$B$8/Temperature!B26</f>
        <v>12088.538732450359</v>
      </c>
      <c r="C27" s="12"/>
      <c r="D27" s="12"/>
    </row>
    <row r="28" spans="1:9 16363:16369" x14ac:dyDescent="0.35">
      <c r="A28" s="5">
        <v>2045</v>
      </c>
      <c r="B28" s="11">
        <f>Case!$B$8/Temperature!B27</f>
        <v>12132.497055113816</v>
      </c>
      <c r="C28" s="12"/>
      <c r="D28" s="12"/>
      <c r="I28" s="5" t="s">
        <v>21</v>
      </c>
    </row>
    <row r="29" spans="1:9 16363:16369" x14ac:dyDescent="0.35">
      <c r="A29" s="5">
        <v>2046</v>
      </c>
      <c r="B29" s="11">
        <f>Case!$B$8/Temperature!B28</f>
        <v>12176.776241446347</v>
      </c>
      <c r="C29" s="12"/>
      <c r="D29" s="12"/>
    </row>
    <row r="30" spans="1:9 16363:16369" x14ac:dyDescent="0.35">
      <c r="A30" s="5">
        <v>2047</v>
      </c>
      <c r="B30" s="11">
        <f>Case!$B$8/Temperature!B29</f>
        <v>12221.379817422339</v>
      </c>
      <c r="C30" s="12"/>
      <c r="D30" s="12"/>
    </row>
    <row r="31" spans="1:9 16363:16369" x14ac:dyDescent="0.35">
      <c r="A31" s="5">
        <v>2048</v>
      </c>
      <c r="B31" s="11">
        <f>Case!$B$8/Temperature!B30</f>
        <v>12266.311360868745</v>
      </c>
      <c r="C31" s="12"/>
      <c r="D31" s="12"/>
    </row>
    <row r="32" spans="1:9 16363:16369" x14ac:dyDescent="0.35">
      <c r="A32" s="5">
        <v>2049</v>
      </c>
      <c r="B32" s="11">
        <f>Case!$B$8/Temperature!B31</f>
        <v>12311.574502421767</v>
      </c>
      <c r="C32" s="12"/>
      <c r="D32" s="12"/>
      <c r="F32" s="6"/>
      <c r="G32" s="8"/>
      <c r="H32" s="8"/>
    </row>
    <row r="33" spans="1:15" x14ac:dyDescent="0.35">
      <c r="A33" s="5">
        <v>2050</v>
      </c>
      <c r="B33" s="11">
        <f>Case!$B$8/Temperature!B32</f>
        <v>12357.172926504823</v>
      </c>
      <c r="C33" s="12"/>
      <c r="D33" s="12"/>
    </row>
    <row r="37" spans="1:15" x14ac:dyDescent="0.35">
      <c r="O37" s="5" t="s">
        <v>21</v>
      </c>
    </row>
  </sheetData>
  <mergeCells count="1">
    <mergeCell ref="B1:D1"/>
  </mergeCells>
  <phoneticPr fontId="1" type="noConversion"/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922B7-B7DC-43EC-A82D-D7AECE202911}">
  <dimension ref="A1:X70"/>
  <sheetViews>
    <sheetView zoomScale="70" zoomScaleNormal="70" workbookViewId="0">
      <selection activeCell="O5" sqref="O5"/>
    </sheetView>
  </sheetViews>
  <sheetFormatPr defaultColWidth="8.83203125" defaultRowHeight="14" x14ac:dyDescent="0.3"/>
  <cols>
    <col min="1" max="1" width="13.1640625" bestFit="1" customWidth="1"/>
  </cols>
  <sheetData>
    <row r="1" spans="1:12" x14ac:dyDescent="0.3">
      <c r="B1">
        <v>6.7600000000000004E-3</v>
      </c>
      <c r="C1">
        <v>9.3909999999999993E-2</v>
      </c>
      <c r="D1">
        <v>2.9149999999999999E-2</v>
      </c>
      <c r="E1">
        <v>1.11547</v>
      </c>
      <c r="F1">
        <v>0.37598999999999999</v>
      </c>
    </row>
    <row r="2" spans="1:12" x14ac:dyDescent="0.3">
      <c r="B2" t="s">
        <v>51</v>
      </c>
      <c r="C2" t="s">
        <v>6</v>
      </c>
      <c r="D2" t="s">
        <v>7</v>
      </c>
      <c r="E2" t="s">
        <v>10</v>
      </c>
      <c r="F2" t="s">
        <v>50</v>
      </c>
      <c r="G2" t="s">
        <v>8</v>
      </c>
    </row>
    <row r="3" spans="1:12" x14ac:dyDescent="0.3">
      <c r="A3">
        <v>2020</v>
      </c>
      <c r="B3">
        <f>T45</f>
        <v>5.6044924025545041E-2</v>
      </c>
      <c r="C3">
        <f t="shared" ref="C3:D3" si="0">U45</f>
        <v>1.9489099317330987E-2</v>
      </c>
      <c r="D3">
        <f t="shared" si="0"/>
        <v>4.2611759524333853E-2</v>
      </c>
      <c r="E3">
        <f>W45</f>
        <v>0.88185421713279022</v>
      </c>
      <c r="F3">
        <f>X45</f>
        <v>0</v>
      </c>
      <c r="G3" s="1">
        <f>B3*$B$1+C3*$C$1+D3*$D$1+E3*$E$1+F3*$F$1</f>
        <v>0.98713314137855113</v>
      </c>
      <c r="H3" t="s">
        <v>9</v>
      </c>
      <c r="I3" t="s">
        <v>11</v>
      </c>
      <c r="J3" t="s">
        <v>12</v>
      </c>
      <c r="K3" t="s">
        <v>10</v>
      </c>
      <c r="L3" t="s">
        <v>50</v>
      </c>
    </row>
    <row r="4" spans="1:12" x14ac:dyDescent="0.3">
      <c r="A4">
        <v>2021</v>
      </c>
      <c r="B4">
        <f t="shared" ref="B4:B12" si="1">B3+H$4</f>
        <v>5.5005576574673309E-2</v>
      </c>
      <c r="C4">
        <f t="shared" ref="C4:C12" si="2">C3+I$4</f>
        <v>2.2616275134792602E-2</v>
      </c>
      <c r="D4">
        <f t="shared" ref="D4:D12" si="3">D3+J$4</f>
        <v>4.8869299555461501E-2</v>
      </c>
      <c r="E4">
        <f t="shared" ref="E4:E12" si="4">E3+K$4</f>
        <v>0.87028770022901913</v>
      </c>
      <c r="F4">
        <f t="shared" ref="F4:F12" si="5">F3+L$4</f>
        <v>3.2211485060535381E-3</v>
      </c>
      <c r="G4" s="1">
        <f t="shared" ref="G4:G33" si="6">B4*$B$1+C4*$C$1+D4*$D$1+E4*$E$1+F4*$F$1</f>
        <v>0.97591121277884985</v>
      </c>
      <c r="H4">
        <f>(B13-B3)/($A$13-$A$3)</f>
        <v>-1.0393474508717318E-3</v>
      </c>
      <c r="I4">
        <f>(C13-C3)/($A$13-$A$3)</f>
        <v>3.1271758174616139E-3</v>
      </c>
      <c r="J4">
        <f>(D13-D3)/($A$13-$A$3)</f>
        <v>6.2575400311276506E-3</v>
      </c>
      <c r="K4">
        <f>(E13-E3)/($A$13-$A$3)</f>
        <v>-1.1566516903771085E-2</v>
      </c>
      <c r="L4">
        <f>(F13-F3)/($A$13-$A$3)</f>
        <v>3.2211485060535381E-3</v>
      </c>
    </row>
    <row r="5" spans="1:12" x14ac:dyDescent="0.3">
      <c r="A5">
        <v>2022</v>
      </c>
      <c r="B5">
        <f t="shared" si="1"/>
        <v>5.3966229123801578E-2</v>
      </c>
      <c r="C5">
        <f t="shared" si="2"/>
        <v>2.5743450952254218E-2</v>
      </c>
      <c r="D5">
        <f t="shared" si="3"/>
        <v>5.5126839586589149E-2</v>
      </c>
      <c r="E5">
        <f t="shared" si="4"/>
        <v>0.85872118332524805</v>
      </c>
      <c r="F5">
        <f t="shared" si="5"/>
        <v>6.4422970121070762E-3</v>
      </c>
      <c r="G5" s="1">
        <f t="shared" si="6"/>
        <v>0.96468928417914868</v>
      </c>
    </row>
    <row r="6" spans="1:12" x14ac:dyDescent="0.3">
      <c r="A6">
        <v>2023</v>
      </c>
      <c r="B6">
        <f t="shared" si="1"/>
        <v>5.2926881672929846E-2</v>
      </c>
      <c r="C6">
        <f t="shared" si="2"/>
        <v>2.8870626769715833E-2</v>
      </c>
      <c r="D6">
        <f t="shared" si="3"/>
        <v>6.1384379617716797E-2</v>
      </c>
      <c r="E6">
        <f t="shared" si="4"/>
        <v>0.84715466642147697</v>
      </c>
      <c r="F6">
        <f t="shared" si="5"/>
        <v>9.6634455181606148E-3</v>
      </c>
      <c r="G6" s="1">
        <f t="shared" si="6"/>
        <v>0.95346735557944762</v>
      </c>
    </row>
    <row r="7" spans="1:12" x14ac:dyDescent="0.3">
      <c r="A7">
        <v>2024</v>
      </c>
      <c r="B7">
        <f t="shared" si="1"/>
        <v>5.1887534222058114E-2</v>
      </c>
      <c r="C7">
        <f t="shared" si="2"/>
        <v>3.1997802587177444E-2</v>
      </c>
      <c r="D7">
        <f t="shared" si="3"/>
        <v>6.7641919648844445E-2</v>
      </c>
      <c r="E7">
        <f t="shared" si="4"/>
        <v>0.83558814951770588</v>
      </c>
      <c r="F7">
        <f t="shared" si="5"/>
        <v>1.2884594024214152E-2</v>
      </c>
      <c r="G7" s="1">
        <f t="shared" si="6"/>
        <v>0.94224542697974634</v>
      </c>
    </row>
    <row r="8" spans="1:12" x14ac:dyDescent="0.3">
      <c r="A8">
        <v>2025</v>
      </c>
      <c r="B8">
        <f t="shared" si="1"/>
        <v>5.0848186771186382E-2</v>
      </c>
      <c r="C8">
        <f t="shared" si="2"/>
        <v>3.512497840463906E-2</v>
      </c>
      <c r="D8">
        <f t="shared" si="3"/>
        <v>7.3899459679972093E-2</v>
      </c>
      <c r="E8">
        <f t="shared" si="4"/>
        <v>0.8240216326139348</v>
      </c>
      <c r="F8">
        <f t="shared" si="5"/>
        <v>1.610574253026769E-2</v>
      </c>
      <c r="G8" s="1">
        <f t="shared" si="6"/>
        <v>0.93102349838004528</v>
      </c>
    </row>
    <row r="9" spans="1:12" x14ac:dyDescent="0.3">
      <c r="A9">
        <v>2026</v>
      </c>
      <c r="B9">
        <f t="shared" si="1"/>
        <v>4.980883932031465E-2</v>
      </c>
      <c r="C9">
        <f t="shared" si="2"/>
        <v>3.8252154222100675E-2</v>
      </c>
      <c r="D9">
        <f t="shared" si="3"/>
        <v>8.0156999711099741E-2</v>
      </c>
      <c r="E9">
        <f t="shared" si="4"/>
        <v>0.81245511571016371</v>
      </c>
      <c r="F9">
        <f t="shared" si="5"/>
        <v>1.932689103632123E-2</v>
      </c>
      <c r="G9" s="1">
        <f t="shared" si="6"/>
        <v>0.919801569780344</v>
      </c>
    </row>
    <row r="10" spans="1:12" x14ac:dyDescent="0.3">
      <c r="A10">
        <v>2027</v>
      </c>
      <c r="B10">
        <f t="shared" si="1"/>
        <v>4.8769491869442919E-2</v>
      </c>
      <c r="C10">
        <f t="shared" si="2"/>
        <v>4.137933003956229E-2</v>
      </c>
      <c r="D10">
        <f t="shared" si="3"/>
        <v>8.6414539742227389E-2</v>
      </c>
      <c r="E10">
        <f t="shared" si="4"/>
        <v>0.80088859880639263</v>
      </c>
      <c r="F10">
        <f t="shared" si="5"/>
        <v>2.2548039542374769E-2</v>
      </c>
      <c r="G10" s="1">
        <f t="shared" si="6"/>
        <v>0.90857964118064294</v>
      </c>
    </row>
    <row r="11" spans="1:12" x14ac:dyDescent="0.3">
      <c r="A11">
        <v>2028</v>
      </c>
      <c r="B11">
        <f t="shared" si="1"/>
        <v>4.7730144418571187E-2</v>
      </c>
      <c r="C11">
        <f t="shared" si="2"/>
        <v>4.4506505857023905E-2</v>
      </c>
      <c r="D11">
        <f t="shared" si="3"/>
        <v>9.2672079773355037E-2</v>
      </c>
      <c r="E11">
        <f t="shared" si="4"/>
        <v>0.78932208190262154</v>
      </c>
      <c r="F11">
        <f t="shared" si="5"/>
        <v>2.5769188048428308E-2</v>
      </c>
      <c r="G11" s="1">
        <f t="shared" si="6"/>
        <v>0.89735771258094177</v>
      </c>
    </row>
    <row r="12" spans="1:12" x14ac:dyDescent="0.3">
      <c r="A12">
        <v>2029</v>
      </c>
      <c r="B12">
        <f t="shared" si="1"/>
        <v>4.6690796967699455E-2</v>
      </c>
      <c r="C12">
        <f t="shared" si="2"/>
        <v>4.763368167448552E-2</v>
      </c>
      <c r="D12">
        <f t="shared" si="3"/>
        <v>9.8929619804482685E-2</v>
      </c>
      <c r="E12">
        <f t="shared" si="4"/>
        <v>0.77775556499885046</v>
      </c>
      <c r="F12">
        <f t="shared" si="5"/>
        <v>2.8990336554481848E-2</v>
      </c>
      <c r="G12" s="1">
        <f t="shared" si="6"/>
        <v>0.88613578398124049</v>
      </c>
    </row>
    <row r="13" spans="1:12" x14ac:dyDescent="0.3">
      <c r="A13">
        <v>2030</v>
      </c>
      <c r="B13">
        <f>T46</f>
        <v>4.5651449516827723E-2</v>
      </c>
      <c r="C13">
        <f t="shared" ref="C13:D13" si="7">U46</f>
        <v>5.0760857491947128E-2</v>
      </c>
      <c r="D13">
        <f t="shared" si="7"/>
        <v>0.10518715983561036</v>
      </c>
      <c r="E13">
        <f>W46</f>
        <v>0.76618904809507937</v>
      </c>
      <c r="F13">
        <f>X46</f>
        <v>3.221148506053538E-2</v>
      </c>
      <c r="G13" s="1">
        <f t="shared" si="6"/>
        <v>0.87491385538153943</v>
      </c>
    </row>
    <row r="14" spans="1:12" x14ac:dyDescent="0.3">
      <c r="A14">
        <v>2031</v>
      </c>
      <c r="B14">
        <f t="shared" ref="B14:B22" si="8">B13+H$14</f>
        <v>4.970356120231309E-2</v>
      </c>
      <c r="C14">
        <f t="shared" ref="C14:C22" si="9">C13+I$14</f>
        <v>5.2576364663106397E-2</v>
      </c>
      <c r="D14">
        <f t="shared" ref="D14:D22" si="10">D13+J$14</f>
        <v>0.10785428456001393</v>
      </c>
      <c r="E14">
        <f t="shared" ref="E14:E22" si="11">E13+K$14</f>
        <v>0.74577589549796086</v>
      </c>
      <c r="F14">
        <f t="shared" ref="F14:F22" si="12">F13+L$14</f>
        <v>4.408989407660574E-2</v>
      </c>
      <c r="G14" s="1">
        <f t="shared" si="6"/>
        <v>0.85688539229913774</v>
      </c>
      <c r="H14">
        <f>(B23-B13)/($A$23-$A$13)</f>
        <v>4.0521116854853687E-3</v>
      </c>
      <c r="I14">
        <f>(C23-C13)/($A$23-$A$13)</f>
        <v>1.8155071711592695E-3</v>
      </c>
      <c r="J14">
        <f>(D23-D13)/($A$23-$A$13)</f>
        <v>2.6671247244035661E-3</v>
      </c>
      <c r="K14">
        <f>(E23-E13)/($A$23-$A$13)</f>
        <v>-2.0413152597118556E-2</v>
      </c>
      <c r="L14">
        <f>(F23-F13)/($A$23-$A$13)</f>
        <v>1.1878409016070358E-2</v>
      </c>
    </row>
    <row r="15" spans="1:12" x14ac:dyDescent="0.3">
      <c r="A15">
        <v>2032</v>
      </c>
      <c r="B15">
        <f t="shared" si="8"/>
        <v>5.3755672887798457E-2</v>
      </c>
      <c r="C15">
        <f t="shared" si="9"/>
        <v>5.4391871834265665E-2</v>
      </c>
      <c r="D15">
        <f t="shared" si="10"/>
        <v>0.1105214092844175</v>
      </c>
      <c r="E15">
        <f t="shared" si="11"/>
        <v>0.72536274290084235</v>
      </c>
      <c r="F15">
        <f t="shared" si="12"/>
        <v>5.59683030926761E-2</v>
      </c>
      <c r="G15" s="1">
        <f t="shared" si="6"/>
        <v>0.83885692921673605</v>
      </c>
    </row>
    <row r="16" spans="1:12" x14ac:dyDescent="0.3">
      <c r="A16">
        <v>2033</v>
      </c>
      <c r="B16">
        <f t="shared" si="8"/>
        <v>5.7807784573283824E-2</v>
      </c>
      <c r="C16">
        <f t="shared" si="9"/>
        <v>5.6207379005424933E-2</v>
      </c>
      <c r="D16">
        <f t="shared" si="10"/>
        <v>0.11318853400882108</v>
      </c>
      <c r="E16">
        <f t="shared" si="11"/>
        <v>0.70494959030372384</v>
      </c>
      <c r="F16">
        <f t="shared" si="12"/>
        <v>6.784671210874646E-2</v>
      </c>
      <c r="G16" s="1">
        <f t="shared" si="6"/>
        <v>0.82082846613433436</v>
      </c>
    </row>
    <row r="17" spans="1:12" x14ac:dyDescent="0.3">
      <c r="A17">
        <v>2034</v>
      </c>
      <c r="B17">
        <f t="shared" si="8"/>
        <v>6.1859896258769191E-2</v>
      </c>
      <c r="C17">
        <f t="shared" si="9"/>
        <v>5.8022886176584201E-2</v>
      </c>
      <c r="D17">
        <f t="shared" si="10"/>
        <v>0.11585565873322465</v>
      </c>
      <c r="E17">
        <f t="shared" si="11"/>
        <v>0.68453643770660533</v>
      </c>
      <c r="F17">
        <f t="shared" si="12"/>
        <v>7.972512112481682E-2</v>
      </c>
      <c r="G17" s="1">
        <f t="shared" si="6"/>
        <v>0.80280000305193266</v>
      </c>
    </row>
    <row r="18" spans="1:12" x14ac:dyDescent="0.3">
      <c r="A18">
        <v>2035</v>
      </c>
      <c r="B18">
        <f t="shared" si="8"/>
        <v>6.5912007944254558E-2</v>
      </c>
      <c r="C18">
        <f t="shared" si="9"/>
        <v>5.983839334774347E-2</v>
      </c>
      <c r="D18">
        <f t="shared" si="10"/>
        <v>0.11852278345762822</v>
      </c>
      <c r="E18">
        <f t="shared" si="11"/>
        <v>0.66412328510948682</v>
      </c>
      <c r="F18">
        <f t="shared" si="12"/>
        <v>9.1603530140887179E-2</v>
      </c>
      <c r="G18" s="1">
        <f t="shared" si="6"/>
        <v>0.78477153996953108</v>
      </c>
    </row>
    <row r="19" spans="1:12" x14ac:dyDescent="0.3">
      <c r="A19">
        <v>2036</v>
      </c>
      <c r="B19">
        <f t="shared" si="8"/>
        <v>6.9964119629739932E-2</v>
      </c>
      <c r="C19">
        <f t="shared" si="9"/>
        <v>6.1653900518902738E-2</v>
      </c>
      <c r="D19">
        <f t="shared" si="10"/>
        <v>0.12118990818203179</v>
      </c>
      <c r="E19">
        <f t="shared" si="11"/>
        <v>0.6437101325123683</v>
      </c>
      <c r="F19">
        <f t="shared" si="12"/>
        <v>0.10348193915695754</v>
      </c>
      <c r="G19" s="1">
        <f t="shared" si="6"/>
        <v>0.76674307688712928</v>
      </c>
    </row>
    <row r="20" spans="1:12" x14ac:dyDescent="0.3">
      <c r="A20">
        <v>2037</v>
      </c>
      <c r="B20">
        <f t="shared" si="8"/>
        <v>7.4016231315225306E-2</v>
      </c>
      <c r="C20">
        <f t="shared" si="9"/>
        <v>6.3469407690062013E-2</v>
      </c>
      <c r="D20">
        <f t="shared" si="10"/>
        <v>0.12385703290643536</v>
      </c>
      <c r="E20">
        <f t="shared" si="11"/>
        <v>0.62329697991524979</v>
      </c>
      <c r="F20">
        <f t="shared" si="12"/>
        <v>0.1153603481730279</v>
      </c>
      <c r="G20" s="1">
        <f t="shared" si="6"/>
        <v>0.74871461380472759</v>
      </c>
    </row>
    <row r="21" spans="1:12" x14ac:dyDescent="0.3">
      <c r="A21">
        <v>2038</v>
      </c>
      <c r="B21">
        <f t="shared" si="8"/>
        <v>7.806834300071068E-2</v>
      </c>
      <c r="C21">
        <f t="shared" si="9"/>
        <v>6.5284914861221288E-2</v>
      </c>
      <c r="D21">
        <f t="shared" si="10"/>
        <v>0.12652415763083893</v>
      </c>
      <c r="E21">
        <f t="shared" si="11"/>
        <v>0.60288382731813128</v>
      </c>
      <c r="F21">
        <f t="shared" si="12"/>
        <v>0.12723875718909824</v>
      </c>
      <c r="G21" s="1">
        <f t="shared" si="6"/>
        <v>0.7306861507223259</v>
      </c>
    </row>
    <row r="22" spans="1:12" x14ac:dyDescent="0.3">
      <c r="A22">
        <v>2039</v>
      </c>
      <c r="B22">
        <f t="shared" si="8"/>
        <v>8.2120454686196054E-2</v>
      </c>
      <c r="C22">
        <f t="shared" si="9"/>
        <v>6.7100422032380563E-2</v>
      </c>
      <c r="D22">
        <f t="shared" si="10"/>
        <v>0.12919128235524249</v>
      </c>
      <c r="E22">
        <f t="shared" si="11"/>
        <v>0.58247067472101277</v>
      </c>
      <c r="F22">
        <f t="shared" si="12"/>
        <v>0.13911716620516859</v>
      </c>
      <c r="G22" s="1">
        <f t="shared" si="6"/>
        <v>0.71265768763992432</v>
      </c>
    </row>
    <row r="23" spans="1:12" x14ac:dyDescent="0.3">
      <c r="A23">
        <v>2040</v>
      </c>
      <c r="B23">
        <f>T47</f>
        <v>8.6172566371681414E-2</v>
      </c>
      <c r="C23">
        <f t="shared" ref="C23:D23" si="13">U47</f>
        <v>6.8915929203539825E-2</v>
      </c>
      <c r="D23">
        <f t="shared" si="13"/>
        <v>0.13185840707964602</v>
      </c>
      <c r="E23">
        <f>W47</f>
        <v>0.56205752212389382</v>
      </c>
      <c r="F23">
        <f>X47</f>
        <v>0.15099557522123896</v>
      </c>
      <c r="G23" s="1">
        <f t="shared" si="6"/>
        <v>0.69462922455752207</v>
      </c>
    </row>
    <row r="24" spans="1:12" x14ac:dyDescent="0.3">
      <c r="A24">
        <v>2041</v>
      </c>
      <c r="B24">
        <f t="shared" ref="B24:B32" si="14">B23+H$24</f>
        <v>0.10975142603104798</v>
      </c>
      <c r="C24">
        <f t="shared" ref="C24:C32" si="15">C23+I$24</f>
        <v>6.9051479293592455E-2</v>
      </c>
      <c r="D24">
        <f t="shared" ref="D24:D32" si="16">D23+J$24</f>
        <v>0.13808035523553724</v>
      </c>
      <c r="E24">
        <f t="shared" ref="E24:E32" si="17">E23+K$24</f>
        <v>0.53975371176323705</v>
      </c>
      <c r="F24">
        <f t="shared" ref="F24:F32" si="18">F23+L$24</f>
        <v>0.14336302767658529</v>
      </c>
      <c r="G24" s="1">
        <f t="shared" si="6"/>
        <v>0.66723372405220427</v>
      </c>
      <c r="H24">
        <f>(B33-B23)/($A$33-$A$23)</f>
        <v>2.3578859659366562E-2</v>
      </c>
      <c r="I24">
        <f>(C33-C23)/($A$33-$A$23)</f>
        <v>1.3555009005262743E-4</v>
      </c>
      <c r="J24">
        <f>(D33-D23)/($A$33-$A$23)</f>
        <v>6.2219481558912102E-3</v>
      </c>
      <c r="K24">
        <f>(E33-E23)/($A$33-$A$23)</f>
        <v>-2.2303810360656734E-2</v>
      </c>
      <c r="L24">
        <f>(F33-F23)/($A$33-$A$23)</f>
        <v>-7.6325475446536676E-3</v>
      </c>
    </row>
    <row r="25" spans="1:12" x14ac:dyDescent="0.3">
      <c r="A25">
        <v>2042</v>
      </c>
      <c r="B25">
        <f t="shared" si="14"/>
        <v>0.13333028569041455</v>
      </c>
      <c r="C25">
        <f t="shared" si="15"/>
        <v>6.9187029383645085E-2</v>
      </c>
      <c r="D25">
        <f t="shared" si="16"/>
        <v>0.14430230339142847</v>
      </c>
      <c r="E25">
        <f t="shared" si="17"/>
        <v>0.51744990140258029</v>
      </c>
      <c r="F25">
        <f t="shared" si="18"/>
        <v>0.13573048013193162</v>
      </c>
      <c r="G25" s="1">
        <f t="shared" si="6"/>
        <v>0.63983822354688658</v>
      </c>
    </row>
    <row r="26" spans="1:12" x14ac:dyDescent="0.3">
      <c r="A26">
        <v>2043</v>
      </c>
      <c r="B26">
        <f t="shared" si="14"/>
        <v>0.15690914534978112</v>
      </c>
      <c r="C26">
        <f t="shared" si="15"/>
        <v>6.9322579473697715E-2</v>
      </c>
      <c r="D26">
        <f t="shared" si="16"/>
        <v>0.15052425154731969</v>
      </c>
      <c r="E26">
        <f t="shared" si="17"/>
        <v>0.49514609104192353</v>
      </c>
      <c r="F26">
        <f t="shared" si="18"/>
        <v>0.12809793258727795</v>
      </c>
      <c r="G26" s="1">
        <f t="shared" si="6"/>
        <v>0.61244272304156888</v>
      </c>
    </row>
    <row r="27" spans="1:12" x14ac:dyDescent="0.3">
      <c r="A27">
        <v>2044</v>
      </c>
      <c r="B27">
        <f t="shared" si="14"/>
        <v>0.18048800500914769</v>
      </c>
      <c r="C27">
        <f t="shared" si="15"/>
        <v>6.9458129563750345E-2</v>
      </c>
      <c r="D27">
        <f t="shared" si="16"/>
        <v>0.15674619970321091</v>
      </c>
      <c r="E27">
        <f t="shared" si="17"/>
        <v>0.47284228068126677</v>
      </c>
      <c r="F27">
        <f t="shared" si="18"/>
        <v>0.12046538504262427</v>
      </c>
      <c r="G27" s="1">
        <f t="shared" si="6"/>
        <v>0.58504722253625119</v>
      </c>
    </row>
    <row r="28" spans="1:12" x14ac:dyDescent="0.3">
      <c r="A28">
        <v>2045</v>
      </c>
      <c r="B28">
        <f t="shared" si="14"/>
        <v>0.20406686466851426</v>
      </c>
      <c r="C28">
        <f t="shared" si="15"/>
        <v>6.9593679653802976E-2</v>
      </c>
      <c r="D28">
        <f t="shared" si="16"/>
        <v>0.16296814785910213</v>
      </c>
      <c r="E28">
        <f t="shared" si="17"/>
        <v>0.45053847032061001</v>
      </c>
      <c r="F28">
        <f t="shared" si="18"/>
        <v>0.1128328374979706</v>
      </c>
      <c r="G28" s="1">
        <f t="shared" si="6"/>
        <v>0.55765172203093338</v>
      </c>
    </row>
    <row r="29" spans="1:12" x14ac:dyDescent="0.3">
      <c r="A29">
        <v>2046</v>
      </c>
      <c r="B29">
        <f t="shared" si="14"/>
        <v>0.22764572432788083</v>
      </c>
      <c r="C29">
        <f t="shared" si="15"/>
        <v>6.9729229743855606E-2</v>
      </c>
      <c r="D29">
        <f t="shared" si="16"/>
        <v>0.16919009601499335</v>
      </c>
      <c r="E29">
        <f t="shared" si="17"/>
        <v>0.42823465995995325</v>
      </c>
      <c r="F29">
        <f t="shared" si="18"/>
        <v>0.10520028995331693</v>
      </c>
      <c r="G29" s="1">
        <f t="shared" si="6"/>
        <v>0.53025622152561569</v>
      </c>
    </row>
    <row r="30" spans="1:12" x14ac:dyDescent="0.3">
      <c r="A30">
        <v>2047</v>
      </c>
      <c r="B30">
        <f t="shared" si="14"/>
        <v>0.2512245839872474</v>
      </c>
      <c r="C30">
        <f t="shared" si="15"/>
        <v>6.9864779833908236E-2</v>
      </c>
      <c r="D30">
        <f t="shared" si="16"/>
        <v>0.17541204417088457</v>
      </c>
      <c r="E30">
        <f t="shared" si="17"/>
        <v>0.40593084959929648</v>
      </c>
      <c r="F30">
        <f t="shared" si="18"/>
        <v>9.7567742408663255E-2</v>
      </c>
      <c r="G30" s="1">
        <f t="shared" si="6"/>
        <v>0.502860721020298</v>
      </c>
    </row>
    <row r="31" spans="1:12" x14ac:dyDescent="0.3">
      <c r="A31">
        <v>2048</v>
      </c>
      <c r="B31">
        <f t="shared" si="14"/>
        <v>0.27480344364661397</v>
      </c>
      <c r="C31">
        <f t="shared" si="15"/>
        <v>7.0000329923960866E-2</v>
      </c>
      <c r="D31">
        <f t="shared" si="16"/>
        <v>0.18163399232677579</v>
      </c>
      <c r="E31">
        <f t="shared" si="17"/>
        <v>0.38362703923863972</v>
      </c>
      <c r="F31">
        <f t="shared" si="18"/>
        <v>8.9935194864009582E-2</v>
      </c>
      <c r="G31" s="1">
        <f t="shared" si="6"/>
        <v>0.47546522051498019</v>
      </c>
      <c r="I31" t="s">
        <v>69</v>
      </c>
    </row>
    <row r="32" spans="1:12" x14ac:dyDescent="0.3">
      <c r="A32">
        <v>2049</v>
      </c>
      <c r="B32">
        <f t="shared" si="14"/>
        <v>0.29838230330598053</v>
      </c>
      <c r="C32">
        <f t="shared" si="15"/>
        <v>7.0135880014013496E-2</v>
      </c>
      <c r="D32">
        <f t="shared" si="16"/>
        <v>0.18785594048266702</v>
      </c>
      <c r="E32">
        <f t="shared" si="17"/>
        <v>0.36132322887798296</v>
      </c>
      <c r="F32">
        <f t="shared" si="18"/>
        <v>8.2302647319355909E-2</v>
      </c>
      <c r="G32" s="1">
        <f t="shared" si="6"/>
        <v>0.44806972000966244</v>
      </c>
    </row>
    <row r="33" spans="1:24" x14ac:dyDescent="0.3">
      <c r="A33">
        <v>2050</v>
      </c>
      <c r="B33">
        <f>T48</f>
        <v>0.32196116296534705</v>
      </c>
      <c r="C33">
        <f t="shared" ref="C33:D33" si="19">U48</f>
        <v>7.0271430104066099E-2</v>
      </c>
      <c r="D33">
        <f t="shared" si="19"/>
        <v>0.19407788863855813</v>
      </c>
      <c r="E33">
        <f>W48</f>
        <v>0.33901941851732648</v>
      </c>
      <c r="F33">
        <f>X48</f>
        <v>7.4670099774702292E-2</v>
      </c>
      <c r="G33" s="1">
        <f t="shared" si="6"/>
        <v>0.42067421950434503</v>
      </c>
    </row>
    <row r="34" spans="1:24" x14ac:dyDescent="0.3">
      <c r="J34" t="s">
        <v>0</v>
      </c>
      <c r="K34" t="s">
        <v>65</v>
      </c>
      <c r="L34" t="s">
        <v>66</v>
      </c>
      <c r="M34" t="s">
        <v>67</v>
      </c>
      <c r="N34" t="s">
        <v>68</v>
      </c>
      <c r="O34" t="s">
        <v>12</v>
      </c>
      <c r="R34" t="s">
        <v>0</v>
      </c>
      <c r="S34" t="s">
        <v>65</v>
      </c>
      <c r="T34" t="s">
        <v>66</v>
      </c>
      <c r="U34" t="s">
        <v>67</v>
      </c>
      <c r="V34" t="s">
        <v>68</v>
      </c>
      <c r="W34" t="s">
        <v>12</v>
      </c>
    </row>
    <row r="35" spans="1:24" x14ac:dyDescent="0.3">
      <c r="J35">
        <v>2016</v>
      </c>
      <c r="K35">
        <v>0.81779999999999997</v>
      </c>
      <c r="L35">
        <v>5.5100000000000003E-2</v>
      </c>
      <c r="M35">
        <v>1.37E-2</v>
      </c>
      <c r="N35" s="31">
        <v>9.5999999999999992E-3</v>
      </c>
      <c r="O35">
        <v>1.84E-2</v>
      </c>
      <c r="P35" s="31">
        <f>SUM(K35:O35)</f>
        <v>0.91460000000000008</v>
      </c>
      <c r="R35">
        <v>2016</v>
      </c>
      <c r="S35">
        <f t="shared" ref="S35:W36" si="20">K35/$P35</f>
        <v>0.89416138202492879</v>
      </c>
      <c r="T35">
        <f t="shared" si="20"/>
        <v>6.0244915810190244E-2</v>
      </c>
      <c r="U35">
        <f t="shared" si="20"/>
        <v>1.4979225891099934E-2</v>
      </c>
      <c r="V35">
        <f t="shared" si="20"/>
        <v>1.0496391865296302E-2</v>
      </c>
      <c r="W35">
        <f t="shared" si="20"/>
        <v>2.0118084408484581E-2</v>
      </c>
    </row>
    <row r="36" spans="1:24" x14ac:dyDescent="0.3">
      <c r="J36">
        <v>2020</v>
      </c>
      <c r="K36">
        <v>0.80089999999999995</v>
      </c>
      <c r="L36">
        <v>5.0900000000000001E-2</v>
      </c>
      <c r="M36">
        <v>0</v>
      </c>
      <c r="N36" s="31">
        <v>1.77E-2</v>
      </c>
      <c r="O36">
        <v>3.8699999999999998E-2</v>
      </c>
      <c r="P36" s="31">
        <f>SUM(K36:O36)</f>
        <v>0.9081999999999999</v>
      </c>
      <c r="R36">
        <v>2020</v>
      </c>
      <c r="S36">
        <f t="shared" si="20"/>
        <v>0.88185421713279022</v>
      </c>
      <c r="T36">
        <f t="shared" si="20"/>
        <v>5.6044924025545041E-2</v>
      </c>
      <c r="U36">
        <f t="shared" si="20"/>
        <v>0</v>
      </c>
      <c r="V36">
        <f t="shared" si="20"/>
        <v>1.9489099317330987E-2</v>
      </c>
      <c r="W36">
        <f t="shared" si="20"/>
        <v>4.2611759524333853E-2</v>
      </c>
    </row>
    <row r="37" spans="1:24" x14ac:dyDescent="0.3">
      <c r="J37">
        <v>2030</v>
      </c>
      <c r="K37">
        <v>0.68979999999999997</v>
      </c>
      <c r="L37">
        <v>4.1099999999999998E-2</v>
      </c>
      <c r="M37">
        <v>2.9000000000000001E-2</v>
      </c>
      <c r="N37" s="31">
        <v>4.5699999999999998E-2</v>
      </c>
      <c r="O37">
        <v>9.4700000000000006E-2</v>
      </c>
      <c r="P37" s="31">
        <f>SUM(K37:O37)</f>
        <v>0.90029999999999999</v>
      </c>
      <c r="R37">
        <v>2030</v>
      </c>
      <c r="S37">
        <f t="shared" ref="S37:V39" si="21">K37/$P37</f>
        <v>0.76618904809507937</v>
      </c>
      <c r="T37">
        <f t="shared" si="21"/>
        <v>4.5651449516827723E-2</v>
      </c>
      <c r="U37">
        <f t="shared" si="21"/>
        <v>3.221148506053538E-2</v>
      </c>
      <c r="V37">
        <f t="shared" si="21"/>
        <v>5.0760857491947128E-2</v>
      </c>
      <c r="W37">
        <f t="shared" ref="W37:W39" si="22">O37/$P37</f>
        <v>0.10518715983561036</v>
      </c>
    </row>
    <row r="38" spans="1:24" ht="14.5" x14ac:dyDescent="0.3">
      <c r="B38" s="40" t="s">
        <v>19</v>
      </c>
      <c r="C38" s="40"/>
      <c r="D38" s="40"/>
      <c r="G38" s="28" t="s">
        <v>22</v>
      </c>
      <c r="J38">
        <v>2040</v>
      </c>
      <c r="K38">
        <v>0.5081</v>
      </c>
      <c r="L38">
        <v>7.7899999999999997E-2</v>
      </c>
      <c r="M38">
        <v>0.13650000000000001</v>
      </c>
      <c r="N38" s="31">
        <v>6.2300000000000001E-2</v>
      </c>
      <c r="O38">
        <v>0.1192</v>
      </c>
      <c r="P38" s="31">
        <f>SUM(K38:O38)</f>
        <v>0.90399999999999991</v>
      </c>
      <c r="R38">
        <v>2040</v>
      </c>
      <c r="S38">
        <f t="shared" si="21"/>
        <v>0.56205752212389382</v>
      </c>
      <c r="T38">
        <f t="shared" si="21"/>
        <v>8.6172566371681414E-2</v>
      </c>
      <c r="U38">
        <f t="shared" si="21"/>
        <v>0.15099557522123896</v>
      </c>
      <c r="V38">
        <f t="shared" si="21"/>
        <v>6.8915929203539825E-2</v>
      </c>
      <c r="W38">
        <f t="shared" si="22"/>
        <v>0.13185840707964602</v>
      </c>
    </row>
    <row r="39" spans="1:24" x14ac:dyDescent="0.3">
      <c r="B39" t="s">
        <v>1</v>
      </c>
      <c r="G39" t="s">
        <v>15</v>
      </c>
      <c r="J39">
        <v>2050</v>
      </c>
      <c r="K39">
        <v>0.316</v>
      </c>
      <c r="L39">
        <v>0.30009999999999998</v>
      </c>
      <c r="M39">
        <v>6.9599999999999995E-2</v>
      </c>
      <c r="N39" s="31">
        <v>6.5500000000000003E-2</v>
      </c>
      <c r="O39">
        <v>0.18090000000000001</v>
      </c>
      <c r="P39" s="31">
        <f>SUM(K39:O39)</f>
        <v>0.93209999999999993</v>
      </c>
      <c r="R39">
        <v>2050</v>
      </c>
      <c r="S39">
        <f t="shared" si="21"/>
        <v>0.33901941851732648</v>
      </c>
      <c r="T39">
        <f t="shared" si="21"/>
        <v>0.32196116296534705</v>
      </c>
      <c r="U39">
        <f t="shared" si="21"/>
        <v>7.4670099774702292E-2</v>
      </c>
      <c r="V39">
        <f t="shared" si="21"/>
        <v>7.0271430104066099E-2</v>
      </c>
      <c r="W39">
        <f t="shared" si="22"/>
        <v>0.19407788863855813</v>
      </c>
    </row>
    <row r="40" spans="1:24" x14ac:dyDescent="0.3">
      <c r="A40">
        <v>2020</v>
      </c>
      <c r="B40">
        <f>G3*Case!$C$11+Case!$B$12</f>
        <v>11121.455633854341</v>
      </c>
      <c r="F40">
        <v>2020</v>
      </c>
      <c r="G40">
        <f>B40/Temperature!B2</f>
        <v>11121.455633854341</v>
      </c>
    </row>
    <row r="41" spans="1:24" x14ac:dyDescent="0.3">
      <c r="A41">
        <v>2021</v>
      </c>
      <c r="B41">
        <f>G4*Case!$C$11+Case!$B$12</f>
        <v>11043.209299370628</v>
      </c>
      <c r="F41">
        <v>2021</v>
      </c>
      <c r="G41">
        <f>B41/Temperature!B3</f>
        <v>11080.143109736417</v>
      </c>
    </row>
    <row r="42" spans="1:24" x14ac:dyDescent="0.3">
      <c r="A42">
        <v>2022</v>
      </c>
      <c r="B42">
        <f>G5*Case!$C$11+Case!$B$12</f>
        <v>10964.962964886914</v>
      </c>
      <c r="F42">
        <v>2022</v>
      </c>
      <c r="G42">
        <f>B42/Temperature!B4</f>
        <v>11038.553320355953</v>
      </c>
    </row>
    <row r="43" spans="1:24" x14ac:dyDescent="0.3">
      <c r="A43">
        <v>2023</v>
      </c>
      <c r="B43">
        <f>G6*Case!$C$11+Case!$B$12</f>
        <v>10886.716630403202</v>
      </c>
      <c r="F43">
        <v>2023</v>
      </c>
      <c r="G43">
        <f>B43/Temperature!B5</f>
        <v>10996.683465053738</v>
      </c>
    </row>
    <row r="44" spans="1:24" x14ac:dyDescent="0.3">
      <c r="A44">
        <v>2024</v>
      </c>
      <c r="B44">
        <f>G7*Case!$C$11+Case!$B$12</f>
        <v>10808.470295919487</v>
      </c>
      <c r="F44">
        <v>2024</v>
      </c>
      <c r="G44">
        <f>B44/Temperature!B6</f>
        <v>10954.530705323803</v>
      </c>
      <c r="T44" t="s">
        <v>51</v>
      </c>
      <c r="U44" t="s">
        <v>6</v>
      </c>
      <c r="V44" t="s">
        <v>7</v>
      </c>
      <c r="W44" t="s">
        <v>10</v>
      </c>
      <c r="X44" t="s">
        <v>50</v>
      </c>
    </row>
    <row r="45" spans="1:24" x14ac:dyDescent="0.3">
      <c r="A45">
        <v>2025</v>
      </c>
      <c r="B45">
        <f>G8*Case!$C$11+Case!$B$12</f>
        <v>10730.223961435775</v>
      </c>
      <c r="F45">
        <v>2025</v>
      </c>
      <c r="G45">
        <f>B45/Temperature!B7</f>
        <v>10912.092164171972</v>
      </c>
      <c r="S45">
        <v>2020</v>
      </c>
      <c r="T45" s="1">
        <f>T36</f>
        <v>5.6044924025545041E-2</v>
      </c>
      <c r="U45" s="1">
        <f>V36</f>
        <v>1.9489099317330987E-2</v>
      </c>
      <c r="V45" s="1">
        <f>W36</f>
        <v>4.2611759524333853E-2</v>
      </c>
      <c r="W45" s="1">
        <f>S36</f>
        <v>0.88185421713279022</v>
      </c>
      <c r="X45" s="1">
        <f>U36</f>
        <v>0</v>
      </c>
    </row>
    <row r="46" spans="1:24" x14ac:dyDescent="0.3">
      <c r="A46">
        <v>2026</v>
      </c>
      <c r="B46">
        <f>G9*Case!$C$11+Case!$B$12</f>
        <v>10651.977626952063</v>
      </c>
      <c r="F46">
        <v>2026</v>
      </c>
      <c r="G46">
        <f>B46/Temperature!B8</f>
        <v>10869.364925461286</v>
      </c>
      <c r="S46">
        <v>2030</v>
      </c>
      <c r="T46" s="1">
        <f t="shared" ref="T46:T48" si="23">T37</f>
        <v>4.5651449516827723E-2</v>
      </c>
      <c r="U46" s="1">
        <f t="shared" ref="U46:U48" si="24">V37</f>
        <v>5.0760857491947128E-2</v>
      </c>
      <c r="V46" s="1">
        <f t="shared" ref="V46:V48" si="25">W37</f>
        <v>0.10518715983561036</v>
      </c>
      <c r="W46" s="1">
        <f t="shared" ref="W46:W48" si="26">S37</f>
        <v>0.76618904809507937</v>
      </c>
      <c r="X46" s="1">
        <f t="shared" ref="X46:X48" si="27">U37</f>
        <v>3.221148506053538E-2</v>
      </c>
    </row>
    <row r="47" spans="1:24" x14ac:dyDescent="0.3">
      <c r="A47">
        <v>2027</v>
      </c>
      <c r="B47">
        <f>G10*Case!$C$11+Case!$B$12</f>
        <v>10573.73129246835</v>
      </c>
      <c r="F47">
        <v>2027</v>
      </c>
      <c r="G47">
        <f>B47/Temperature!B9</f>
        <v>10826.346033244043</v>
      </c>
      <c r="S47">
        <v>2040</v>
      </c>
      <c r="T47" s="1">
        <f t="shared" si="23"/>
        <v>8.6172566371681414E-2</v>
      </c>
      <c r="U47" s="1">
        <f t="shared" si="24"/>
        <v>6.8915929203539825E-2</v>
      </c>
      <c r="V47" s="1">
        <f t="shared" si="25"/>
        <v>0.13185840707964602</v>
      </c>
      <c r="W47" s="1">
        <f t="shared" si="26"/>
        <v>0.56205752212389382</v>
      </c>
      <c r="X47" s="1">
        <f t="shared" si="27"/>
        <v>0.15099557522123896</v>
      </c>
    </row>
    <row r="48" spans="1:24" x14ac:dyDescent="0.3">
      <c r="A48">
        <v>2028</v>
      </c>
      <c r="B48">
        <f>G11*Case!$C$11+Case!$B$12</f>
        <v>10495.484957984636</v>
      </c>
      <c r="F48">
        <v>2028</v>
      </c>
      <c r="G48">
        <f>B48/Temperature!B10</f>
        <v>10783.032491080103</v>
      </c>
      <c r="S48">
        <v>2050</v>
      </c>
      <c r="T48" s="1">
        <f t="shared" si="23"/>
        <v>0.32196116296534705</v>
      </c>
      <c r="U48" s="1">
        <f t="shared" si="24"/>
        <v>7.0271430104066099E-2</v>
      </c>
      <c r="V48" s="1">
        <f t="shared" si="25"/>
        <v>0.19407788863855813</v>
      </c>
      <c r="W48" s="1">
        <f t="shared" si="26"/>
        <v>0.33901941851732648</v>
      </c>
      <c r="X48" s="1">
        <f t="shared" si="27"/>
        <v>7.4670099774702292E-2</v>
      </c>
    </row>
    <row r="49" spans="1:7" x14ac:dyDescent="0.3">
      <c r="A49">
        <v>2029</v>
      </c>
      <c r="B49">
        <f>G12*Case!$C$11+Case!$B$12</f>
        <v>10417.238623500922</v>
      </c>
      <c r="F49">
        <v>2029</v>
      </c>
      <c r="G49">
        <f>B49/Temperature!B11</f>
        <v>10739.421261341153</v>
      </c>
    </row>
    <row r="50" spans="1:7" x14ac:dyDescent="0.3">
      <c r="A50">
        <v>2030</v>
      </c>
      <c r="B50">
        <f>G13*Case!$C$11+Case!$B$12</f>
        <v>10338.992289017209</v>
      </c>
      <c r="F50">
        <v>2030</v>
      </c>
      <c r="G50">
        <f>B50/Temperature!B12</f>
        <v>10695.509264500557</v>
      </c>
    </row>
    <row r="51" spans="1:7" x14ac:dyDescent="0.3">
      <c r="A51">
        <v>2031</v>
      </c>
      <c r="B51">
        <f>G14*Case!$C$11+Case!$B$12</f>
        <v>10213.286521061207</v>
      </c>
      <c r="F51">
        <v>2031</v>
      </c>
      <c r="G51">
        <f>B51/Temperature!B13</f>
        <v>10602.02753051336</v>
      </c>
    </row>
    <row r="52" spans="1:7" x14ac:dyDescent="0.3">
      <c r="A52">
        <v>2032</v>
      </c>
      <c r="B52">
        <f>G15*Case!$C$11+Case!$B$12</f>
        <v>10087.580753105203</v>
      </c>
      <c r="F52">
        <v>2032</v>
      </c>
      <c r="G52">
        <f>B52/Temperature!B14</f>
        <v>10507.896617817916</v>
      </c>
    </row>
    <row r="53" spans="1:7" x14ac:dyDescent="0.3">
      <c r="A53">
        <v>2033</v>
      </c>
      <c r="B53">
        <f>G16*Case!$C$11+Case!$B$12</f>
        <v>9961.8749851491993</v>
      </c>
      <c r="F53">
        <v>2033</v>
      </c>
      <c r="G53">
        <f>B53/Temperature!B15</f>
        <v>10413.109740574071</v>
      </c>
    </row>
    <row r="54" spans="1:7" x14ac:dyDescent="0.3">
      <c r="A54">
        <v>2034</v>
      </c>
      <c r="B54">
        <f>G17*Case!$C$11+Case!$B$12</f>
        <v>9836.1692171931954</v>
      </c>
      <c r="F54">
        <v>2034</v>
      </c>
      <c r="G54">
        <f>B54/Temperature!B16</f>
        <v>10317.660018034816</v>
      </c>
    </row>
    <row r="55" spans="1:7" x14ac:dyDescent="0.3">
      <c r="A55">
        <v>2035</v>
      </c>
      <c r="B55">
        <f>G18*Case!$C$11+Case!$B$12</f>
        <v>9710.4634492371915</v>
      </c>
      <c r="F55">
        <v>2035</v>
      </c>
      <c r="G55">
        <f>B55/Temperature!B17</f>
        <v>10221.540472881248</v>
      </c>
    </row>
    <row r="56" spans="1:7" x14ac:dyDescent="0.3">
      <c r="A56">
        <v>2036</v>
      </c>
      <c r="B56">
        <f>G19*Case!$C$11+Case!$B$12</f>
        <v>9584.7576812811894</v>
      </c>
      <c r="F56">
        <v>2036</v>
      </c>
      <c r="G56">
        <f>B56/Temperature!B18</f>
        <v>10124.744029522377</v>
      </c>
    </row>
    <row r="57" spans="1:7" x14ac:dyDescent="0.3">
      <c r="A57">
        <v>2037</v>
      </c>
      <c r="B57">
        <f>G20*Case!$C$11+Case!$B$12</f>
        <v>9459.0519133251837</v>
      </c>
      <c r="F57">
        <v>2037</v>
      </c>
      <c r="G57">
        <f>B57/Temperature!B19</f>
        <v>10027.263512358846</v>
      </c>
    </row>
    <row r="58" spans="1:7" x14ac:dyDescent="0.3">
      <c r="A58">
        <v>2038</v>
      </c>
      <c r="B58">
        <f>G21*Case!$C$11+Case!$B$12</f>
        <v>9333.3461453691816</v>
      </c>
      <c r="F58">
        <v>2038</v>
      </c>
      <c r="G58">
        <f>B58/Temperature!B20</f>
        <v>9929.0916440097608</v>
      </c>
    </row>
    <row r="59" spans="1:7" x14ac:dyDescent="0.3">
      <c r="A59">
        <v>2039</v>
      </c>
      <c r="B59">
        <f>G22*Case!$C$11+Case!$B$12</f>
        <v>9207.6403774131795</v>
      </c>
      <c r="F59">
        <v>2039</v>
      </c>
      <c r="G59">
        <f>B59/Temperature!B21</f>
        <v>9830.2210435016077</v>
      </c>
    </row>
    <row r="60" spans="1:7" x14ac:dyDescent="0.3">
      <c r="A60">
        <v>2040</v>
      </c>
      <c r="B60">
        <f>G23*Case!$C$11+Case!$B$12</f>
        <v>9081.9346094571702</v>
      </c>
      <c r="F60">
        <v>2040</v>
      </c>
      <c r="G60">
        <f>B60/Temperature!B22</f>
        <v>9730.6442244183891</v>
      </c>
    </row>
    <row r="61" spans="1:7" x14ac:dyDescent="0.3">
      <c r="A61">
        <v>2041</v>
      </c>
      <c r="B61">
        <f>G24*Case!$C$11+Case!$B$12</f>
        <v>8890.9159733249726</v>
      </c>
      <c r="F61">
        <v>2041</v>
      </c>
      <c r="G61">
        <f>B61/Temperature!B23</f>
        <v>9560.124702499963</v>
      </c>
    </row>
    <row r="62" spans="1:7" x14ac:dyDescent="0.3">
      <c r="A62">
        <v>2042</v>
      </c>
      <c r="B62">
        <f>G25*Case!$C$11+Case!$B$12</f>
        <v>8699.897337192775</v>
      </c>
      <c r="F62">
        <v>2042</v>
      </c>
      <c r="G62">
        <f>B62/Temperature!B24</f>
        <v>9388.3784214310454</v>
      </c>
    </row>
    <row r="63" spans="1:7" x14ac:dyDescent="0.3">
      <c r="A63">
        <v>2043</v>
      </c>
      <c r="B63">
        <f>G26*Case!$C$11+Case!$B$12</f>
        <v>8508.8787010605774</v>
      </c>
      <c r="F63">
        <v>2043</v>
      </c>
      <c r="G63">
        <f>B63/Temperature!B25</f>
        <v>9215.392095011448</v>
      </c>
    </row>
    <row r="64" spans="1:7" x14ac:dyDescent="0.3">
      <c r="A64">
        <v>2044</v>
      </c>
      <c r="B64">
        <f>G27*Case!$C$11+Case!$B$12</f>
        <v>8317.8600649283799</v>
      </c>
      <c r="F64">
        <v>2044</v>
      </c>
      <c r="G64">
        <f>B64/Temperature!B26</f>
        <v>9041.1522444873608</v>
      </c>
    </row>
    <row r="65" spans="1:7" x14ac:dyDescent="0.3">
      <c r="A65">
        <v>2045</v>
      </c>
      <c r="B65">
        <f>G28*Case!$C$11+Case!$B$12</f>
        <v>8126.8414287961814</v>
      </c>
      <c r="F65">
        <v>2045</v>
      </c>
      <c r="G65">
        <f>B65/Temperature!B27</f>
        <v>8865.6451950503706</v>
      </c>
    </row>
    <row r="66" spans="1:7" x14ac:dyDescent="0.3">
      <c r="A66">
        <v>2046</v>
      </c>
      <c r="B66">
        <f>G29*Case!$C$11+Case!$B$12</f>
        <v>7935.8227926639838</v>
      </c>
      <c r="F66">
        <v>2046</v>
      </c>
      <c r="G66">
        <f>B66/Temperature!B28</f>
        <v>8688.8570722598288</v>
      </c>
    </row>
    <row r="67" spans="1:7" x14ac:dyDescent="0.3">
      <c r="A67">
        <v>2047</v>
      </c>
      <c r="B67">
        <f>G30*Case!$C$11+Case!$B$12</f>
        <v>7744.8041565317862</v>
      </c>
      <c r="F67">
        <v>2047</v>
      </c>
      <c r="G67">
        <f>B67/Temperature!B29</f>
        <v>8510.77379838657</v>
      </c>
    </row>
    <row r="68" spans="1:7" x14ac:dyDescent="0.3">
      <c r="A68">
        <v>2048</v>
      </c>
      <c r="B68">
        <f>G31*Case!$C$11+Case!$B$12</f>
        <v>7553.7855203995878</v>
      </c>
      <c r="F68">
        <v>2048</v>
      </c>
      <c r="G68">
        <f>B68/Temperature!B30</f>
        <v>8331.3810886760075</v>
      </c>
    </row>
    <row r="69" spans="1:7" x14ac:dyDescent="0.3">
      <c r="A69">
        <v>2049</v>
      </c>
      <c r="B69">
        <f>G32*Case!$C$11+Case!$B$12</f>
        <v>7362.7668842673902</v>
      </c>
      <c r="F69">
        <v>2049</v>
      </c>
      <c r="G69">
        <f>B69/Temperature!B31</f>
        <v>8150.6644475284675</v>
      </c>
    </row>
    <row r="70" spans="1:7" x14ac:dyDescent="0.3">
      <c r="A70">
        <v>2050</v>
      </c>
      <c r="B70">
        <f>G33*Case!$C$11+Case!$B$12</f>
        <v>7171.7482481351944</v>
      </c>
      <c r="F70">
        <v>2050</v>
      </c>
      <c r="G70">
        <f>B70/Temperature!B32</f>
        <v>7968.6091645946599</v>
      </c>
    </row>
  </sheetData>
  <mergeCells count="1">
    <mergeCell ref="B38:D38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899CE-2EB8-4EBB-95CB-2B6E6A4CF208}">
  <dimension ref="A1:M33"/>
  <sheetViews>
    <sheetView workbookViewId="0">
      <selection activeCell="F3" sqref="F3"/>
    </sheetView>
  </sheetViews>
  <sheetFormatPr defaultColWidth="8.83203125" defaultRowHeight="14" x14ac:dyDescent="0.3"/>
  <sheetData>
    <row r="1" spans="1:13" x14ac:dyDescent="0.3">
      <c r="K1" s="1" t="s">
        <v>22</v>
      </c>
    </row>
    <row r="2" spans="1:13" x14ac:dyDescent="0.3">
      <c r="F2" s="14" t="s">
        <v>1</v>
      </c>
      <c r="G2" s="14"/>
      <c r="H2" s="14"/>
      <c r="I2" s="14"/>
      <c r="K2" s="14" t="s">
        <v>1</v>
      </c>
      <c r="L2" s="14"/>
      <c r="M2" s="14"/>
    </row>
    <row r="3" spans="1:13" x14ac:dyDescent="0.3">
      <c r="A3">
        <v>2020</v>
      </c>
      <c r="B3">
        <v>1</v>
      </c>
      <c r="C3">
        <f>(B13-B3)/(A13-A3)</f>
        <v>1.9999999999999997E-2</v>
      </c>
      <c r="E3">
        <v>2020</v>
      </c>
      <c r="F3">
        <f>Case!$B$8/Speed!B3</f>
        <v>11121.455633854341</v>
      </c>
      <c r="J3">
        <v>2020</v>
      </c>
      <c r="K3">
        <f>Speed!F3/Temperature!B2</f>
        <v>11121.455633854341</v>
      </c>
    </row>
    <row r="4" spans="1:13" x14ac:dyDescent="0.3">
      <c r="A4">
        <v>2021</v>
      </c>
      <c r="B4">
        <f>B3+$C$3</f>
        <v>1.02</v>
      </c>
      <c r="E4">
        <v>2021</v>
      </c>
      <c r="F4">
        <f>Case!$B$8/Speed!B4</f>
        <v>10903.387876327784</v>
      </c>
      <c r="J4">
        <v>2021</v>
      </c>
      <c r="K4">
        <f>Speed!F4/Temperature!B3</f>
        <v>10939.854056516171</v>
      </c>
    </row>
    <row r="5" spans="1:13" x14ac:dyDescent="0.3">
      <c r="A5">
        <v>2022</v>
      </c>
      <c r="B5">
        <f t="shared" ref="B5:B12" si="0">B4+$C$3</f>
        <v>1.04</v>
      </c>
      <c r="E5">
        <v>2022</v>
      </c>
      <c r="F5">
        <f>Case!$B$8/Speed!B5</f>
        <v>10693.707340244559</v>
      </c>
      <c r="J5">
        <v>2022</v>
      </c>
      <c r="K5">
        <f>Speed!F5/Temperature!B4</f>
        <v>10765.477188165662</v>
      </c>
    </row>
    <row r="6" spans="1:13" x14ac:dyDescent="0.3">
      <c r="A6">
        <v>2023</v>
      </c>
      <c r="B6">
        <f t="shared" si="0"/>
        <v>1.06</v>
      </c>
      <c r="E6">
        <v>2023</v>
      </c>
      <c r="F6">
        <f>Case!$B$8/Speed!B6</f>
        <v>10491.939277221076</v>
      </c>
      <c r="J6">
        <v>2023</v>
      </c>
      <c r="K6">
        <f>Speed!F6/Temperature!B5</f>
        <v>10597.91846183947</v>
      </c>
    </row>
    <row r="7" spans="1:13" x14ac:dyDescent="0.3">
      <c r="A7">
        <v>2024</v>
      </c>
      <c r="B7">
        <f t="shared" si="0"/>
        <v>1.08</v>
      </c>
      <c r="E7">
        <v>2024</v>
      </c>
      <c r="F7">
        <f>Case!$B$8/Speed!B7</f>
        <v>10297.644105420684</v>
      </c>
      <c r="J7">
        <v>2024</v>
      </c>
      <c r="K7">
        <f>Speed!F7/Temperature!B6</f>
        <v>10436.801458196638</v>
      </c>
    </row>
    <row r="8" spans="1:13" x14ac:dyDescent="0.3">
      <c r="A8">
        <v>2025</v>
      </c>
      <c r="B8">
        <f t="shared" si="0"/>
        <v>1.1000000000000001</v>
      </c>
      <c r="E8">
        <v>2025</v>
      </c>
      <c r="F8">
        <f>Case!$B$8/Speed!B8</f>
        <v>10110.414212594855</v>
      </c>
      <c r="J8">
        <v>2025</v>
      </c>
      <c r="K8">
        <f>Speed!F8/Temperature!B7</f>
        <v>10281.777165350697</v>
      </c>
    </row>
    <row r="9" spans="1:13" x14ac:dyDescent="0.3">
      <c r="A9">
        <v>2026</v>
      </c>
      <c r="B9">
        <f t="shared" si="0"/>
        <v>1.1200000000000001</v>
      </c>
      <c r="E9">
        <v>2026</v>
      </c>
      <c r="F9">
        <f>Case!$B$8/Speed!B9</f>
        <v>9929.8711016556608</v>
      </c>
      <c r="J9">
        <v>2026</v>
      </c>
      <c r="K9">
        <f>Speed!F9/Temperature!B8</f>
        <v>10132.521532301693</v>
      </c>
    </row>
    <row r="10" spans="1:13" x14ac:dyDescent="0.3">
      <c r="A10">
        <v>2027</v>
      </c>
      <c r="B10">
        <f t="shared" si="0"/>
        <v>1.1400000000000001</v>
      </c>
      <c r="E10">
        <v>2027</v>
      </c>
      <c r="F10">
        <f>Case!$B$8/Speed!B10</f>
        <v>9755.662836714333</v>
      </c>
      <c r="J10">
        <v>2027</v>
      </c>
      <c r="K10">
        <f>Speed!F10/Temperature!B9</f>
        <v>9988.7332799122833</v>
      </c>
    </row>
    <row r="11" spans="1:13" x14ac:dyDescent="0.3">
      <c r="A11">
        <v>2028</v>
      </c>
      <c r="B11">
        <f t="shared" si="0"/>
        <v>1.1600000000000001</v>
      </c>
      <c r="E11">
        <v>2028</v>
      </c>
      <c r="F11">
        <f>Case!$B$8/Speed!B11</f>
        <v>9587.4617533227065</v>
      </c>
      <c r="J11">
        <v>2028</v>
      </c>
      <c r="K11">
        <f>Speed!F11/Temperature!B10</f>
        <v>9850.1319383452428</v>
      </c>
    </row>
    <row r="12" spans="1:13" x14ac:dyDescent="0.3">
      <c r="A12">
        <v>2029</v>
      </c>
      <c r="B12">
        <f t="shared" si="0"/>
        <v>1.1800000000000002</v>
      </c>
      <c r="E12">
        <v>2029</v>
      </c>
      <c r="F12">
        <f>Case!$B$8/Speed!B12</f>
        <v>9424.9624015714744</v>
      </c>
      <c r="J12">
        <v>2029</v>
      </c>
      <c r="K12">
        <f>Speed!F12/Temperature!B11</f>
        <v>9716.4560840943013</v>
      </c>
    </row>
    <row r="13" spans="1:13" x14ac:dyDescent="0.3">
      <c r="A13">
        <v>2030</v>
      </c>
      <c r="B13">
        <v>1.2</v>
      </c>
      <c r="E13">
        <v>2030</v>
      </c>
      <c r="F13">
        <f>Case!$B$8/Speed!B13</f>
        <v>9267.8796948786185</v>
      </c>
      <c r="J13">
        <v>2030</v>
      </c>
      <c r="K13">
        <f>Speed!F13/Temperature!B12</f>
        <v>9587.4617533227047</v>
      </c>
    </row>
    <row r="14" spans="1:13" x14ac:dyDescent="0.3">
      <c r="A14">
        <v>2031</v>
      </c>
      <c r="B14">
        <f>B13+$C$3</f>
        <v>1.22</v>
      </c>
      <c r="E14">
        <v>2031</v>
      </c>
      <c r="F14">
        <f>Case!$B$8/Speed!B14</f>
        <v>9115.9472408642141</v>
      </c>
      <c r="J14">
        <v>2031</v>
      </c>
      <c r="K14">
        <f>Speed!F14/Temperature!B13</f>
        <v>9462.9210112777273</v>
      </c>
    </row>
    <row r="15" spans="1:13" x14ac:dyDescent="0.3">
      <c r="A15">
        <v>2032</v>
      </c>
      <c r="B15">
        <f t="shared" ref="B15:B33" si="1">B14+$C$3</f>
        <v>1.24</v>
      </c>
      <c r="E15">
        <v>2032</v>
      </c>
      <c r="F15">
        <f>Case!$B$8/Speed!B15</f>
        <v>8968.9158337535009</v>
      </c>
      <c r="J15">
        <v>2032</v>
      </c>
      <c r="K15">
        <f>Speed!F15/Temperature!B14</f>
        <v>9342.6206601598933</v>
      </c>
    </row>
    <row r="16" spans="1:13" x14ac:dyDescent="0.3">
      <c r="A16">
        <v>2033</v>
      </c>
      <c r="B16">
        <f t="shared" si="1"/>
        <v>1.26</v>
      </c>
      <c r="E16">
        <v>2033</v>
      </c>
      <c r="F16">
        <f>Case!$B$8/Speed!B16</f>
        <v>8826.5520903605884</v>
      </c>
      <c r="J16">
        <v>2033</v>
      </c>
      <c r="K16">
        <f>Speed!F16/Temperature!B15</f>
        <v>9226.361070063329</v>
      </c>
    </row>
    <row r="17" spans="1:11" x14ac:dyDescent="0.3">
      <c r="A17">
        <v>2034</v>
      </c>
      <c r="B17">
        <f t="shared" si="1"/>
        <v>1.28</v>
      </c>
      <c r="E17">
        <v>2034</v>
      </c>
      <c r="F17">
        <f>Case!$B$8/Speed!B17</f>
        <v>8688.637213948703</v>
      </c>
      <c r="J17">
        <v>2034</v>
      </c>
      <c r="K17">
        <f>Speed!F17/Temperature!B16</f>
        <v>9113.9551195266067</v>
      </c>
    </row>
    <row r="18" spans="1:11" x14ac:dyDescent="0.3">
      <c r="A18">
        <v>2035</v>
      </c>
      <c r="B18">
        <f t="shared" si="1"/>
        <v>1.3</v>
      </c>
      <c r="E18">
        <v>2035</v>
      </c>
      <c r="F18">
        <f>Case!$B$8/Speed!B18</f>
        <v>8554.9658721956457</v>
      </c>
      <c r="J18">
        <v>2035</v>
      </c>
      <c r="K18">
        <f>Speed!F18/Temperature!B17</f>
        <v>9005.2272338901494</v>
      </c>
    </row>
    <row r="19" spans="1:11" x14ac:dyDescent="0.3">
      <c r="A19">
        <v>2036</v>
      </c>
      <c r="B19">
        <f t="shared" si="1"/>
        <v>1.32</v>
      </c>
      <c r="E19">
        <v>2036</v>
      </c>
      <c r="F19">
        <f>Case!$B$8/Speed!B19</f>
        <v>8425.3451771623786</v>
      </c>
      <c r="J19">
        <v>2036</v>
      </c>
      <c r="K19">
        <f>Speed!F19/Temperature!B18</f>
        <v>8900.012511087014</v>
      </c>
    </row>
    <row r="20" spans="1:11" x14ac:dyDescent="0.3">
      <c r="A20">
        <v>2037</v>
      </c>
      <c r="B20">
        <f t="shared" si="1"/>
        <v>1.34</v>
      </c>
      <c r="E20">
        <v>2037</v>
      </c>
      <c r="F20">
        <f>Case!$B$8/Speed!B20</f>
        <v>8299.5937566077173</v>
      </c>
      <c r="J20">
        <v>2037</v>
      </c>
      <c r="K20">
        <f>Speed!F20/Temperature!B19</f>
        <v>8798.1559257325571</v>
      </c>
    </row>
    <row r="21" spans="1:11" x14ac:dyDescent="0.3">
      <c r="A21">
        <v>2038</v>
      </c>
      <c r="B21">
        <f t="shared" si="1"/>
        <v>1.36</v>
      </c>
      <c r="E21">
        <v>2038</v>
      </c>
      <c r="F21">
        <f>Case!$B$8/Speed!B21</f>
        <v>8177.5409072458378</v>
      </c>
      <c r="J21">
        <v>2038</v>
      </c>
      <c r="K21">
        <f>Speed!F21/Temperature!B20</f>
        <v>8699.5116034530129</v>
      </c>
    </row>
    <row r="22" spans="1:11" x14ac:dyDescent="0.3">
      <c r="A22">
        <v>2039</v>
      </c>
      <c r="B22">
        <f t="shared" si="1"/>
        <v>1.3800000000000001</v>
      </c>
      <c r="E22">
        <v>2039</v>
      </c>
      <c r="F22">
        <f>Case!$B$8/Speed!B22</f>
        <v>8059.0258216335797</v>
      </c>
      <c r="J22">
        <v>2039</v>
      </c>
      <c r="K22">
        <f>Speed!F22/Temperature!B21</f>
        <v>8603.9421583276599</v>
      </c>
    </row>
    <row r="23" spans="1:11" x14ac:dyDescent="0.3">
      <c r="A23">
        <v>2040</v>
      </c>
      <c r="B23">
        <f t="shared" si="1"/>
        <v>1.4000000000000001</v>
      </c>
      <c r="E23">
        <v>2040</v>
      </c>
      <c r="F23">
        <f>Case!$B$8/Speed!B23</f>
        <v>7943.8968813245283</v>
      </c>
      <c r="J23">
        <v>2040</v>
      </c>
      <c r="K23">
        <f>Speed!F23/Temperature!B22</f>
        <v>8511.3180871334171</v>
      </c>
    </row>
    <row r="24" spans="1:11" x14ac:dyDescent="0.3">
      <c r="A24">
        <v>2041</v>
      </c>
      <c r="B24">
        <f t="shared" si="1"/>
        <v>1.4200000000000002</v>
      </c>
      <c r="E24">
        <v>2041</v>
      </c>
      <c r="F24">
        <f>Case!$B$8/Speed!B24</f>
        <v>7832.0110097565776</v>
      </c>
      <c r="J24">
        <v>2041</v>
      </c>
      <c r="K24">
        <f>Speed!F24/Temperature!B23</f>
        <v>8421.517214792013</v>
      </c>
    </row>
    <row r="25" spans="1:11" x14ac:dyDescent="0.3">
      <c r="A25">
        <v>2042</v>
      </c>
      <c r="B25">
        <f t="shared" si="1"/>
        <v>1.4400000000000002</v>
      </c>
      <c r="E25">
        <v>2042</v>
      </c>
      <c r="F25">
        <f>Case!$B$8/Speed!B25</f>
        <v>7723.2330790655133</v>
      </c>
      <c r="J25">
        <v>2042</v>
      </c>
      <c r="K25">
        <f>Speed!F25/Temperature!B24</f>
        <v>8334.4241860419133</v>
      </c>
    </row>
    <row r="26" spans="1:11" x14ac:dyDescent="0.3">
      <c r="A26">
        <v>2043</v>
      </c>
      <c r="B26">
        <f t="shared" si="1"/>
        <v>1.4600000000000002</v>
      </c>
      <c r="E26">
        <v>2043</v>
      </c>
      <c r="F26">
        <f>Case!$B$8/Speed!B26</f>
        <v>7617.4353656536568</v>
      </c>
      <c r="J26">
        <v>2043</v>
      </c>
      <c r="K26">
        <f>Speed!F26/Temperature!B25</f>
        <v>8249.9299989028696</v>
      </c>
    </row>
    <row r="27" spans="1:11" x14ac:dyDescent="0.3">
      <c r="A27">
        <v>2044</v>
      </c>
      <c r="B27">
        <f t="shared" si="1"/>
        <v>1.4800000000000002</v>
      </c>
      <c r="E27">
        <v>2044</v>
      </c>
      <c r="F27">
        <f>Case!$B$8/Speed!B27</f>
        <v>7514.4970499015808</v>
      </c>
      <c r="J27">
        <v>2044</v>
      </c>
      <c r="K27">
        <f>Speed!F27/Temperature!B26</f>
        <v>8167.931575979972</v>
      </c>
    </row>
    <row r="28" spans="1:11" x14ac:dyDescent="0.3">
      <c r="A28">
        <v>2045</v>
      </c>
      <c r="B28">
        <f t="shared" si="1"/>
        <v>1.5000000000000002</v>
      </c>
      <c r="E28">
        <v>2045</v>
      </c>
      <c r="F28">
        <f>Case!$B$8/Speed!B28</f>
        <v>7414.3037559028926</v>
      </c>
      <c r="J28">
        <v>2045</v>
      </c>
      <c r="K28">
        <f>Speed!F28/Temperature!B27</f>
        <v>8088.3313700758754</v>
      </c>
    </row>
    <row r="29" spans="1:11" x14ac:dyDescent="0.3">
      <c r="A29">
        <v>2046</v>
      </c>
      <c r="B29">
        <f t="shared" si="1"/>
        <v>1.5200000000000002</v>
      </c>
      <c r="E29">
        <v>2046</v>
      </c>
      <c r="F29">
        <f>Case!$B$8/Speed!B29</f>
        <v>7316.7471275357493</v>
      </c>
      <c r="J29">
        <v>2046</v>
      </c>
      <c r="K29">
        <f>Speed!F29/Temperature!B28</f>
        <v>8011.0370009515427</v>
      </c>
    </row>
    <row r="30" spans="1:11" x14ac:dyDescent="0.3">
      <c r="A30">
        <v>2047</v>
      </c>
      <c r="B30">
        <f t="shared" si="1"/>
        <v>1.5400000000000003</v>
      </c>
      <c r="E30">
        <v>2047</v>
      </c>
      <c r="F30">
        <f>Case!$B$8/Speed!B30</f>
        <v>7221.7244375677528</v>
      </c>
      <c r="J30">
        <v>2047</v>
      </c>
      <c r="K30">
        <f>Speed!F30/Temperature!B29</f>
        <v>7935.9609204041162</v>
      </c>
    </row>
    <row r="31" spans="1:11" x14ac:dyDescent="0.3">
      <c r="A31">
        <v>2048</v>
      </c>
      <c r="B31">
        <f t="shared" si="1"/>
        <v>1.5600000000000003</v>
      </c>
      <c r="E31">
        <v>2048</v>
      </c>
      <c r="F31">
        <f>Case!$B$8/Speed!B31</f>
        <v>7129.1382268297048</v>
      </c>
      <c r="J31">
        <v>2048</v>
      </c>
      <c r="K31">
        <f>Speed!F31/Temperature!B30</f>
        <v>7863.0201031209899</v>
      </c>
    </row>
    <row r="32" spans="1:11" x14ac:dyDescent="0.3">
      <c r="A32">
        <v>2049</v>
      </c>
      <c r="B32">
        <f t="shared" si="1"/>
        <v>1.5800000000000003</v>
      </c>
      <c r="E32">
        <v>2049</v>
      </c>
      <c r="F32">
        <f>Case!$B$8/Speed!B32</f>
        <v>7038.8959707938848</v>
      </c>
      <c r="J32">
        <v>2049</v>
      </c>
      <c r="K32">
        <f>Speed!F32/Temperature!B31</f>
        <v>7792.1357610264322</v>
      </c>
    </row>
    <row r="33" spans="1:11" x14ac:dyDescent="0.3">
      <c r="A33">
        <v>2050</v>
      </c>
      <c r="B33">
        <f t="shared" si="1"/>
        <v>1.6000000000000003</v>
      </c>
      <c r="E33">
        <v>2050</v>
      </c>
      <c r="F33">
        <f>Case!$B$8/Speed!B33</f>
        <v>6950.909771158962</v>
      </c>
      <c r="J33">
        <v>2050</v>
      </c>
      <c r="K33">
        <f>Speed!F33/Temperature!B32</f>
        <v>7723.2330790655133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EAA8E-57A7-4AB9-98E2-EFBF3BC979E4}">
  <dimension ref="A2:I34"/>
  <sheetViews>
    <sheetView workbookViewId="0">
      <selection activeCell="E4" sqref="E4"/>
    </sheetView>
  </sheetViews>
  <sheetFormatPr defaultColWidth="8.83203125" defaultRowHeight="14" x14ac:dyDescent="0.3"/>
  <cols>
    <col min="2" max="2" width="12.33203125" bestFit="1" customWidth="1"/>
  </cols>
  <sheetData>
    <row r="2" spans="1:9" x14ac:dyDescent="0.3">
      <c r="I2" s="1" t="s">
        <v>23</v>
      </c>
    </row>
    <row r="3" spans="1:9" x14ac:dyDescent="0.3">
      <c r="B3" t="s">
        <v>32</v>
      </c>
      <c r="E3" t="s">
        <v>1</v>
      </c>
      <c r="I3" t="s">
        <v>1</v>
      </c>
    </row>
    <row r="4" spans="1:9" x14ac:dyDescent="0.3">
      <c r="A4">
        <v>2020</v>
      </c>
      <c r="B4">
        <v>1</v>
      </c>
      <c r="C4">
        <f>(B34-B4)/(A34-A4)</f>
        <v>1.6666666666666666E-2</v>
      </c>
      <c r="E4">
        <f>Case!$B$13/Infrastructure!B4+Case!$B$14</f>
        <v>11121.455633854341</v>
      </c>
      <c r="I4">
        <f>E4/Temperature!B2</f>
        <v>11121.455633854341</v>
      </c>
    </row>
    <row r="5" spans="1:9" x14ac:dyDescent="0.3">
      <c r="A5">
        <v>2021</v>
      </c>
      <c r="B5">
        <f t="shared" ref="B5:B33" si="0">B4+$C$4</f>
        <v>1.0166666666666666</v>
      </c>
      <c r="E5">
        <f>Case!$B$13/Infrastructure!B5+Case!$B$14</f>
        <v>11101.537310072596</v>
      </c>
      <c r="I5">
        <f>E5/Temperature!B3</f>
        <v>11138.666197397253</v>
      </c>
    </row>
    <row r="6" spans="1:9" x14ac:dyDescent="0.3">
      <c r="A6">
        <v>2022</v>
      </c>
      <c r="B6">
        <f t="shared" si="0"/>
        <v>1.0333333333333332</v>
      </c>
      <c r="E6">
        <f>Case!$B$13/Infrastructure!B6+Case!$B$14</f>
        <v>11082.261512864456</v>
      </c>
      <c r="I6">
        <f>E6/Temperature!B4</f>
        <v>11156.639106910525</v>
      </c>
    </row>
    <row r="7" spans="1:9" x14ac:dyDescent="0.3">
      <c r="A7">
        <v>2023</v>
      </c>
      <c r="B7">
        <f t="shared" si="0"/>
        <v>1.0499999999999998</v>
      </c>
      <c r="E7">
        <f>Case!$B$13/Infrastructure!B7+Case!$B$14</f>
        <v>11063.597645726415</v>
      </c>
      <c r="I7">
        <f>E7/Temperature!B5</f>
        <v>11175.351157299408</v>
      </c>
    </row>
    <row r="8" spans="1:9" x14ac:dyDescent="0.3">
      <c r="A8">
        <v>2024</v>
      </c>
      <c r="B8">
        <f t="shared" si="0"/>
        <v>1.0666666666666664</v>
      </c>
      <c r="E8">
        <f>Case!$B$13/Infrastructure!B8+Case!$B$14</f>
        <v>11045.517024436436</v>
      </c>
      <c r="I8">
        <f>E8/Temperature!B6</f>
        <v>11194.780768009899</v>
      </c>
    </row>
    <row r="9" spans="1:9" x14ac:dyDescent="0.3">
      <c r="A9">
        <v>2025</v>
      </c>
      <c r="B9">
        <f t="shared" si="0"/>
        <v>1.083333333333333</v>
      </c>
      <c r="E9">
        <f>Case!$B$13/Infrastructure!B9+Case!$B$14</f>
        <v>11027.992729955382</v>
      </c>
      <c r="I9">
        <f>E9/Temperature!B7</f>
        <v>11214.907860971573</v>
      </c>
    </row>
    <row r="10" spans="1:9" x14ac:dyDescent="0.3">
      <c r="A10">
        <v>2026</v>
      </c>
      <c r="B10">
        <f t="shared" si="0"/>
        <v>1.0999999999999996</v>
      </c>
      <c r="E10">
        <f>Case!$B$13/Infrastructure!B10+Case!$B$14</f>
        <v>11010.999474701026</v>
      </c>
      <c r="I10">
        <f>E10/Temperature!B8</f>
        <v>11235.713749694922</v>
      </c>
    </row>
    <row r="11" spans="1:9" x14ac:dyDescent="0.3">
      <c r="A11">
        <v>2027</v>
      </c>
      <c r="B11">
        <f t="shared" si="0"/>
        <v>1.1166666666666663</v>
      </c>
      <c r="E11">
        <f>Case!$B$13/Infrastructure!B11+Case!$B$14</f>
        <v>10994.513480797546</v>
      </c>
      <c r="I11">
        <f>E11/Temperature!B9</f>
        <v>11257.18103835926</v>
      </c>
    </row>
    <row r="12" spans="1:9" x14ac:dyDescent="0.3">
      <c r="A12">
        <v>2028</v>
      </c>
      <c r="B12">
        <f t="shared" si="0"/>
        <v>1.1333333333333329</v>
      </c>
      <c r="E12">
        <f>Case!$B$13/Infrastructure!B12+Case!$B$14</f>
        <v>10978.512369067697</v>
      </c>
      <c r="I12">
        <f>E12/Temperature!B10</f>
        <v>11279.29352986407</v>
      </c>
    </row>
    <row r="13" spans="1:9" x14ac:dyDescent="0.3">
      <c r="A13">
        <v>2029</v>
      </c>
      <c r="B13">
        <f t="shared" si="0"/>
        <v>1.1499999999999995</v>
      </c>
      <c r="E13">
        <f>Case!$B$13/Infrastructure!B13+Case!$B$14</f>
        <v>10962.975057677846</v>
      </c>
      <c r="I13">
        <f>E13/Temperature!B11</f>
        <v>11302.03614193592</v>
      </c>
    </row>
    <row r="14" spans="1:9" x14ac:dyDescent="0.3">
      <c r="A14">
        <v>2030</v>
      </c>
      <c r="B14">
        <f t="shared" si="0"/>
        <v>1.1666666666666661</v>
      </c>
      <c r="E14">
        <f>Case!$B$13/Infrastructure!B14+Case!$B$14</f>
        <v>10947.88166947056</v>
      </c>
      <c r="I14">
        <f>E14/Temperature!B12</f>
        <v>11325.394830486783</v>
      </c>
    </row>
    <row r="15" spans="1:9" x14ac:dyDescent="0.3">
      <c r="A15">
        <v>2031</v>
      </c>
      <c r="B15">
        <f t="shared" si="0"/>
        <v>1.1833333333333327</v>
      </c>
      <c r="E15">
        <f>Case!$B$13/Infrastructure!B15+Case!$B$14</f>
        <v>10933.213447128268</v>
      </c>
      <c r="I15">
        <f>E15/Temperature!B13</f>
        <v>11349.356519510309</v>
      </c>
    </row>
    <row r="16" spans="1:9" x14ac:dyDescent="0.3">
      <c r="A16">
        <v>2032</v>
      </c>
      <c r="B16">
        <f t="shared" si="0"/>
        <v>1.1999999999999993</v>
      </c>
      <c r="E16">
        <f>Case!$B$13/Infrastructure!B16+Case!$B$14</f>
        <v>10918.952675406596</v>
      </c>
      <c r="I16">
        <f>E16/Temperature!B14</f>
        <v>11373.909036881865</v>
      </c>
    </row>
    <row r="17" spans="1:9" x14ac:dyDescent="0.3">
      <c r="A17">
        <v>2033</v>
      </c>
      <c r="B17">
        <f t="shared" si="0"/>
        <v>1.2166666666666659</v>
      </c>
      <c r="E17">
        <f>Case!$B$13/Infrastructure!B17+Case!$B$14</f>
        <v>10905.082609759491</v>
      </c>
      <c r="I17">
        <f>E17/Temperature!B15</f>
        <v>11399.041055497721</v>
      </c>
    </row>
    <row r="18" spans="1:9" x14ac:dyDescent="0.3">
      <c r="A18">
        <v>2034</v>
      </c>
      <c r="B18">
        <f t="shared" si="0"/>
        <v>1.2333333333333325</v>
      </c>
      <c r="E18">
        <f>Case!$B$13/Infrastructure!B18+Case!$B$14</f>
        <v>10891.587410751496</v>
      </c>
      <c r="I18">
        <f>E18/Temperature!B16</f>
        <v>11424.742039249815</v>
      </c>
    </row>
    <row r="19" spans="1:9" x14ac:dyDescent="0.3">
      <c r="A19">
        <v>2035</v>
      </c>
      <c r="B19">
        <f t="shared" si="0"/>
        <v>1.2499999999999991</v>
      </c>
      <c r="E19">
        <f>Case!$B$13/Infrastructure!B19+Case!$B$14</f>
        <v>10878.452083717048</v>
      </c>
      <c r="I19">
        <f>E19/Temperature!B17</f>
        <v>11451.002193386359</v>
      </c>
    </row>
    <row r="20" spans="1:9" x14ac:dyDescent="0.3">
      <c r="A20">
        <v>2036</v>
      </c>
      <c r="B20">
        <f t="shared" si="0"/>
        <v>1.2666666666666657</v>
      </c>
      <c r="E20">
        <f>Case!$B$13/Infrastructure!B20+Case!$B$14</f>
        <v>10865.662423183505</v>
      </c>
      <c r="I20">
        <f>E20/Temperature!B18</f>
        <v>11477.812418855809</v>
      </c>
    </row>
    <row r="21" spans="1:9" x14ac:dyDescent="0.3">
      <c r="A21">
        <v>2037</v>
      </c>
      <c r="B21">
        <f t="shared" si="0"/>
        <v>1.2833333333333323</v>
      </c>
      <c r="E21">
        <f>Case!$B$13/Infrastructure!B21+Case!$B$14</f>
        <v>10853.204961624861</v>
      </c>
      <c r="I21">
        <f>E21/Temperature!B19</f>
        <v>11505.164270273697</v>
      </c>
    </row>
    <row r="22" spans="1:9" x14ac:dyDescent="0.3">
      <c r="A22">
        <v>2038</v>
      </c>
      <c r="B22">
        <f t="shared" si="0"/>
        <v>1.2999999999999989</v>
      </c>
      <c r="E22">
        <f>Case!$B$13/Infrastructure!B22+Case!$B$14</f>
        <v>10841.066922157463</v>
      </c>
      <c r="I22">
        <f>E22/Temperature!B20</f>
        <v>11533.049917188782</v>
      </c>
    </row>
    <row r="23" spans="1:9" x14ac:dyDescent="0.3">
      <c r="A23">
        <v>2039</v>
      </c>
      <c r="B23">
        <f t="shared" si="0"/>
        <v>1.3166666666666655</v>
      </c>
      <c r="E23">
        <f>Case!$B$13/Infrastructure!B23+Case!$B$14</f>
        <v>10829.236174828482</v>
      </c>
      <c r="I23">
        <f>E23/Temperature!B21</f>
        <v>11561.462108357802</v>
      </c>
    </row>
    <row r="24" spans="1:9" x14ac:dyDescent="0.3">
      <c r="A24">
        <v>2040</v>
      </c>
      <c r="B24">
        <f t="shared" si="0"/>
        <v>1.3333333333333321</v>
      </c>
      <c r="E24">
        <f>Case!$B$13/Infrastructure!B24+Case!$B$14</f>
        <v>10817.701196182723</v>
      </c>
      <c r="I24">
        <f>E24/Temperature!B22</f>
        <v>11590.394138767195</v>
      </c>
    </row>
    <row r="25" spans="1:9" x14ac:dyDescent="0.3">
      <c r="A25">
        <v>2041</v>
      </c>
      <c r="B25">
        <f t="shared" si="0"/>
        <v>1.3499999999999988</v>
      </c>
      <c r="E25">
        <f>Case!$B$13/Infrastructure!B25+Case!$B$14</f>
        <v>10806.451031824516</v>
      </c>
      <c r="I25">
        <f>E25/Temperature!B23</f>
        <v>11619.839819166136</v>
      </c>
    </row>
    <row r="26" spans="1:9" x14ac:dyDescent="0.3">
      <c r="A26">
        <v>2042</v>
      </c>
      <c r="B26">
        <f t="shared" si="0"/>
        <v>1.3666666666666654</v>
      </c>
      <c r="E26">
        <f>Case!$B$13/Infrastructure!B26+Case!$B$14</f>
        <v>10795.475261718946</v>
      </c>
      <c r="I26">
        <f>E26/Temperature!B24</f>
        <v>11649.793447898133</v>
      </c>
    </row>
    <row r="27" spans="1:9" x14ac:dyDescent="0.3">
      <c r="A27">
        <v>2043</v>
      </c>
      <c r="B27">
        <f t="shared" si="0"/>
        <v>1.383333333333332</v>
      </c>
      <c r="E27">
        <f>Case!$B$13/Infrastructure!B27+Case!$B$14</f>
        <v>10784.763968001464</v>
      </c>
      <c r="I27">
        <f>E27/Temperature!B25</f>
        <v>11680.249784839119</v>
      </c>
    </row>
    <row r="28" spans="1:9" x14ac:dyDescent="0.3">
      <c r="A28">
        <v>2044</v>
      </c>
      <c r="B28">
        <f t="shared" si="0"/>
        <v>1.3999999999999986</v>
      </c>
      <c r="E28">
        <f>Case!$B$13/Infrastructure!B28+Case!$B$14</f>
        <v>10774.307705086778</v>
      </c>
      <c r="I28">
        <f>E28/Temperature!B26</f>
        <v>11711.204027268226</v>
      </c>
    </row>
    <row r="29" spans="1:9" x14ac:dyDescent="0.3">
      <c r="A29">
        <v>2045</v>
      </c>
      <c r="B29">
        <f t="shared" si="0"/>
        <v>1.4166666666666652</v>
      </c>
      <c r="E29">
        <f>Case!$B$13/Infrastructure!B29+Case!$B$14</f>
        <v>10764.097471887731</v>
      </c>
      <c r="I29">
        <f>E29/Temperature!B27</f>
        <v>11742.651787513878</v>
      </c>
    </row>
    <row r="30" spans="1:9" x14ac:dyDescent="0.3">
      <c r="A30">
        <v>2046</v>
      </c>
      <c r="B30">
        <f t="shared" si="0"/>
        <v>1.4333333333333318</v>
      </c>
      <c r="E30">
        <f>Case!$B$13/Infrastructure!B30+Case!$B$14</f>
        <v>10754.124685972385</v>
      </c>
      <c r="I30">
        <f>E30/Temperature!B28</f>
        <v>11774.589072232528</v>
      </c>
    </row>
    <row r="31" spans="1:9" x14ac:dyDescent="0.3">
      <c r="A31">
        <v>2047</v>
      </c>
      <c r="B31">
        <f t="shared" si="0"/>
        <v>1.4499999999999984</v>
      </c>
      <c r="E31">
        <f>Case!$B$13/Infrastructure!B31+Case!$B$14</f>
        <v>10744.381159503368</v>
      </c>
      <c r="I31">
        <f>E31/Temperature!B29</f>
        <v>11807.012263190501</v>
      </c>
    </row>
    <row r="32" spans="1:9" x14ac:dyDescent="0.3">
      <c r="A32">
        <v>2048</v>
      </c>
      <c r="B32">
        <f t="shared" si="0"/>
        <v>1.466666666666665</v>
      </c>
      <c r="E32">
        <f>Case!$B$13/Infrastructure!B32+Case!$B$14</f>
        <v>10734.859076817736</v>
      </c>
      <c r="I32">
        <f>E32/Temperature!B30</f>
        <v>11839.918099431314</v>
      </c>
    </row>
    <row r="33" spans="1:9" x14ac:dyDescent="0.3">
      <c r="A33">
        <v>2049</v>
      </c>
      <c r="B33">
        <f t="shared" si="0"/>
        <v>1.4833333333333316</v>
      </c>
      <c r="E33">
        <f>Case!$B$13/Infrastructure!B33+Case!$B$14</f>
        <v>10725.5509735183</v>
      </c>
      <c r="I33">
        <f>E33/Temperature!B31</f>
        <v>11873.303660721353</v>
      </c>
    </row>
    <row r="34" spans="1:9" x14ac:dyDescent="0.3">
      <c r="A34">
        <v>2050</v>
      </c>
      <c r="B34">
        <v>1.5</v>
      </c>
      <c r="E34">
        <f>Case!$B$13/Infrastructure!B34+Case!$B$14</f>
        <v>10716.44971695885</v>
      </c>
      <c r="I34">
        <f>E34/Temperature!B32</f>
        <v>11907.1663521765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69CD9-8BCF-4CCE-9221-036BAF0DD55C}">
  <dimension ref="A1:M37"/>
  <sheetViews>
    <sheetView workbookViewId="0">
      <selection activeCell="AH16" sqref="AH16"/>
    </sheetView>
  </sheetViews>
  <sheetFormatPr defaultColWidth="8.83203125" defaultRowHeight="14" x14ac:dyDescent="0.3"/>
  <sheetData>
    <row r="1" spans="1:13" x14ac:dyDescent="0.3">
      <c r="B1" t="s">
        <v>72</v>
      </c>
      <c r="C1" t="s">
        <v>73</v>
      </c>
      <c r="H1" t="s">
        <v>75</v>
      </c>
      <c r="J1" t="s">
        <v>53</v>
      </c>
      <c r="L1" s="1" t="s">
        <v>23</v>
      </c>
    </row>
    <row r="2" spans="1:13" x14ac:dyDescent="0.3">
      <c r="A2">
        <v>2020</v>
      </c>
      <c r="B2">
        <v>1</v>
      </c>
      <c r="C2">
        <v>0</v>
      </c>
      <c r="D2">
        <f>(B32-B2)/(A32-A2)</f>
        <v>-1.6666666666666666E-2</v>
      </c>
      <c r="E2">
        <f>(C32-C2)/(A32-A2)</f>
        <v>1.6666666666666666E-2</v>
      </c>
      <c r="G2">
        <v>2020</v>
      </c>
      <c r="H2">
        <f>Case!$B$17*Feed!B2+Feed!C2*$E$8+$J$37*C2</f>
        <v>2604.7140915677546</v>
      </c>
      <c r="J2">
        <f>H2+Case!$B$18</f>
        <v>11121.455633854341</v>
      </c>
      <c r="L2">
        <v>2020</v>
      </c>
      <c r="M2">
        <f>J2/Temperature!B2</f>
        <v>11121.455633854341</v>
      </c>
    </row>
    <row r="3" spans="1:13" x14ac:dyDescent="0.3">
      <c r="A3">
        <v>2021</v>
      </c>
      <c r="B3">
        <f>B2+D$2</f>
        <v>0.98333333333333328</v>
      </c>
      <c r="C3">
        <f>C2+E$2</f>
        <v>1.6666666666666666E-2</v>
      </c>
      <c r="G3">
        <v>2021</v>
      </c>
      <c r="H3">
        <f>Case!$B$17*Feed!B3+Feed!C3*$E$8+$J$37*C3</f>
        <v>2544.5521162782916</v>
      </c>
      <c r="J3">
        <f>H3+Case!$B$18</f>
        <v>11061.293658564877</v>
      </c>
      <c r="L3">
        <v>2021</v>
      </c>
      <c r="M3">
        <f>J3/Temperature!B3</f>
        <v>11098.287951737335</v>
      </c>
    </row>
    <row r="4" spans="1:13" x14ac:dyDescent="0.3">
      <c r="A4">
        <v>2022</v>
      </c>
      <c r="B4">
        <f t="shared" ref="B4:B31" si="0">B3+D$2</f>
        <v>0.96666666666666656</v>
      </c>
      <c r="C4">
        <f t="shared" ref="C4:C31" si="1">C3+E$2</f>
        <v>3.3333333333333333E-2</v>
      </c>
      <c r="G4">
        <v>2022</v>
      </c>
      <c r="H4">
        <f>Case!$B$17*Feed!B4+Feed!C4*$E$8+$J$37*C4</f>
        <v>2484.390140988829</v>
      </c>
      <c r="J4">
        <f>H4+Case!$B$18</f>
        <v>11001.131683275415</v>
      </c>
      <c r="L4">
        <v>2022</v>
      </c>
      <c r="M4">
        <f>J4/Temperature!B4</f>
        <v>11074.964781820887</v>
      </c>
    </row>
    <row r="5" spans="1:13" x14ac:dyDescent="0.3">
      <c r="A5">
        <v>2023</v>
      </c>
      <c r="B5">
        <f t="shared" si="0"/>
        <v>0.94999999999999984</v>
      </c>
      <c r="C5">
        <f t="shared" si="1"/>
        <v>0.05</v>
      </c>
      <c r="G5">
        <v>2023</v>
      </c>
      <c r="H5">
        <f>Case!$B$17*Feed!B5+Feed!C5*$E$8+$J$37*C5</f>
        <v>2424.2281656993659</v>
      </c>
      <c r="J5">
        <f>H5+Case!$B$18</f>
        <v>10940.969707985951</v>
      </c>
      <c r="L5">
        <v>2023</v>
      </c>
      <c r="M5">
        <f>J5/Temperature!B5</f>
        <v>11051.484553521161</v>
      </c>
    </row>
    <row r="6" spans="1:13" x14ac:dyDescent="0.3">
      <c r="A6">
        <v>2024</v>
      </c>
      <c r="B6">
        <f t="shared" si="0"/>
        <v>0.93333333333333313</v>
      </c>
      <c r="C6">
        <f t="shared" si="1"/>
        <v>6.6666666666666666E-2</v>
      </c>
      <c r="G6">
        <v>2024</v>
      </c>
      <c r="H6">
        <f>Case!$B$17*Feed!B6+Feed!C6*$E$8+$J$37*C6</f>
        <v>2364.0661904099043</v>
      </c>
      <c r="J6">
        <f>H6+Case!$B$18</f>
        <v>10880.807732696489</v>
      </c>
      <c r="L6">
        <v>2024</v>
      </c>
      <c r="M6">
        <f>J6/Temperature!B6</f>
        <v>11027.845675030223</v>
      </c>
    </row>
    <row r="7" spans="1:13" x14ac:dyDescent="0.3">
      <c r="A7">
        <v>2025</v>
      </c>
      <c r="B7">
        <f t="shared" si="0"/>
        <v>0.91666666666666641</v>
      </c>
      <c r="C7">
        <f t="shared" si="1"/>
        <v>8.3333333333333329E-2</v>
      </c>
      <c r="E7" t="s">
        <v>73</v>
      </c>
      <c r="G7">
        <v>2025</v>
      </c>
      <c r="H7">
        <f>Case!$B$17*Feed!B7+Feed!C7*$E$8+$J$37*C7</f>
        <v>2303.9042151204412</v>
      </c>
      <c r="J7">
        <f>H7+Case!$B$18</f>
        <v>10820.645757407026</v>
      </c>
      <c r="L7">
        <v>2025</v>
      </c>
      <c r="M7">
        <f>J7/Temperature!B7</f>
        <v>11004.046532956296</v>
      </c>
    </row>
    <row r="8" spans="1:13" x14ac:dyDescent="0.3">
      <c r="A8">
        <v>2026</v>
      </c>
      <c r="B8">
        <f t="shared" si="0"/>
        <v>0.89999999999999969</v>
      </c>
      <c r="C8">
        <f t="shared" si="1"/>
        <v>9.9999999999999992E-2</v>
      </c>
      <c r="E8">
        <v>-1137.8610980000001</v>
      </c>
      <c r="F8" t="s">
        <v>81</v>
      </c>
      <c r="G8">
        <v>2026</v>
      </c>
      <c r="H8">
        <f>Case!$B$17*Feed!B8+Feed!C8*$E$8+$J$37*C8</f>
        <v>2243.7422398309786</v>
      </c>
      <c r="J8">
        <f>H8+Case!$B$18</f>
        <v>10760.483782117564</v>
      </c>
      <c r="L8">
        <v>2026</v>
      </c>
      <c r="M8">
        <f>J8/Temperature!B8</f>
        <v>10980.085491956695</v>
      </c>
    </row>
    <row r="9" spans="1:13" x14ac:dyDescent="0.3">
      <c r="A9">
        <v>2027</v>
      </c>
      <c r="B9">
        <f t="shared" si="0"/>
        <v>0.88333333333333297</v>
      </c>
      <c r="C9">
        <f t="shared" si="1"/>
        <v>0.11666666666666665</v>
      </c>
      <c r="G9">
        <v>2027</v>
      </c>
      <c r="H9">
        <f>Case!$B$17*Feed!B9+Feed!C9*$E$8+$J$37*C9</f>
        <v>2183.5802645415156</v>
      </c>
      <c r="J9">
        <f>H9+Case!$B$18</f>
        <v>10700.3218068281</v>
      </c>
      <c r="L9">
        <v>2027</v>
      </c>
      <c r="M9">
        <f>J9/Temperature!B9</f>
        <v>10955.960894363239</v>
      </c>
    </row>
    <row r="10" spans="1:13" x14ac:dyDescent="0.3">
      <c r="A10">
        <v>2028</v>
      </c>
      <c r="B10">
        <f t="shared" si="0"/>
        <v>0.86666666666666625</v>
      </c>
      <c r="C10">
        <f t="shared" si="1"/>
        <v>0.13333333333333333</v>
      </c>
      <c r="G10">
        <v>2028</v>
      </c>
      <c r="H10">
        <f>Case!$B$17*Feed!B10+Feed!C10*$E$8+$J$37*C10</f>
        <v>2123.418289252053</v>
      </c>
      <c r="J10">
        <f>H10+Case!$B$18</f>
        <v>10640.159831538638</v>
      </c>
      <c r="L10">
        <v>2028</v>
      </c>
      <c r="M10">
        <f>J10/Temperature!B10</f>
        <v>10931.671059799968</v>
      </c>
    </row>
    <row r="11" spans="1:13" x14ac:dyDescent="0.3">
      <c r="A11">
        <v>2029</v>
      </c>
      <c r="B11">
        <f t="shared" si="0"/>
        <v>0.84999999999999953</v>
      </c>
      <c r="C11">
        <f t="shared" si="1"/>
        <v>0.15</v>
      </c>
      <c r="G11">
        <v>2029</v>
      </c>
      <c r="H11">
        <f>Case!$B$17*Feed!B11+Feed!C11*$E$8+$J$37*C11</f>
        <v>2063.25631396259</v>
      </c>
      <c r="J11">
        <f>H11+Case!$B$18</f>
        <v>10579.997856249174</v>
      </c>
      <c r="L11">
        <v>2029</v>
      </c>
      <c r="M11">
        <f>J11/Temperature!B11</f>
        <v>10907.214284792959</v>
      </c>
    </row>
    <row r="12" spans="1:13" x14ac:dyDescent="0.3">
      <c r="A12">
        <v>2030</v>
      </c>
      <c r="B12">
        <f t="shared" si="0"/>
        <v>0.83333333333333282</v>
      </c>
      <c r="C12">
        <f t="shared" si="1"/>
        <v>0.16666666666666666</v>
      </c>
      <c r="G12">
        <v>2030</v>
      </c>
      <c r="H12">
        <f>Case!$B$17*Feed!B12+Feed!C12*$E$8+$J$37*C12</f>
        <v>2003.0943386731274</v>
      </c>
      <c r="J12">
        <f>H12+Case!$B$18</f>
        <v>10519.835880959712</v>
      </c>
      <c r="L12">
        <v>2030</v>
      </c>
      <c r="M12">
        <f>J12/Temperature!B12</f>
        <v>10882.588842372112</v>
      </c>
    </row>
    <row r="13" spans="1:13" x14ac:dyDescent="0.3">
      <c r="A13">
        <v>2031</v>
      </c>
      <c r="B13">
        <f t="shared" si="0"/>
        <v>0.8166666666666661</v>
      </c>
      <c r="C13">
        <f t="shared" si="1"/>
        <v>0.18333333333333332</v>
      </c>
      <c r="G13">
        <v>2031</v>
      </c>
      <c r="H13">
        <f>Case!$B$17*Feed!B13+Feed!C13*$E$8+$J$37*C13</f>
        <v>1942.932363383665</v>
      </c>
      <c r="J13">
        <f>H13+Case!$B$18</f>
        <v>10459.67390567025</v>
      </c>
      <c r="L13">
        <v>2031</v>
      </c>
      <c r="M13">
        <f>J13/Temperature!B13</f>
        <v>10857.792981664616</v>
      </c>
    </row>
    <row r="14" spans="1:13" x14ac:dyDescent="0.3">
      <c r="A14">
        <v>2032</v>
      </c>
      <c r="B14">
        <f t="shared" si="0"/>
        <v>0.79999999999999938</v>
      </c>
      <c r="C14">
        <f t="shared" si="1"/>
        <v>0.19999999999999998</v>
      </c>
      <c r="G14">
        <v>2032</v>
      </c>
      <c r="H14">
        <f>Case!$B$17*Feed!B14+Feed!C14*$E$8+$J$37*C14</f>
        <v>1882.7703880942024</v>
      </c>
      <c r="J14">
        <f>H14+Case!$B$18</f>
        <v>10399.511930380788</v>
      </c>
      <c r="L14">
        <v>2032</v>
      </c>
      <c r="M14">
        <f>J14/Temperature!B14</f>
        <v>10832.824927479982</v>
      </c>
    </row>
    <row r="15" spans="1:13" x14ac:dyDescent="0.3">
      <c r="A15">
        <v>2033</v>
      </c>
      <c r="B15">
        <f t="shared" si="0"/>
        <v>0.78333333333333266</v>
      </c>
      <c r="C15">
        <f t="shared" si="1"/>
        <v>0.21666666666666665</v>
      </c>
      <c r="G15">
        <v>2033</v>
      </c>
      <c r="H15">
        <f>Case!$B$17*Feed!B15+Feed!C15*$E$8+$J$37*C15</f>
        <v>1822.6084128047396</v>
      </c>
      <c r="J15">
        <f>H15+Case!$B$18</f>
        <v>10339.349955091326</v>
      </c>
      <c r="L15">
        <v>2033</v>
      </c>
      <c r="M15">
        <f>J15/Temperature!B15</f>
        <v>10807.682879886399</v>
      </c>
    </row>
    <row r="16" spans="1:13" x14ac:dyDescent="0.3">
      <c r="A16">
        <v>2034</v>
      </c>
      <c r="B16">
        <f t="shared" si="0"/>
        <v>0.76666666666666594</v>
      </c>
      <c r="C16">
        <f t="shared" si="1"/>
        <v>0.23333333333333331</v>
      </c>
      <c r="G16">
        <v>2034</v>
      </c>
      <c r="H16">
        <f>Case!$B$17*Feed!B16+Feed!C16*$E$8+$J$37*C16</f>
        <v>1762.4464375152766</v>
      </c>
      <c r="J16">
        <f>H16+Case!$B$18</f>
        <v>10279.187979801862</v>
      </c>
      <c r="L16">
        <v>2034</v>
      </c>
      <c r="M16">
        <f>J16/Temperature!B16</f>
        <v>10782.365013778171</v>
      </c>
    </row>
    <row r="17" spans="1:13" x14ac:dyDescent="0.3">
      <c r="A17">
        <v>2035</v>
      </c>
      <c r="B17">
        <f t="shared" si="0"/>
        <v>0.74999999999999922</v>
      </c>
      <c r="C17">
        <f t="shared" si="1"/>
        <v>0.24999999999999997</v>
      </c>
      <c r="G17">
        <v>2035</v>
      </c>
      <c r="H17">
        <f>Case!$B$17*Feed!B17+Feed!C17*$E$8+$J$37*C17</f>
        <v>1702.284462225814</v>
      </c>
      <c r="J17">
        <f>H17+Case!$B$18</f>
        <v>10219.0260045124</v>
      </c>
      <c r="L17">
        <v>2035</v>
      </c>
      <c r="M17">
        <f>J17/Temperature!B17</f>
        <v>10756.869478434099</v>
      </c>
    </row>
    <row r="18" spans="1:13" x14ac:dyDescent="0.3">
      <c r="A18">
        <v>2036</v>
      </c>
      <c r="B18">
        <f t="shared" si="0"/>
        <v>0.7333333333333325</v>
      </c>
      <c r="C18">
        <f t="shared" si="1"/>
        <v>0.26666666666666666</v>
      </c>
      <c r="G18">
        <v>2036</v>
      </c>
      <c r="H18">
        <f>Case!$B$17*Feed!B18+Feed!C18*$E$8+$J$37*C18</f>
        <v>1642.1224869363512</v>
      </c>
      <c r="J18">
        <f>H18+Case!$B$18</f>
        <v>10158.864029222936</v>
      </c>
      <c r="L18">
        <v>2036</v>
      </c>
      <c r="M18">
        <f>J18/Temperature!B18</f>
        <v>10731.194397066474</v>
      </c>
    </row>
    <row r="19" spans="1:13" x14ac:dyDescent="0.3">
      <c r="A19">
        <v>2037</v>
      </c>
      <c r="B19">
        <f t="shared" si="0"/>
        <v>0.71666666666666579</v>
      </c>
      <c r="C19">
        <f t="shared" si="1"/>
        <v>0.28333333333333333</v>
      </c>
      <c r="G19">
        <v>2037</v>
      </c>
      <c r="H19">
        <f>Case!$B$17*Feed!B19+Feed!C19*$E$8+$J$37*C19</f>
        <v>1581.9605116468886</v>
      </c>
      <c r="J19">
        <f>H19+Case!$B$18</f>
        <v>10098.702053933474</v>
      </c>
      <c r="L19">
        <v>2037</v>
      </c>
      <c r="M19">
        <f>J19/Temperature!B19</f>
        <v>10705.337866360565</v>
      </c>
    </row>
    <row r="20" spans="1:13" x14ac:dyDescent="0.3">
      <c r="A20">
        <v>2038</v>
      </c>
      <c r="B20">
        <f t="shared" si="0"/>
        <v>0.69999999999999907</v>
      </c>
      <c r="C20">
        <f t="shared" si="1"/>
        <v>0.3</v>
      </c>
      <c r="G20">
        <v>2038</v>
      </c>
      <c r="H20">
        <f>Case!$B$17*Feed!B20+Feed!C20*$E$8+$J$37*C20</f>
        <v>1521.7985363574257</v>
      </c>
      <c r="J20">
        <f>H20+Case!$B$18</f>
        <v>10038.540078644011</v>
      </c>
      <c r="L20">
        <v>2038</v>
      </c>
      <c r="M20">
        <f>J20/Temperature!B20</f>
        <v>10679.29795600426</v>
      </c>
    </row>
    <row r="21" spans="1:13" x14ac:dyDescent="0.3">
      <c r="A21">
        <v>2039</v>
      </c>
      <c r="B21">
        <f t="shared" si="0"/>
        <v>0.68333333333333235</v>
      </c>
      <c r="C21">
        <f t="shared" si="1"/>
        <v>0.31666666666666665</v>
      </c>
      <c r="G21">
        <v>2039</v>
      </c>
      <c r="H21">
        <f>Case!$B$17*Feed!B21+Feed!C21*$E$8+$J$37*C21</f>
        <v>1461.6365610679632</v>
      </c>
      <c r="J21">
        <f>H21+Case!$B$18</f>
        <v>9978.3781033545492</v>
      </c>
      <c r="L21">
        <v>2039</v>
      </c>
      <c r="M21">
        <f>J21/Temperature!B21</f>
        <v>10653.072708207697</v>
      </c>
    </row>
    <row r="22" spans="1:13" x14ac:dyDescent="0.3">
      <c r="A22">
        <v>2040</v>
      </c>
      <c r="B22">
        <f t="shared" si="0"/>
        <v>0.66666666666666563</v>
      </c>
      <c r="C22">
        <f t="shared" si="1"/>
        <v>0.33333333333333331</v>
      </c>
      <c r="G22">
        <v>2040</v>
      </c>
      <c r="H22">
        <f>Case!$B$17*Feed!B22+Feed!C22*$E$8+$J$37*C22</f>
        <v>1401.4745857785003</v>
      </c>
      <c r="J22">
        <f>H22+Case!$B$18</f>
        <v>9918.2161280650853</v>
      </c>
      <c r="L22">
        <v>2040</v>
      </c>
      <c r="M22">
        <f>J22/Temperature!B22</f>
        <v>10626.660137212584</v>
      </c>
    </row>
    <row r="23" spans="1:13" x14ac:dyDescent="0.3">
      <c r="A23">
        <v>2041</v>
      </c>
      <c r="B23">
        <f t="shared" si="0"/>
        <v>0.64999999999999891</v>
      </c>
      <c r="C23">
        <f t="shared" si="1"/>
        <v>0.35</v>
      </c>
      <c r="G23">
        <v>2041</v>
      </c>
      <c r="H23">
        <f>Case!$B$17*Feed!B23+Feed!C23*$E$8+$J$37*C23</f>
        <v>1341.3126104890378</v>
      </c>
      <c r="J23">
        <f>H23+Case!$B$18</f>
        <v>9858.0541527756232</v>
      </c>
      <c r="L23">
        <v>2041</v>
      </c>
      <c r="M23">
        <f>J23/Temperature!B23</f>
        <v>10600.058228790984</v>
      </c>
    </row>
    <row r="24" spans="1:13" x14ac:dyDescent="0.3">
      <c r="A24">
        <v>2042</v>
      </c>
      <c r="B24">
        <f t="shared" si="0"/>
        <v>0.63333333333333219</v>
      </c>
      <c r="C24">
        <f t="shared" si="1"/>
        <v>0.36666666666666664</v>
      </c>
      <c r="G24">
        <v>2042</v>
      </c>
      <c r="H24">
        <f>Case!$B$17*Feed!B24+Feed!C24*$E$8+$J$37*C24</f>
        <v>1281.1506351995749</v>
      </c>
      <c r="J24">
        <f>H24+Case!$B$18</f>
        <v>9797.8921774861592</v>
      </c>
      <c r="L24">
        <v>2042</v>
      </c>
      <c r="M24">
        <f>J24/Temperature!B24</f>
        <v>10573.264939733257</v>
      </c>
    </row>
    <row r="25" spans="1:13" x14ac:dyDescent="0.3">
      <c r="A25">
        <v>2043</v>
      </c>
      <c r="B25">
        <f t="shared" si="0"/>
        <v>0.61666666666666548</v>
      </c>
      <c r="C25">
        <f t="shared" si="1"/>
        <v>0.3833333333333333</v>
      </c>
      <c r="G25">
        <v>2043</v>
      </c>
      <c r="H25">
        <f>Case!$B$17*Feed!B25+Feed!C25*$E$8+$J$37*C25</f>
        <v>1220.9886599101121</v>
      </c>
      <c r="J25">
        <f>H25+Case!$B$18</f>
        <v>9737.7302021966971</v>
      </c>
      <c r="L25">
        <v>2043</v>
      </c>
      <c r="M25">
        <f>J25/Temperature!B25</f>
        <v>10546.278197324933</v>
      </c>
    </row>
    <row r="26" spans="1:13" x14ac:dyDescent="0.3">
      <c r="A26">
        <v>2044</v>
      </c>
      <c r="B26">
        <f t="shared" si="0"/>
        <v>0.59999999999999876</v>
      </c>
      <c r="C26">
        <f t="shared" si="1"/>
        <v>0.39999999999999997</v>
      </c>
      <c r="G26">
        <v>2044</v>
      </c>
      <c r="H26">
        <f>Case!$B$17*Feed!B26+Feed!C26*$E$8+$J$37*C26</f>
        <v>1160.8266846206495</v>
      </c>
      <c r="J26">
        <f>H26+Case!$B$18</f>
        <v>9677.5682269072349</v>
      </c>
      <c r="L26">
        <v>2044</v>
      </c>
      <c r="M26">
        <f>J26/Temperature!B26</f>
        <v>10519.095898812202</v>
      </c>
    </row>
    <row r="27" spans="1:13" x14ac:dyDescent="0.3">
      <c r="A27">
        <v>2045</v>
      </c>
      <c r="B27">
        <f t="shared" si="0"/>
        <v>0.58333333333333204</v>
      </c>
      <c r="C27">
        <f t="shared" si="1"/>
        <v>0.41666666666666663</v>
      </c>
      <c r="G27">
        <v>2045</v>
      </c>
      <c r="H27">
        <f>Case!$B$17*Feed!B27+Feed!C27*$E$8+$J$37*C27</f>
        <v>1100.6647093311867</v>
      </c>
      <c r="J27">
        <f>H27+Case!$B$18</f>
        <v>9617.4062516177728</v>
      </c>
      <c r="L27">
        <v>2045</v>
      </c>
      <c r="M27">
        <f>J27/Temperature!B27</f>
        <v>10491.715910855743</v>
      </c>
    </row>
    <row r="28" spans="1:13" x14ac:dyDescent="0.3">
      <c r="A28">
        <v>2046</v>
      </c>
      <c r="B28">
        <f t="shared" si="0"/>
        <v>0.56666666666666532</v>
      </c>
      <c r="C28">
        <f t="shared" si="1"/>
        <v>0.43333333333333329</v>
      </c>
      <c r="G28">
        <v>2046</v>
      </c>
      <c r="H28">
        <f>Case!$B$17*Feed!B28+Feed!C28*$E$8+$J$37*C28</f>
        <v>1040.5027340417241</v>
      </c>
      <c r="J28">
        <f>H28+Case!$B$18</f>
        <v>9557.2442763283088</v>
      </c>
      <c r="L28">
        <v>2046</v>
      </c>
      <c r="M28">
        <f>J28/Temperature!B28</f>
        <v>10464.136068972592</v>
      </c>
    </row>
    <row r="29" spans="1:13" x14ac:dyDescent="0.3">
      <c r="A29">
        <v>2047</v>
      </c>
      <c r="B29">
        <f t="shared" si="0"/>
        <v>0.5499999999999986</v>
      </c>
      <c r="C29">
        <f t="shared" si="1"/>
        <v>0.44999999999999996</v>
      </c>
      <c r="G29">
        <v>2047</v>
      </c>
      <c r="H29">
        <f>Case!$B$17*Feed!B29+Feed!C29*$E$8+$J$37*C29</f>
        <v>980.34075875226131</v>
      </c>
      <c r="J29">
        <f>H29+Case!$B$18</f>
        <v>9497.0823010388467</v>
      </c>
      <c r="L29">
        <v>2047</v>
      </c>
      <c r="M29">
        <f>J29/Temperature!B29</f>
        <v>10436.354176965755</v>
      </c>
    </row>
    <row r="30" spans="1:13" x14ac:dyDescent="0.3">
      <c r="A30">
        <v>2048</v>
      </c>
      <c r="B30">
        <f t="shared" si="0"/>
        <v>0.53333333333333188</v>
      </c>
      <c r="C30">
        <f t="shared" si="1"/>
        <v>0.46666666666666662</v>
      </c>
      <c r="G30">
        <v>2048</v>
      </c>
      <c r="H30">
        <f>Case!$B$17*Feed!B30+Feed!C30*$E$8+$J$37*C30</f>
        <v>920.17878346279872</v>
      </c>
      <c r="J30">
        <f>H30+Case!$B$18</f>
        <v>9436.9203257493846</v>
      </c>
      <c r="L30">
        <v>2048</v>
      </c>
      <c r="M30">
        <f>J30/Temperature!B30</f>
        <v>10408.368006341221</v>
      </c>
    </row>
    <row r="31" spans="1:13" x14ac:dyDescent="0.3">
      <c r="A31">
        <v>2049</v>
      </c>
      <c r="B31">
        <f t="shared" si="0"/>
        <v>0.51666666666666516</v>
      </c>
      <c r="C31">
        <f t="shared" si="1"/>
        <v>0.48333333333333328</v>
      </c>
      <c r="G31">
        <v>2049</v>
      </c>
      <c r="H31">
        <f>Case!$B$17*Feed!B31+Feed!C31*$E$8+$J$37*C31</f>
        <v>860.01680817333602</v>
      </c>
      <c r="J31">
        <f>H31+Case!$B$18</f>
        <v>9376.7583504599206</v>
      </c>
      <c r="L31">
        <v>2049</v>
      </c>
      <c r="M31">
        <f>J31/Temperature!B31</f>
        <v>10380.175295712077</v>
      </c>
    </row>
    <row r="32" spans="1:13" x14ac:dyDescent="0.3">
      <c r="A32">
        <v>2050</v>
      </c>
      <c r="B32">
        <v>0.5</v>
      </c>
      <c r="C32">
        <v>0.5</v>
      </c>
      <c r="G32">
        <v>2050</v>
      </c>
      <c r="H32">
        <f>Case!$B$17*Feed!B32+Feed!C32*$E$8+$J$37*C32</f>
        <v>799.85483288387729</v>
      </c>
      <c r="J32">
        <f>H32+Case!$B$18</f>
        <v>9316.5963751704621</v>
      </c>
      <c r="L32">
        <v>2050</v>
      </c>
      <c r="M32">
        <f>J32/Temperature!B32</f>
        <v>10351.773750189403</v>
      </c>
    </row>
    <row r="36" spans="10:10" x14ac:dyDescent="0.3">
      <c r="J36" t="s">
        <v>77</v>
      </c>
    </row>
    <row r="37" spans="10:10" x14ac:dyDescent="0.3">
      <c r="J37">
        <v>132.85667219999999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C7592-A9C7-43F2-AB60-A73D193BFD7A}">
  <dimension ref="A4:U71"/>
  <sheetViews>
    <sheetView topLeftCell="C7" zoomScale="85" zoomScaleNormal="85" workbookViewId="0">
      <selection activeCell="T8" sqref="T8"/>
    </sheetView>
  </sheetViews>
  <sheetFormatPr defaultColWidth="8.83203125" defaultRowHeight="14" x14ac:dyDescent="0.3"/>
  <cols>
    <col min="6" max="6" width="21.33203125" bestFit="1" customWidth="1"/>
    <col min="12" max="12" width="12.1640625" bestFit="1" customWidth="1"/>
    <col min="14" max="14" width="20.5" bestFit="1" customWidth="1"/>
    <col min="15" max="15" width="12.75" bestFit="1" customWidth="1"/>
    <col min="16" max="16" width="23" bestFit="1" customWidth="1"/>
  </cols>
  <sheetData>
    <row r="4" spans="1:8" x14ac:dyDescent="0.3">
      <c r="B4" t="s">
        <v>13</v>
      </c>
      <c r="C4" t="s">
        <v>31</v>
      </c>
      <c r="D4" t="s">
        <v>49</v>
      </c>
      <c r="E4" t="s">
        <v>57</v>
      </c>
      <c r="F4" s="1" t="s">
        <v>58</v>
      </c>
      <c r="G4" t="s">
        <v>1</v>
      </c>
      <c r="H4" t="s">
        <v>82</v>
      </c>
    </row>
    <row r="5" spans="1:8" x14ac:dyDescent="0.3">
      <c r="A5" s="22">
        <v>2020</v>
      </c>
      <c r="B5" s="22">
        <f>Case!$C$11*'Elec str'!G3</f>
        <v>6882.9122618300544</v>
      </c>
      <c r="C5" s="22">
        <f>Case!$B$13/Infrastructure!B4</f>
        <v>1215.0177506864734</v>
      </c>
      <c r="D5" s="22">
        <f>Feed!H2</f>
        <v>2604.7140915677546</v>
      </c>
      <c r="E5" s="22">
        <f>B5+C5+D5+Case!$B$19</f>
        <v>11121.455633854341</v>
      </c>
      <c r="F5" s="22">
        <v>2020</v>
      </c>
      <c r="G5" s="22">
        <f>E5/Speed!B3/Temperature!B2</f>
        <v>11121.455633854341</v>
      </c>
      <c r="H5">
        <f>G5*Temperature!B2</f>
        <v>11121.455633854341</v>
      </c>
    </row>
    <row r="6" spans="1:8" x14ac:dyDescent="0.3">
      <c r="A6">
        <v>2021</v>
      </c>
      <c r="B6">
        <f>Case!$C$11*'Elec str'!G4</f>
        <v>6804.665927346341</v>
      </c>
      <c r="C6">
        <f>Case!$B$13/Infrastructure!B5</f>
        <v>1195.099426904728</v>
      </c>
      <c r="D6">
        <f>Feed!H3</f>
        <v>2544.5521162782916</v>
      </c>
      <c r="E6">
        <f>B6+C6+D6+Case!$B$19</f>
        <v>10963.129000299417</v>
      </c>
      <c r="F6">
        <v>2021</v>
      </c>
      <c r="G6">
        <f>E6/Speed!B4/Temperature!B3</f>
        <v>10784.112728998049</v>
      </c>
      <c r="H6">
        <f>G6*Temperature!B3</f>
        <v>10748.165686568056</v>
      </c>
    </row>
    <row r="7" spans="1:8" x14ac:dyDescent="0.3">
      <c r="A7">
        <v>2022</v>
      </c>
      <c r="B7">
        <f>Case!$C$11*'Elec str'!G5</f>
        <v>6726.4195928626277</v>
      </c>
      <c r="C7">
        <f>Case!$B$13/Infrastructure!B6</f>
        <v>1175.8236296965872</v>
      </c>
      <c r="D7">
        <f>Feed!H4</f>
        <v>2484.390140988829</v>
      </c>
      <c r="E7">
        <f>B7+C7+D7+Case!$B$19</f>
        <v>10805.444893318101</v>
      </c>
      <c r="F7">
        <v>2022</v>
      </c>
      <c r="G7">
        <f>E7/Speed!B5/Temperature!B4</f>
        <v>10459.581401637293</v>
      </c>
      <c r="H7">
        <f>G7*Temperature!B4</f>
        <v>10389.850858959711</v>
      </c>
    </row>
    <row r="8" spans="1:8" x14ac:dyDescent="0.3">
      <c r="A8">
        <v>2023</v>
      </c>
      <c r="B8">
        <f>Case!$C$11*'Elec str'!G6</f>
        <v>6648.1732583789153</v>
      </c>
      <c r="C8">
        <f>Case!$B$13/Infrastructure!B7</f>
        <v>1157.1597625585464</v>
      </c>
      <c r="D8">
        <f>Feed!H5</f>
        <v>2424.2281656993659</v>
      </c>
      <c r="E8">
        <f>B8+C8+D8+Case!$B$19</f>
        <v>10648.372716406884</v>
      </c>
      <c r="F8">
        <v>2023</v>
      </c>
      <c r="G8">
        <f>E8/Speed!B6/Temperature!B5</f>
        <v>10147.105695070404</v>
      </c>
      <c r="H8">
        <f>G8*Temperature!B5</f>
        <v>10045.634638119702</v>
      </c>
    </row>
    <row r="9" spans="1:8" x14ac:dyDescent="0.3">
      <c r="A9">
        <v>2024</v>
      </c>
      <c r="B9">
        <f>Case!$C$11*'Elec str'!G7</f>
        <v>6569.926923895202</v>
      </c>
      <c r="C9">
        <f>Case!$B$13/Infrastructure!B8</f>
        <v>1139.0791412685689</v>
      </c>
      <c r="D9">
        <f>Feed!H6</f>
        <v>2364.0661904099043</v>
      </c>
      <c r="E9">
        <f>B9+C9+D9+Case!$B$19</f>
        <v>10491.883785343733</v>
      </c>
      <c r="F9">
        <v>2024</v>
      </c>
      <c r="G9">
        <f>E9/Speed!B7/Temperature!B6</f>
        <v>9845.9870357955424</v>
      </c>
      <c r="H9">
        <f>G9*Temperature!B6</f>
        <v>9714.7072086516037</v>
      </c>
    </row>
    <row r="10" spans="1:8" x14ac:dyDescent="0.3">
      <c r="A10" s="29">
        <v>2025</v>
      </c>
      <c r="B10" s="29">
        <f>Case!$C$11*'Elec str'!G8</f>
        <v>6491.6805894114896</v>
      </c>
      <c r="C10" s="29">
        <f>Case!$B$13/Infrastructure!B9</f>
        <v>1121.5548467875142</v>
      </c>
      <c r="D10" s="29">
        <f>Feed!H7</f>
        <v>2303.9042151204412</v>
      </c>
      <c r="E10" s="29">
        <f>B10+C10+D10+Case!$B$19</f>
        <v>10335.951181089502</v>
      </c>
      <c r="F10" s="29">
        <v>2025</v>
      </c>
      <c r="G10" s="29">
        <f>E10/Speed!B8/Temperature!B7</f>
        <v>9555.5789039348219</v>
      </c>
      <c r="H10">
        <f>G10*Temperature!B7</f>
        <v>9396.3192555359092</v>
      </c>
    </row>
    <row r="11" spans="1:8" x14ac:dyDescent="0.3">
      <c r="A11">
        <v>2026</v>
      </c>
      <c r="B11">
        <f>Case!$C$11*'Elec str'!G9</f>
        <v>6413.4342549277753</v>
      </c>
      <c r="C11">
        <f>Case!$B$13/Infrastructure!B10</f>
        <v>1104.561591533158</v>
      </c>
      <c r="D11">
        <f>Feed!H8</f>
        <v>2243.7422398309786</v>
      </c>
      <c r="E11">
        <f>B11+C11+D11+Case!$B$19</f>
        <v>10180.54961606197</v>
      </c>
      <c r="F11">
        <v>2026</v>
      </c>
      <c r="G11">
        <f>E11/Speed!B9/Temperature!B8</f>
        <v>9275.2820846045615</v>
      </c>
      <c r="H11">
        <f>G11*Temperature!B8</f>
        <v>9089.7764429124727</v>
      </c>
    </row>
    <row r="12" spans="1:8" x14ac:dyDescent="0.3">
      <c r="A12">
        <v>2027</v>
      </c>
      <c r="B12">
        <f>Case!$C$11*'Elec str'!G10</f>
        <v>6335.1879204440629</v>
      </c>
      <c r="C12">
        <f>Case!$B$13/Infrastructure!B11</f>
        <v>1088.075597629678</v>
      </c>
      <c r="D12">
        <f>Feed!H9</f>
        <v>2183.5802645415156</v>
      </c>
      <c r="E12">
        <f>B12+C12+D12+Case!$B$19</f>
        <v>10025.655312385315</v>
      </c>
      <c r="F12">
        <v>2027</v>
      </c>
      <c r="G12">
        <f>E12/Speed!B10/Temperature!B9</f>
        <v>9004.5404278653787</v>
      </c>
      <c r="H12">
        <f>G12*Temperature!B9</f>
        <v>8794.4344845485211</v>
      </c>
    </row>
    <row r="13" spans="1:8" x14ac:dyDescent="0.3">
      <c r="A13">
        <v>2028</v>
      </c>
      <c r="B13">
        <f>Case!$C$11*'Elec str'!G11</f>
        <v>6256.9415859603496</v>
      </c>
      <c r="C13">
        <f>Case!$B$13/Infrastructure!B12</f>
        <v>1072.0744858998298</v>
      </c>
      <c r="D13">
        <f>Feed!H10</f>
        <v>2123.418289252053</v>
      </c>
      <c r="E13">
        <f>B13+C13+D13+Case!$B$19</f>
        <v>9871.2458908822882</v>
      </c>
      <c r="F13">
        <v>2028</v>
      </c>
      <c r="G13">
        <f>E13/Speed!B11/Temperature!B10</f>
        <v>8742.8370549854899</v>
      </c>
      <c r="H13">
        <f>G13*Temperature!B10</f>
        <v>8509.6947335192126</v>
      </c>
    </row>
    <row r="14" spans="1:8" x14ac:dyDescent="0.3">
      <c r="A14">
        <v>2029</v>
      </c>
      <c r="B14">
        <f>Case!$C$11*'Elec str'!G12</f>
        <v>6178.6952514766363</v>
      </c>
      <c r="C14">
        <f>Case!$B$13/Infrastructure!B13</f>
        <v>1056.5371745099774</v>
      </c>
      <c r="D14">
        <f>Feed!H11</f>
        <v>2063.25631396259</v>
      </c>
      <c r="E14">
        <f>B14+C14+D14+Case!$B$19</f>
        <v>9717.3002697192605</v>
      </c>
      <c r="F14">
        <v>2029</v>
      </c>
      <c r="G14">
        <f>E14/Speed!B12/Temperature!B11</f>
        <v>8489.6909572944751</v>
      </c>
      <c r="H14">
        <f>G14*Temperature!B11</f>
        <v>8235.0002285756436</v>
      </c>
    </row>
    <row r="15" spans="1:8" x14ac:dyDescent="0.3">
      <c r="A15" s="22">
        <v>2030</v>
      </c>
      <c r="B15" s="22">
        <f>Case!$C$11*'Elec str'!G13</f>
        <v>6100.4489169929238</v>
      </c>
      <c r="C15" s="22">
        <f>Case!$B$13/Infrastructure!B14</f>
        <v>1041.4437863026919</v>
      </c>
      <c r="D15" s="22">
        <f>Feed!H12</f>
        <v>2003.0943386731274</v>
      </c>
      <c r="E15" s="22">
        <f>B15+C15+D15+Case!$B$19</f>
        <v>9563.7985717388001</v>
      </c>
      <c r="F15" s="22">
        <v>2030</v>
      </c>
      <c r="G15" s="22">
        <f>E15/Speed!B13/Temperature!B12</f>
        <v>8244.6539411541362</v>
      </c>
      <c r="H15">
        <f>G15*Temperature!B12</f>
        <v>7969.8321431156673</v>
      </c>
    </row>
    <row r="16" spans="1:8" x14ac:dyDescent="0.3">
      <c r="A16">
        <v>2031</v>
      </c>
      <c r="B16">
        <f>Case!$C$11*'Elec str'!G14</f>
        <v>5974.7431490369199</v>
      </c>
      <c r="C16">
        <f>Case!$B$13/Infrastructure!B15</f>
        <v>1026.7755639604006</v>
      </c>
      <c r="D16">
        <f>Feed!H13</f>
        <v>1942.932363383665</v>
      </c>
      <c r="E16">
        <f>B16+C16+D16+Case!$B$19</f>
        <v>9363.2626061510418</v>
      </c>
      <c r="F16">
        <v>2031</v>
      </c>
      <c r="G16">
        <f>E16/Speed!B14/Temperature!B13</f>
        <v>7966.9260362054329</v>
      </c>
      <c r="H16">
        <f>G16*Temperature!B13</f>
        <v>7674.8054148779029</v>
      </c>
    </row>
    <row r="17" spans="1:19" x14ac:dyDescent="0.3">
      <c r="A17">
        <v>2032</v>
      </c>
      <c r="B17">
        <f>Case!$C$11*'Elec str'!G15</f>
        <v>5849.0373810809169</v>
      </c>
      <c r="C17">
        <f>Case!$B$13/Infrastructure!B16</f>
        <v>1012.5147922387284</v>
      </c>
      <c r="D17">
        <f>Feed!H14</f>
        <v>1882.7703880942024</v>
      </c>
      <c r="E17">
        <f>B17+C17+D17+Case!$B$19</f>
        <v>9163.134091183907</v>
      </c>
      <c r="F17">
        <v>2032</v>
      </c>
      <c r="G17">
        <f>E17/Speed!B15/Temperature!B14</f>
        <v>7697.5252782122843</v>
      </c>
      <c r="H17">
        <f>G17*Temperature!B14</f>
        <v>7389.6242670837964</v>
      </c>
      <c r="S17" s="3"/>
    </row>
    <row r="18" spans="1:19" x14ac:dyDescent="0.3">
      <c r="A18">
        <v>2033</v>
      </c>
      <c r="B18">
        <f>Case!$C$11*'Elec str'!G16</f>
        <v>5723.331613124913</v>
      </c>
      <c r="C18">
        <f>Case!$B$13/Infrastructure!B17</f>
        <v>998.64472659162254</v>
      </c>
      <c r="D18">
        <f>Feed!H15</f>
        <v>1822.6084128047396</v>
      </c>
      <c r="E18">
        <f>B18+C18+D18+Case!$B$19</f>
        <v>8963.3962822913309</v>
      </c>
      <c r="F18">
        <v>2033</v>
      </c>
      <c r="G18">
        <f>E18/Speed!B16/Temperature!B15</f>
        <v>7436.0347455544434</v>
      </c>
      <c r="H18">
        <f>G18*Temperature!B15</f>
        <v>7113.8065732470877</v>
      </c>
      <c r="S18" s="3"/>
    </row>
    <row r="19" spans="1:19" x14ac:dyDescent="0.3">
      <c r="A19">
        <v>2034</v>
      </c>
      <c r="B19">
        <f>Case!$C$11*'Elec str'!G17</f>
        <v>5597.6258451689091</v>
      </c>
      <c r="C19">
        <f>Case!$B$13/Infrastructure!B18</f>
        <v>985.14952758362779</v>
      </c>
      <c r="D19">
        <f>Feed!H16</f>
        <v>1762.4464375152766</v>
      </c>
      <c r="E19">
        <f>B19+C19+D19+Case!$B$19</f>
        <v>8764.0333400378695</v>
      </c>
      <c r="F19">
        <v>2034</v>
      </c>
      <c r="G19">
        <f>E19/Speed!B17/Temperature!B16</f>
        <v>7182.0640352145965</v>
      </c>
      <c r="H19">
        <f>G19*Temperature!B16</f>
        <v>6846.9010469045852</v>
      </c>
      <c r="S19" s="3"/>
    </row>
    <row r="20" spans="1:19" x14ac:dyDescent="0.3">
      <c r="A20" s="30">
        <v>2035</v>
      </c>
      <c r="B20" s="30">
        <f>Case!$C$11*'Elec str'!G18</f>
        <v>5471.9200772129061</v>
      </c>
      <c r="C20" s="30">
        <f>Case!$B$13/Infrastructure!B19</f>
        <v>972.01420054917935</v>
      </c>
      <c r="D20" s="29">
        <f>Feed!H17</f>
        <v>1702.284462225814</v>
      </c>
      <c r="E20" s="29">
        <f>B20+C20+D20+Case!$B$19</f>
        <v>8565.0302697579573</v>
      </c>
      <c r="F20" s="30">
        <v>2035</v>
      </c>
      <c r="G20" s="30">
        <f>E20/Speed!B18/Temperature!B17</f>
        <v>6935.2471819902448</v>
      </c>
      <c r="H20">
        <f>G20*Temperature!B17</f>
        <v>6588.4848228907358</v>
      </c>
      <c r="S20" s="3"/>
    </row>
    <row r="21" spans="1:19" x14ac:dyDescent="0.3">
      <c r="A21">
        <v>2036</v>
      </c>
      <c r="B21">
        <f>Case!$C$11*'Elec str'!G19</f>
        <v>5346.2143092569022</v>
      </c>
      <c r="C21">
        <f>Case!$B$13/Infrastructure!B20</f>
        <v>959.22454001563756</v>
      </c>
      <c r="D21">
        <f>Feed!H18</f>
        <v>1642.1224869363512</v>
      </c>
      <c r="E21">
        <f>B21+C21+D21+Case!$B$19</f>
        <v>8366.3728659789485</v>
      </c>
      <c r="F21">
        <v>2036</v>
      </c>
      <c r="G21">
        <f>E21/Speed!B19/Temperature!B18</f>
        <v>6695.2407698295001</v>
      </c>
      <c r="H21">
        <f>G21*Temperature!B18</f>
        <v>6338.1612621052636</v>
      </c>
    </row>
    <row r="22" spans="1:19" x14ac:dyDescent="0.3">
      <c r="A22">
        <v>2037</v>
      </c>
      <c r="B22">
        <f>Case!$C$11*'Elec str'!G20</f>
        <v>5220.5085413008983</v>
      </c>
      <c r="C22">
        <f>Case!$B$13/Infrastructure!B21</f>
        <v>946.76707845699298</v>
      </c>
      <c r="D22">
        <f>Feed!H19</f>
        <v>1581.9605116468886</v>
      </c>
      <c r="E22">
        <f>B22+C22+D22+Case!$B$19</f>
        <v>8168.0476611748372</v>
      </c>
      <c r="F22">
        <v>2037</v>
      </c>
      <c r="G22">
        <f>E22/Speed!B20/Temperature!B19</f>
        <v>6461.7222149476547</v>
      </c>
      <c r="H22">
        <f>G22*Temperature!B19</f>
        <v>6095.5579561006243</v>
      </c>
    </row>
    <row r="23" spans="1:19" x14ac:dyDescent="0.3">
      <c r="A23">
        <v>2038</v>
      </c>
      <c r="B23">
        <f>Case!$C$11*'Elec str'!G21</f>
        <v>5094.8027733448944</v>
      </c>
      <c r="C23">
        <f>Case!$B$13/Infrastructure!B22</f>
        <v>934.62903898959564</v>
      </c>
      <c r="D23">
        <f>Feed!H20</f>
        <v>1521.7985363574257</v>
      </c>
      <c r="E23">
        <f>B23+C23+D23+Case!$B$19</f>
        <v>7970.0418784619733</v>
      </c>
      <c r="F23">
        <v>2038</v>
      </c>
      <c r="G23">
        <f>E23/Speed!B21/Temperature!B20</f>
        <v>6234.3882028019143</v>
      </c>
      <c r="H23">
        <f>G23*Temperature!B20</f>
        <v>5860.3249106338035</v>
      </c>
    </row>
    <row r="24" spans="1:19" x14ac:dyDescent="0.3">
      <c r="A24">
        <v>2039</v>
      </c>
      <c r="B24">
        <f>Case!$C$11*'Elec str'!G22</f>
        <v>4969.0970053888923</v>
      </c>
      <c r="C24">
        <f>Case!$B$13/Infrastructure!B23</f>
        <v>922.79829166061347</v>
      </c>
      <c r="D24">
        <f>Feed!H21</f>
        <v>1461.6365610679632</v>
      </c>
      <c r="E24">
        <f>B24+C24+D24+Case!$B$19</f>
        <v>7772.3433878875267</v>
      </c>
      <c r="F24">
        <v>2039</v>
      </c>
      <c r="G24">
        <f>E24/Speed!B22/Temperature!B21</f>
        <v>6012.9532631034508</v>
      </c>
      <c r="H24">
        <f>G24*Temperature!B21</f>
        <v>5632.1328897735693</v>
      </c>
      <c r="K24" t="str">
        <f>Case!A2</f>
        <v>Feed</v>
      </c>
      <c r="L24">
        <f>Case!B2</f>
        <v>2604.7140915677546</v>
      </c>
    </row>
    <row r="25" spans="1:19" x14ac:dyDescent="0.3">
      <c r="A25" s="22">
        <v>2040</v>
      </c>
      <c r="B25" s="22">
        <f>Case!$C$11*'Elec str'!G23</f>
        <v>4843.3912374328847</v>
      </c>
      <c r="C25" s="22">
        <f>Case!$B$13/Infrastructure!B24</f>
        <v>911.26331301485584</v>
      </c>
      <c r="D25" s="22">
        <f>Feed!H22</f>
        <v>1401.4745857785003</v>
      </c>
      <c r="E25" s="22">
        <f>B25+C25+D25+Case!$B$19</f>
        <v>7574.9406659962988</v>
      </c>
      <c r="F25" s="22">
        <v>2040</v>
      </c>
      <c r="G25" s="22">
        <f>E25/Speed!B23/Temperature!B22</f>
        <v>5797.1484688747132</v>
      </c>
      <c r="H25">
        <f>G25*Temperature!B22</f>
        <v>5410.67190428307</v>
      </c>
      <c r="K25" t="str">
        <f>Case!A3</f>
        <v>Energy</v>
      </c>
      <c r="L25">
        <f>Case!B3</f>
        <v>6882.9122618300544</v>
      </c>
    </row>
    <row r="26" spans="1:19" x14ac:dyDescent="0.3">
      <c r="A26">
        <v>2041</v>
      </c>
      <c r="B26">
        <f>Case!$C$11*'Elec str'!G24</f>
        <v>4652.3726013006863</v>
      </c>
      <c r="C26">
        <f>Case!$B$13/Infrastructure!B25</f>
        <v>900.01314865664779</v>
      </c>
      <c r="D26">
        <f>Feed!H23</f>
        <v>1341.3126104890378</v>
      </c>
      <c r="E26">
        <f>B26+C26+D26+Case!$B$19</f>
        <v>7312.50989021643</v>
      </c>
      <c r="F26">
        <v>2041</v>
      </c>
      <c r="G26">
        <f>E26/Speed!B24/Temperature!B23</f>
        <v>5537.2632820054696</v>
      </c>
      <c r="H26">
        <f>G26*Temperature!B23</f>
        <v>5149.654852265091</v>
      </c>
      <c r="K26" t="str">
        <f>Case!A4</f>
        <v>Infrastructure</v>
      </c>
      <c r="L26">
        <f>Case!B4</f>
        <v>1215.0177506864734</v>
      </c>
    </row>
    <row r="27" spans="1:19" x14ac:dyDescent="0.3">
      <c r="A27">
        <v>2042</v>
      </c>
      <c r="B27">
        <f>Case!$C$11*'Elec str'!G25</f>
        <v>4461.3539651684887</v>
      </c>
      <c r="C27">
        <f>Case!$B$13/Infrastructure!B26</f>
        <v>889.03737855107897</v>
      </c>
      <c r="D27">
        <f>Feed!H24</f>
        <v>1281.1506351995749</v>
      </c>
      <c r="E27">
        <f>B27+C27+D27+Case!$B$19</f>
        <v>7050.3535086892007</v>
      </c>
      <c r="F27">
        <v>2042</v>
      </c>
      <c r="G27">
        <f>E27/Speed!B25/Temperature!B24</f>
        <v>5283.5383008761946</v>
      </c>
      <c r="H27">
        <f>G27*Temperature!B24</f>
        <v>4896.0788254786112</v>
      </c>
      <c r="K27" t="str">
        <f>Case!A5</f>
        <v>Equipment</v>
      </c>
      <c r="L27">
        <f>Case!B5</f>
        <v>7.5840311458256454E-2</v>
      </c>
      <c r="M27">
        <f>L27/L31</f>
        <v>1.8108458355932803E-4</v>
      </c>
    </row>
    <row r="28" spans="1:19" x14ac:dyDescent="0.3">
      <c r="A28">
        <v>2043</v>
      </c>
      <c r="B28">
        <f>Case!$C$11*'Elec str'!G26</f>
        <v>4270.3353290362911</v>
      </c>
      <c r="C28">
        <f>Case!$B$13/Infrastructure!B27</f>
        <v>878.32608483359604</v>
      </c>
      <c r="D28">
        <f>Feed!H25</f>
        <v>1220.9886599101121</v>
      </c>
      <c r="E28">
        <f>B28+C28+D28+Case!$B$19</f>
        <v>6788.4616035500567</v>
      </c>
      <c r="F28">
        <v>2043</v>
      </c>
      <c r="G28">
        <f>E28/Speed!B26/Temperature!B25</f>
        <v>5035.7016988898058</v>
      </c>
      <c r="H28">
        <f>G28*Temperature!B25</f>
        <v>4649.6312353082576</v>
      </c>
      <c r="K28" t="str">
        <f>Case!A6</f>
        <v>Transport</v>
      </c>
      <c r="L28">
        <f>Case!B6</f>
        <v>418.73568945860188</v>
      </c>
      <c r="M28">
        <f>L28/L31</f>
        <v>0.99981891541644063</v>
      </c>
    </row>
    <row r="29" spans="1:19" x14ac:dyDescent="0.3">
      <c r="A29">
        <v>2044</v>
      </c>
      <c r="B29">
        <f>Case!$C$11*'Elec str'!G27</f>
        <v>4079.3166929040935</v>
      </c>
      <c r="C29">
        <f>Case!$B$13/Infrastructure!B28</f>
        <v>867.86982191891047</v>
      </c>
      <c r="D29">
        <f>Feed!H26</f>
        <v>1160.8266846206495</v>
      </c>
      <c r="E29">
        <f>B29+C29+D29+Case!$B$19</f>
        <v>6526.8247292137121</v>
      </c>
      <c r="F29">
        <v>2044</v>
      </c>
      <c r="G29">
        <f>E29/Speed!B27/Temperature!B26</f>
        <v>4793.4964227480204</v>
      </c>
      <c r="H29">
        <f>G29*Temperature!B26</f>
        <v>4410.0167089281831</v>
      </c>
      <c r="K29" t="str">
        <f>Case!A8</f>
        <v>CF (no seaweed)</v>
      </c>
      <c r="L29">
        <f>SUM(L24:L28)</f>
        <v>11121.455633854341</v>
      </c>
    </row>
    <row r="30" spans="1:19" x14ac:dyDescent="0.3">
      <c r="A30" s="29">
        <v>2045</v>
      </c>
      <c r="B30" s="29">
        <f>Case!$C$11*'Elec str'!G28</f>
        <v>3888.2980567718951</v>
      </c>
      <c r="C30" s="29">
        <f>Case!$B$13/Infrastructure!B29</f>
        <v>857.65958871986447</v>
      </c>
      <c r="D30" s="29">
        <f>Feed!H27</f>
        <v>1100.6647093311867</v>
      </c>
      <c r="E30" s="29">
        <f>B30+C30+D30+Case!$B$19</f>
        <v>6265.4338845930042</v>
      </c>
      <c r="F30" s="29">
        <v>2045</v>
      </c>
      <c r="G30" s="29">
        <f>E30/Speed!B28/Temperature!B27</f>
        <v>4556.6791887949075</v>
      </c>
      <c r="H30">
        <f>G30*Temperature!B27</f>
        <v>4176.9559230620025</v>
      </c>
    </row>
    <row r="31" spans="1:19" x14ac:dyDescent="0.3">
      <c r="A31">
        <v>2046</v>
      </c>
      <c r="B31">
        <f>Case!$C$11*'Elec str'!G29</f>
        <v>3697.2794206396975</v>
      </c>
      <c r="C31">
        <f>Case!$B$13/Infrastructure!B30</f>
        <v>847.68680280451724</v>
      </c>
      <c r="D31">
        <f>Feed!H28</f>
        <v>1040.5027340417241</v>
      </c>
      <c r="E31" s="32">
        <f>B31+C31+D31+Case!$B$19</f>
        <v>6004.2804872559964</v>
      </c>
      <c r="F31">
        <v>2046</v>
      </c>
      <c r="G31">
        <f>E31/Speed!B29/Temperature!B28</f>
        <v>4325.0195595870073</v>
      </c>
      <c r="H31">
        <f>G31*Temperature!B28</f>
        <v>3950.1845310894705</v>
      </c>
      <c r="K31" t="s">
        <v>76</v>
      </c>
      <c r="L31">
        <f>L27+L28</f>
        <v>418.81152977006013</v>
      </c>
    </row>
    <row r="32" spans="1:19" x14ac:dyDescent="0.3">
      <c r="A32">
        <v>2047</v>
      </c>
      <c r="B32">
        <f>Case!$C$11*'Elec str'!G30</f>
        <v>3506.2607845074999</v>
      </c>
      <c r="C32">
        <f>Case!$B$13/Infrastructure!B31</f>
        <v>837.94327633549983</v>
      </c>
      <c r="D32">
        <f>Feed!H29</f>
        <v>980.34075875226131</v>
      </c>
      <c r="E32" s="32">
        <f>B32+C32+D32+Case!$B$19</f>
        <v>5743.3563493653191</v>
      </c>
      <c r="F32">
        <v>2047</v>
      </c>
      <c r="G32">
        <f>E32/Speed!B30/Temperature!B29</f>
        <v>4098.2990933104838</v>
      </c>
      <c r="H32">
        <f>G32*Temperature!B29</f>
        <v>3729.4521749125443</v>
      </c>
    </row>
    <row r="33" spans="1:13" x14ac:dyDescent="0.3">
      <c r="A33">
        <v>2048</v>
      </c>
      <c r="B33">
        <f>Case!$C$11*'Elec str'!G31</f>
        <v>3315.2421483753014</v>
      </c>
      <c r="C33">
        <f>Case!$B$13/Infrastructure!B32</f>
        <v>828.42119364986911</v>
      </c>
      <c r="D33">
        <f>Feed!H30</f>
        <v>920.17878346279872</v>
      </c>
      <c r="E33" s="32">
        <f>B33+C33+D33+Case!$B$19</f>
        <v>5482.6536552580274</v>
      </c>
      <c r="F33">
        <v>2048</v>
      </c>
      <c r="G33">
        <f>E33/Speed!B31/Temperature!B30</f>
        <v>3876.3105594301619</v>
      </c>
      <c r="H33">
        <f>G33*Temperature!B30</f>
        <v>3514.5215738833504</v>
      </c>
    </row>
    <row r="34" spans="1:13" x14ac:dyDescent="0.3">
      <c r="A34">
        <v>2049</v>
      </c>
      <c r="B34">
        <f>Case!$C$11*'Elec str'!G32</f>
        <v>3124.2235122431034</v>
      </c>
      <c r="C34">
        <f>Case!$B$13/Infrastructure!B33</f>
        <v>819.11309035043246</v>
      </c>
      <c r="D34">
        <f>Feed!H31</f>
        <v>860.01680817333602</v>
      </c>
      <c r="E34" s="32">
        <f>B34+C34+D34+Case!$B$19</f>
        <v>5222.1649405369299</v>
      </c>
      <c r="F34">
        <v>2049</v>
      </c>
      <c r="G34">
        <f>E34/Speed!B32/Temperature!B31</f>
        <v>3658.8572146318766</v>
      </c>
      <c r="H34">
        <f>G34*Temperature!B31</f>
        <v>3305.1676838841322</v>
      </c>
    </row>
    <row r="35" spans="1:13" x14ac:dyDescent="0.3">
      <c r="A35" s="22">
        <v>2050</v>
      </c>
      <c r="B35" s="22">
        <f>Case!$C$11*'Elec str'!G33</f>
        <v>2933.2048761109077</v>
      </c>
      <c r="C35" s="22">
        <f>Case!$B$13/Infrastructure!B34</f>
        <v>810.01183379098222</v>
      </c>
      <c r="D35" s="22">
        <f>Feed!H32</f>
        <v>799.85483288387729</v>
      </c>
      <c r="E35" s="22">
        <f>B35+C35+D35+Case!$B$19</f>
        <v>4961.8830725558246</v>
      </c>
      <c r="F35" s="22">
        <v>2050</v>
      </c>
      <c r="G35" s="22">
        <f>E35/Speed!B33/Temperature!B32</f>
        <v>3445.7521337193216</v>
      </c>
      <c r="H35">
        <f>G35*Temperature!B32</f>
        <v>3101.1769203473896</v>
      </c>
    </row>
    <row r="40" spans="1:13" x14ac:dyDescent="0.3">
      <c r="A40" t="s">
        <v>63</v>
      </c>
      <c r="B40" t="s">
        <v>13</v>
      </c>
      <c r="C40" t="s">
        <v>31</v>
      </c>
      <c r="D40" t="s">
        <v>70</v>
      </c>
      <c r="E40" t="s">
        <v>18</v>
      </c>
    </row>
    <row r="41" spans="1:13" x14ac:dyDescent="0.3">
      <c r="A41" s="22">
        <v>2020</v>
      </c>
      <c r="B41">
        <f>B5/Speed!$B3/Temperature!$B2</f>
        <v>6882.9122618300544</v>
      </c>
      <c r="C41">
        <f>C5/Speed!$B3/Temperature!$B2</f>
        <v>1215.0177506864734</v>
      </c>
      <c r="D41">
        <f>D5/Speed!$B3/Temperature!$B2</f>
        <v>2604.7140915677546</v>
      </c>
      <c r="E41">
        <f>G5-B41-C41-D41</f>
        <v>418.81152977005831</v>
      </c>
    </row>
    <row r="42" spans="1:13" x14ac:dyDescent="0.3">
      <c r="A42">
        <v>2021</v>
      </c>
      <c r="B42">
        <f>B6/Speed!$B4/Temperature!$B3</f>
        <v>6693.5529484028539</v>
      </c>
      <c r="C42">
        <f>C6/Speed!$B4/Temperature!$B3</f>
        <v>1175.5847205437024</v>
      </c>
      <c r="D42">
        <f>D6/Speed!$B4/Temperature!$B3</f>
        <v>2503.0022784559233</v>
      </c>
      <c r="E42">
        <f t="shared" ref="E42:E71" si="0">G6-B42-C42-D42</f>
        <v>411.97278159556936</v>
      </c>
    </row>
    <row r="43" spans="1:13" x14ac:dyDescent="0.3">
      <c r="A43">
        <v>2022</v>
      </c>
      <c r="B43">
        <f>B7/Speed!$B5/Temperature!$B4</f>
        <v>6511.1186043455991</v>
      </c>
      <c r="C43">
        <f>C7/Speed!$B5/Temperature!$B4</f>
        <v>1138.1875610124423</v>
      </c>
      <c r="D43">
        <f>D7/Speed!$B5/Temperature!$B4</f>
        <v>2404.8691349272349</v>
      </c>
      <c r="E43">
        <f t="shared" si="0"/>
        <v>405.40610135201678</v>
      </c>
    </row>
    <row r="44" spans="1:13" x14ac:dyDescent="0.3">
      <c r="A44">
        <v>2023</v>
      </c>
      <c r="B44">
        <f>B8/Speed!$B6/Temperature!$B5</f>
        <v>6335.2137015236458</v>
      </c>
      <c r="C44">
        <f>C8/Speed!$B6/Temperature!$B5</f>
        <v>1102.6870235930496</v>
      </c>
      <c r="D44">
        <f>D8/Speed!$B6/Temperature!$B5</f>
        <v>2310.1087914040077</v>
      </c>
      <c r="E44">
        <f t="shared" si="0"/>
        <v>399.09617854970111</v>
      </c>
      <c r="F44" t="s">
        <v>61</v>
      </c>
      <c r="G44">
        <v>2020</v>
      </c>
      <c r="H44">
        <v>2025</v>
      </c>
      <c r="I44">
        <v>2030</v>
      </c>
      <c r="J44">
        <v>2035</v>
      </c>
      <c r="K44">
        <v>2040</v>
      </c>
      <c r="L44">
        <v>2045</v>
      </c>
      <c r="M44">
        <v>2050</v>
      </c>
    </row>
    <row r="45" spans="1:13" x14ac:dyDescent="0.3">
      <c r="A45">
        <v>2024</v>
      </c>
      <c r="B45">
        <f>B9/Speed!$B7/Temperature!$B6</f>
        <v>6165.4719631148655</v>
      </c>
      <c r="C45">
        <f>C9/Speed!$B7/Temperature!$B6</f>
        <v>1068.9556505898729</v>
      </c>
      <c r="D45">
        <f>D9/Speed!$B7/Temperature!$B6</f>
        <v>2218.5305840933784</v>
      </c>
      <c r="E45">
        <f t="shared" si="0"/>
        <v>393.02883799742585</v>
      </c>
      <c r="F45" s="3" t="s">
        <v>37</v>
      </c>
      <c r="G45">
        <f>B41</f>
        <v>6882.9122618300544</v>
      </c>
      <c r="H45">
        <f>B46</f>
        <v>6001.5537036161677</v>
      </c>
      <c r="I45">
        <f>B51</f>
        <v>5259.0076870628636</v>
      </c>
      <c r="J45">
        <f>B56</f>
        <v>4430.7045159618647</v>
      </c>
      <c r="K45">
        <f>B61</f>
        <v>3706.6769674231227</v>
      </c>
      <c r="L45">
        <f>B66</f>
        <v>2827.8531321977384</v>
      </c>
      <c r="M45">
        <f>B71</f>
        <v>2036.9478306325743</v>
      </c>
    </row>
    <row r="46" spans="1:13" x14ac:dyDescent="0.3">
      <c r="A46" s="29">
        <v>2025</v>
      </c>
      <c r="B46">
        <f>B10/Speed!$B8/Temperature!$B7</f>
        <v>6001.5537036161677</v>
      </c>
      <c r="C46">
        <f>C10/Speed!$B8/Temperature!$B7</f>
        <v>1036.8765917912301</v>
      </c>
      <c r="D46">
        <f>D10/Speed!$B8/Temperature!$B7</f>
        <v>2129.957671914121</v>
      </c>
      <c r="E46">
        <f t="shared" si="0"/>
        <v>387.19093661330317</v>
      </c>
      <c r="F46" s="3" t="s">
        <v>60</v>
      </c>
      <c r="G46">
        <f>C41+E41*M27</f>
        <v>1215.0935909979316</v>
      </c>
      <c r="H46">
        <f>C46+E46*M27</f>
        <v>1036.9467061007447</v>
      </c>
      <c r="I46">
        <f>C51+E51*M27</f>
        <v>897.8617470811638</v>
      </c>
      <c r="J46">
        <f>C56+E56*M27</f>
        <v>787.11744199241866</v>
      </c>
      <c r="K46">
        <f>C61+E61*M27</f>
        <v>697.45343366809686</v>
      </c>
      <c r="L46">
        <f>C66+E66*M27</f>
        <v>623.80758475005223</v>
      </c>
      <c r="M46">
        <f>C71+E71*M27</f>
        <v>562.56088479336142</v>
      </c>
    </row>
    <row r="47" spans="1:13" x14ac:dyDescent="0.3">
      <c r="A47">
        <v>2026</v>
      </c>
      <c r="B47">
        <f>B11/Speed!$B9/Temperature!$B8</f>
        <v>5843.1434538336125</v>
      </c>
      <c r="C47">
        <f>C11/Speed!$B9/Temperature!$B8</f>
        <v>1006.3425578837077</v>
      </c>
      <c r="D47">
        <f>D11/Speed!$B9/Temperature!$B8</f>
        <v>2044.2258015952787</v>
      </c>
      <c r="E47">
        <f t="shared" si="0"/>
        <v>381.57027129196263</v>
      </c>
      <c r="F47" s="3" t="s">
        <v>38</v>
      </c>
      <c r="G47">
        <f>E41*M28</f>
        <v>418.73568945860006</v>
      </c>
      <c r="H47">
        <f>E46*M28</f>
        <v>387.1208223037886</v>
      </c>
      <c r="I47">
        <f>E51*M28</f>
        <v>360.97904263672388</v>
      </c>
      <c r="J47">
        <f>E56*M28</f>
        <v>339.05723842801558</v>
      </c>
      <c r="K47">
        <f>E61*M28</f>
        <v>320.46098683056061</v>
      </c>
      <c r="L47">
        <f>E66*M28</f>
        <v>304.53504687898203</v>
      </c>
      <c r="M47">
        <f>E71*M28</f>
        <v>290.78867323513788</v>
      </c>
    </row>
    <row r="48" spans="1:13" x14ac:dyDescent="0.3">
      <c r="A48">
        <v>2027</v>
      </c>
      <c r="B48">
        <f>B12/Speed!$B10/Temperature!$B9</f>
        <v>5689.9478358577871</v>
      </c>
      <c r="C48">
        <f>C12/Speed!$B10/Temperature!$B9</f>
        <v>977.25489278756743</v>
      </c>
      <c r="D48">
        <f>D12/Speed!$B10/Temperature!$B9</f>
        <v>1961.1822027496989</v>
      </c>
      <c r="E48">
        <f t="shared" si="0"/>
        <v>376.15549647032526</v>
      </c>
      <c r="F48" s="3" t="s">
        <v>49</v>
      </c>
      <c r="G48">
        <f>D41</f>
        <v>2604.7140915677546</v>
      </c>
      <c r="H48">
        <f>D46</f>
        <v>2129.957671914121</v>
      </c>
      <c r="I48">
        <f>D51</f>
        <v>1726.8054643733851</v>
      </c>
      <c r="J48">
        <f>D56</f>
        <v>1378.3679856079459</v>
      </c>
      <c r="K48">
        <f>D61</f>
        <v>1072.5570809529329</v>
      </c>
      <c r="L48">
        <f>D66</f>
        <v>800.48342496813484</v>
      </c>
      <c r="M48">
        <f>D71</f>
        <v>555.45474505824802</v>
      </c>
    </row>
    <row r="49" spans="1:21" x14ac:dyDescent="0.3">
      <c r="A49">
        <v>2028</v>
      </c>
      <c r="B49">
        <f>B13/Speed!$B11/Temperature!$B10</f>
        <v>5541.6936578534014</v>
      </c>
      <c r="C49">
        <f>C13/Speed!$B11/Temperature!$B10</f>
        <v>949.52274967509697</v>
      </c>
      <c r="D49">
        <f>D13/Speed!$B11/Temperature!$B10</f>
        <v>1880.6845972355209</v>
      </c>
      <c r="E49">
        <f t="shared" si="0"/>
        <v>370.93605022147085</v>
      </c>
      <c r="O49" s="16" t="s">
        <v>34</v>
      </c>
    </row>
    <row r="50" spans="1:21" x14ac:dyDescent="0.3">
      <c r="A50">
        <v>2029</v>
      </c>
      <c r="B50">
        <f>B14/Speed!$B12/Temperature!$B11</f>
        <v>5398.1262025831147</v>
      </c>
      <c r="C50">
        <f>C14/Speed!$B12/Temperature!$B11</f>
        <v>923.0623576008885</v>
      </c>
      <c r="D50">
        <f>D14/Speed!$B12/Temperature!$B11</f>
        <v>1802.6003092456656</v>
      </c>
      <c r="E50">
        <f t="shared" si="0"/>
        <v>365.90208786480639</v>
      </c>
      <c r="G50">
        <f>SUM(G45:G48)</f>
        <v>11121.455633854341</v>
      </c>
      <c r="H50">
        <f t="shared" ref="H50:M50" si="1">SUM(H45:H48)</f>
        <v>9555.5789039348219</v>
      </c>
      <c r="I50">
        <f t="shared" si="1"/>
        <v>8244.6539411541362</v>
      </c>
      <c r="J50">
        <f t="shared" si="1"/>
        <v>6935.2471819902457</v>
      </c>
      <c r="K50">
        <f t="shared" si="1"/>
        <v>5797.1484688747132</v>
      </c>
      <c r="L50">
        <f t="shared" si="1"/>
        <v>4556.6791887949075</v>
      </c>
      <c r="M50">
        <f t="shared" si="1"/>
        <v>3445.752133719322</v>
      </c>
      <c r="O50" s="13">
        <v>-23.87</v>
      </c>
    </row>
    <row r="51" spans="1:21" x14ac:dyDescent="0.3">
      <c r="A51" s="22">
        <v>2030</v>
      </c>
      <c r="B51">
        <f>B15/Speed!$B13/Temperature!$B12</f>
        <v>5259.0076870628636</v>
      </c>
      <c r="C51">
        <f>C15/Speed!$B13/Temperature!$B12</f>
        <v>897.79636750232044</v>
      </c>
      <c r="D51">
        <f>D15/Speed!$B13/Temperature!$B12</f>
        <v>1726.8054643733851</v>
      </c>
      <c r="E51">
        <f t="shared" si="0"/>
        <v>361.04442221556724</v>
      </c>
    </row>
    <row r="52" spans="1:21" x14ac:dyDescent="0.3">
      <c r="A52">
        <v>2031</v>
      </c>
      <c r="B52">
        <f>B16/Speed!$B14/Temperature!$B13</f>
        <v>5083.7340311732805</v>
      </c>
      <c r="C52">
        <f>C16/Speed!$B14/Temperature!$B13</f>
        <v>873.65326787713445</v>
      </c>
      <c r="D52">
        <f>D16/Speed!$B14/Temperature!$B13</f>
        <v>1653.1842674431314</v>
      </c>
      <c r="E52">
        <f t="shared" si="0"/>
        <v>356.3544697118864</v>
      </c>
    </row>
    <row r="53" spans="1:21" x14ac:dyDescent="0.3">
      <c r="A53">
        <v>2032</v>
      </c>
      <c r="B53">
        <f>B17/Speed!$B15/Temperature!$B14</f>
        <v>4913.5058644832952</v>
      </c>
      <c r="C53">
        <f>C17/Speed!$B15/Temperature!$B14</f>
        <v>850.56686175968423</v>
      </c>
      <c r="D53">
        <f>D17/Speed!$B15/Temperature!$B14</f>
        <v>1581.6283502135429</v>
      </c>
      <c r="E53">
        <f t="shared" si="0"/>
        <v>351.82420175576181</v>
      </c>
      <c r="F53" t="s">
        <v>64</v>
      </c>
      <c r="G53">
        <v>2020</v>
      </c>
      <c r="H53">
        <v>2025</v>
      </c>
      <c r="I53">
        <v>2030</v>
      </c>
      <c r="J53">
        <v>2035</v>
      </c>
      <c r="K53">
        <v>2040</v>
      </c>
      <c r="L53">
        <v>2045</v>
      </c>
      <c r="M53">
        <v>2050</v>
      </c>
      <c r="O53" t="s">
        <v>111</v>
      </c>
    </row>
    <row r="54" spans="1:21" x14ac:dyDescent="0.3">
      <c r="A54">
        <v>2033</v>
      </c>
      <c r="B54">
        <f>B18/Speed!$B16/Temperature!$B15</f>
        <v>4748.0766659406918</v>
      </c>
      <c r="C54">
        <f>C18/Speed!$B16/Temperature!$B15</f>
        <v>828.47579773653729</v>
      </c>
      <c r="D54">
        <f>D18/Speed!$B16/Temperature!$B15</f>
        <v>1512.0361811886003</v>
      </c>
      <c r="E54">
        <f t="shared" si="0"/>
        <v>347.44610068861402</v>
      </c>
      <c r="F54" s="3" t="s">
        <v>37</v>
      </c>
      <c r="G54">
        <f>G45+O55</f>
        <v>6882.9122618300544</v>
      </c>
      <c r="H54">
        <f t="shared" ref="H54:M54" si="2">H45+P55</f>
        <v>6741.9390570898231</v>
      </c>
      <c r="I54">
        <f t="shared" si="2"/>
        <v>6650.5373427649311</v>
      </c>
      <c r="J54">
        <f t="shared" si="2"/>
        <v>6302.9451898891748</v>
      </c>
      <c r="K54">
        <f t="shared" si="2"/>
        <v>5916.25945315848</v>
      </c>
      <c r="L54">
        <f t="shared" si="2"/>
        <v>5045.1825983683557</v>
      </c>
      <c r="M54">
        <f t="shared" si="2"/>
        <v>4044.1648208390206</v>
      </c>
      <c r="O54">
        <v>2020</v>
      </c>
      <c r="P54">
        <v>2025</v>
      </c>
      <c r="Q54">
        <v>2030</v>
      </c>
      <c r="R54">
        <v>2035</v>
      </c>
      <c r="S54">
        <v>2040</v>
      </c>
      <c r="T54">
        <v>2045</v>
      </c>
      <c r="U54">
        <v>2050</v>
      </c>
    </row>
    <row r="55" spans="1:21" x14ac:dyDescent="0.3">
      <c r="A55">
        <v>2034</v>
      </c>
      <c r="B55">
        <f>B19/Speed!$B17/Temperature!$B16</f>
        <v>4587.2152358792391</v>
      </c>
      <c r="C55">
        <f>C19/Speed!$B17/Temperature!$B16</f>
        <v>807.32314869724701</v>
      </c>
      <c r="D55">
        <f>D19/Speed!$B17/Temperature!$B16</f>
        <v>1444.3125307435059</v>
      </c>
      <c r="E55">
        <f t="shared" si="0"/>
        <v>343.21311989460446</v>
      </c>
      <c r="F55" s="3" t="s">
        <v>60</v>
      </c>
      <c r="G55">
        <f t="shared" ref="G55:M56" si="3">G46</f>
        <v>1215.0935909979316</v>
      </c>
      <c r="H55">
        <f t="shared" si="3"/>
        <v>1036.9467061007447</v>
      </c>
      <c r="I55">
        <f t="shared" si="3"/>
        <v>897.8617470811638</v>
      </c>
      <c r="J55">
        <f t="shared" si="3"/>
        <v>787.11744199241866</v>
      </c>
      <c r="K55">
        <f t="shared" si="3"/>
        <v>697.45343366809686</v>
      </c>
      <c r="L55">
        <f t="shared" si="3"/>
        <v>623.80758475005223</v>
      </c>
      <c r="M55">
        <f t="shared" si="3"/>
        <v>562.56088479336142</v>
      </c>
      <c r="O55">
        <f>Temperature!L2*Production!B3</f>
        <v>0</v>
      </c>
      <c r="P55">
        <f>Temperature!L7</f>
        <v>740.38535347365507</v>
      </c>
      <c r="Q55">
        <f>Temperature!L12</f>
        <v>1391.5296557020677</v>
      </c>
      <c r="R55">
        <f>Temperature!L17</f>
        <v>1872.2406739273104</v>
      </c>
      <c r="S55">
        <f>Temperature!L22</f>
        <v>2209.5824857353568</v>
      </c>
      <c r="T55">
        <f>Temperature!L27</f>
        <v>2217.3294661706177</v>
      </c>
      <c r="U55">
        <f>Temperature!L32</f>
        <v>2007.2169902064463</v>
      </c>
    </row>
    <row r="56" spans="1:21" x14ac:dyDescent="0.3">
      <c r="A56" s="30">
        <v>2035</v>
      </c>
      <c r="B56">
        <f>B20/Speed!$B18/Temperature!$B17</f>
        <v>4430.7045159618647</v>
      </c>
      <c r="C56">
        <f>C20/Speed!$B18/Temperature!$B17</f>
        <v>787.05603283334312</v>
      </c>
      <c r="D56">
        <f>D20/Speed!$B18/Temperature!$B17</f>
        <v>1378.3679856079459</v>
      </c>
      <c r="E56">
        <f t="shared" si="0"/>
        <v>339.11864758709112</v>
      </c>
      <c r="F56" s="3" t="s">
        <v>38</v>
      </c>
      <c r="G56">
        <f t="shared" si="3"/>
        <v>418.73568945860006</v>
      </c>
      <c r="H56">
        <f t="shared" si="3"/>
        <v>387.1208223037886</v>
      </c>
      <c r="I56">
        <f t="shared" si="3"/>
        <v>360.97904263672388</v>
      </c>
      <c r="J56">
        <f t="shared" si="3"/>
        <v>339.05723842801558</v>
      </c>
      <c r="K56">
        <f t="shared" si="3"/>
        <v>320.46098683056061</v>
      </c>
      <c r="L56">
        <f t="shared" si="3"/>
        <v>304.53504687898203</v>
      </c>
      <c r="M56">
        <f t="shared" si="3"/>
        <v>290.78867323513788</v>
      </c>
    </row>
    <row r="57" spans="1:21" x14ac:dyDescent="0.3">
      <c r="A57">
        <v>2036</v>
      </c>
      <c r="B57">
        <f>B21/Speed!$B19/Temperature!$B18</f>
        <v>4278.3405163707575</v>
      </c>
      <c r="C57">
        <f>C21/Speed!$B19/Temperature!$B18</f>
        <v>767.62527209958137</v>
      </c>
      <c r="D57">
        <f>D21/Speed!$B19/Temperature!$B18</f>
        <v>1314.118507471471</v>
      </c>
      <c r="E57">
        <f t="shared" si="0"/>
        <v>335.15647388769025</v>
      </c>
      <c r="F57" s="3" t="s">
        <v>39</v>
      </c>
      <c r="G57">
        <f>G48+$O$50</f>
        <v>2580.8440915677547</v>
      </c>
      <c r="H57">
        <f t="shared" ref="H57:M57" si="4">H48+$O$50</f>
        <v>2106.0876719141211</v>
      </c>
      <c r="I57">
        <f t="shared" si="4"/>
        <v>1702.9354643733852</v>
      </c>
      <c r="J57">
        <f t="shared" si="4"/>
        <v>1354.497985607946</v>
      </c>
      <c r="K57">
        <f t="shared" si="4"/>
        <v>1048.687080952933</v>
      </c>
      <c r="L57">
        <f t="shared" si="4"/>
        <v>776.61342496813484</v>
      </c>
      <c r="M57">
        <f t="shared" si="4"/>
        <v>531.58474505824802</v>
      </c>
    </row>
    <row r="58" spans="1:21" x14ac:dyDescent="0.3">
      <c r="A58">
        <v>2037</v>
      </c>
      <c r="B58">
        <f>B22/Speed!$B20/Temperature!$B19</f>
        <v>4129.9313390387333</v>
      </c>
      <c r="C58">
        <f>C22/Speed!$B20/Temperature!$B19</f>
        <v>748.98508395416297</v>
      </c>
      <c r="D58">
        <f>D22/Speed!$B20/Temperature!$B19</f>
        <v>1251.4850311008552</v>
      </c>
      <c r="E58">
        <f t="shared" si="0"/>
        <v>331.32076085390327</v>
      </c>
    </row>
    <row r="59" spans="1:21" x14ac:dyDescent="0.3">
      <c r="A59">
        <v>2038</v>
      </c>
      <c r="B59">
        <f>B23/Speed!$B21/Temperature!$B20</f>
        <v>3985.2962870344886</v>
      </c>
      <c r="C59">
        <f>C23/Speed!$B21/Temperature!$B20</f>
        <v>731.0928027140136</v>
      </c>
      <c r="D59">
        <f>D23/Speed!$B21/Temperature!$B20</f>
        <v>1190.3930979016152</v>
      </c>
      <c r="E59">
        <f t="shared" si="0"/>
        <v>327.60601515179701</v>
      </c>
    </row>
    <row r="60" spans="1:21" x14ac:dyDescent="0.3">
      <c r="A60">
        <v>2039</v>
      </c>
      <c r="B60">
        <f>B24/Speed!$B22/Temperature!$B21</f>
        <v>3844.2650513607368</v>
      </c>
      <c r="C60">
        <f>C24/Speed!$B22/Temperature!$B21</f>
        <v>713.90862730977312</v>
      </c>
      <c r="D60">
        <f>D24/Speed!$B22/Temperature!$B21</f>
        <v>1130.7725213275276</v>
      </c>
      <c r="E60">
        <f t="shared" si="0"/>
        <v>324.00706310541318</v>
      </c>
    </row>
    <row r="61" spans="1:21" x14ac:dyDescent="0.3">
      <c r="A61" s="22">
        <v>2040</v>
      </c>
      <c r="B61">
        <f>B25/Speed!$B23/Temperature!$B22</f>
        <v>3706.6769674231227</v>
      </c>
      <c r="C61">
        <f>C25/Speed!$B23/Temperature!$B22</f>
        <v>697.3953926134094</v>
      </c>
      <c r="D61">
        <f>D25/Speed!$B23/Temperature!$B22</f>
        <v>1072.5570809529329</v>
      </c>
      <c r="E61">
        <f t="shared" si="0"/>
        <v>320.51902788524808</v>
      </c>
    </row>
    <row r="62" spans="1:21" x14ac:dyDescent="0.3">
      <c r="A62">
        <v>2041</v>
      </c>
      <c r="B62">
        <f>B26/Speed!$B24/Temperature!$B23</f>
        <v>3522.9233691509025</v>
      </c>
      <c r="C62">
        <f>C26/Speed!$B24/Temperature!$B23</f>
        <v>681.51836184813487</v>
      </c>
      <c r="D62">
        <f>D26/Speed!$B24/Temperature!$B23</f>
        <v>1015.684242381521</v>
      </c>
      <c r="E62">
        <f t="shared" si="0"/>
        <v>317.13730862491116</v>
      </c>
    </row>
    <row r="63" spans="1:21" x14ac:dyDescent="0.3">
      <c r="A63">
        <v>2042</v>
      </c>
      <c r="B63">
        <f>B27/Speed!$B25/Temperature!$B24</f>
        <v>3343.3408012353748</v>
      </c>
      <c r="C63">
        <f>C27/Speed!$B25/Temperature!$B24</f>
        <v>666.24503788300228</v>
      </c>
      <c r="D63">
        <f>D27/Speed!$B25/Temperature!$B24</f>
        <v>960.09490047929683</v>
      </c>
      <c r="E63">
        <f t="shared" si="0"/>
        <v>313.85756127852085</v>
      </c>
    </row>
    <row r="64" spans="1:21" x14ac:dyDescent="0.3">
      <c r="A64">
        <v>2043</v>
      </c>
      <c r="B64">
        <f>B28/Speed!$B26/Temperature!$B25</f>
        <v>3167.747882673671</v>
      </c>
      <c r="C64">
        <f>C28/Speed!$B26/Temperature!$B25</f>
        <v>651.54499146945886</v>
      </c>
      <c r="D64">
        <f>D28/Speed!$B26/Temperature!$B25</f>
        <v>905.73314369475611</v>
      </c>
      <c r="E64">
        <f t="shared" si="0"/>
        <v>310.67568105191981</v>
      </c>
    </row>
    <row r="65" spans="1:5" x14ac:dyDescent="0.3">
      <c r="A65">
        <v>2044</v>
      </c>
      <c r="B65">
        <f>B29/Speed!$B27/Temperature!$B26</f>
        <v>2995.9728943185141</v>
      </c>
      <c r="C65">
        <f>C29/Speed!$B27/Temperature!$B26</f>
        <v>637.38970469955166</v>
      </c>
      <c r="D65">
        <f>D29/Speed!$B27/Temperature!$B26</f>
        <v>852.546037471099</v>
      </c>
      <c r="E65">
        <f t="shared" si="0"/>
        <v>307.58778625885566</v>
      </c>
    </row>
    <row r="66" spans="1:5" x14ac:dyDescent="0.3">
      <c r="A66" s="29">
        <v>2045</v>
      </c>
      <c r="B66">
        <f>B30/Speed!$B28/Temperature!$B27</f>
        <v>2827.8531321977384</v>
      </c>
      <c r="C66">
        <f>C30/Speed!$B28/Temperature!$B27</f>
        <v>623.75242815990077</v>
      </c>
      <c r="D66">
        <f>D30/Speed!$B28/Temperature!$B27</f>
        <v>800.48342496813484</v>
      </c>
      <c r="E66">
        <f t="shared" si="0"/>
        <v>304.59020346913348</v>
      </c>
    </row>
    <row r="67" spans="1:5" x14ac:dyDescent="0.3">
      <c r="A67">
        <v>2046</v>
      </c>
      <c r="B67">
        <f>B31/Speed!$B29/Temperature!$B28</f>
        <v>2663.2343118322797</v>
      </c>
      <c r="C67">
        <f>C31/Speed!$B29/Temperature!$B28</f>
        <v>610.60805042584252</v>
      </c>
      <c r="D67">
        <f>D31/Speed!$B29/Temperature!$B28</f>
        <v>749.49774349912809</v>
      </c>
      <c r="E67">
        <f t="shared" si="0"/>
        <v>301.67945382975699</v>
      </c>
    </row>
    <row r="68" spans="1:5" x14ac:dyDescent="0.3">
      <c r="A68">
        <v>2047</v>
      </c>
      <c r="B68">
        <f>B32/Speed!$B30/Temperature!$B29</f>
        <v>2501.9700189150108</v>
      </c>
      <c r="C68">
        <f>C32/Speed!$B30/Temperature!$B29</f>
        <v>597.93297868952391</v>
      </c>
      <c r="D68">
        <f>D32/Speed!$B30/Temperature!$B29</f>
        <v>699.54385525350381</v>
      </c>
      <c r="E68">
        <f t="shared" si="0"/>
        <v>298.85224045244536</v>
      </c>
    </row>
    <row r="69" spans="1:5" x14ac:dyDescent="0.3">
      <c r="A69">
        <v>2048</v>
      </c>
      <c r="B69">
        <f>B33/Speed!$B31/Temperature!$B30</f>
        <v>2343.9212021884173</v>
      </c>
      <c r="C69">
        <f>C33/Speed!$B31/Temperature!$B30</f>
        <v>585.70502944702207</v>
      </c>
      <c r="D69">
        <f>D33/Speed!$B31/Temperature!$B30</f>
        <v>650.57889102290551</v>
      </c>
      <c r="E69">
        <f t="shared" si="0"/>
        <v>296.10543677181704</v>
      </c>
    </row>
    <row r="70" spans="1:5" x14ac:dyDescent="0.3">
      <c r="A70">
        <v>2049</v>
      </c>
      <c r="B70">
        <f>B34/Speed!$B32/Temperature!$B31</f>
        <v>2188.9557047805361</v>
      </c>
      <c r="C70">
        <f>C34/Speed!$B32/Temperature!$B31</f>
        <v>573.90332828513579</v>
      </c>
      <c r="D70">
        <f>D34/Speed!$B32/Temperature!$B31</f>
        <v>602.56210577794491</v>
      </c>
      <c r="E70">
        <f t="shared" si="0"/>
        <v>293.43607578825981</v>
      </c>
    </row>
    <row r="71" spans="1:5" x14ac:dyDescent="0.3">
      <c r="A71" s="22">
        <v>2050</v>
      </c>
      <c r="B71">
        <f>B35/Speed!$B33/Temperature!$B32</f>
        <v>2036.9478306325743</v>
      </c>
      <c r="C71">
        <f>C35/Speed!$B33/Temperature!$B32</f>
        <v>562.50821791040426</v>
      </c>
      <c r="D71">
        <f>D35/Speed!$B33/Temperature!$B32</f>
        <v>555.45474505824802</v>
      </c>
      <c r="E71">
        <f t="shared" si="0"/>
        <v>290.84134011809499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"/>
  <sheetViews>
    <sheetView zoomScale="85" zoomScaleNormal="85" workbookViewId="0">
      <selection activeCell="O12" sqref="O12"/>
    </sheetView>
  </sheetViews>
  <sheetFormatPr defaultColWidth="8.6640625" defaultRowHeight="14" x14ac:dyDescent="0.3"/>
  <cols>
    <col min="1" max="2" width="14.33203125" style="13" bestFit="1" customWidth="1"/>
    <col min="3" max="3" width="10.83203125" style="13" customWidth="1"/>
    <col min="4" max="4" width="11" style="13" customWidth="1"/>
    <col min="5" max="5" width="13.33203125" style="13" customWidth="1"/>
    <col min="6" max="6" width="8.6640625" style="13"/>
    <col min="7" max="7" width="10.33203125" style="13" customWidth="1"/>
    <col min="8" max="16384" width="8.6640625" style="13"/>
  </cols>
  <sheetData>
    <row r="1" spans="1:18" ht="28" x14ac:dyDescent="0.3">
      <c r="A1" s="15" t="s">
        <v>85</v>
      </c>
      <c r="B1" s="37" t="s">
        <v>4</v>
      </c>
      <c r="C1" s="37" t="s">
        <v>5</v>
      </c>
      <c r="D1" s="36" t="s">
        <v>27</v>
      </c>
      <c r="E1" s="36" t="s">
        <v>29</v>
      </c>
      <c r="F1" s="36" t="s">
        <v>79</v>
      </c>
      <c r="G1" s="36" t="s">
        <v>83</v>
      </c>
      <c r="H1" s="36" t="s">
        <v>84</v>
      </c>
      <c r="L1" s="37" t="s">
        <v>4</v>
      </c>
      <c r="M1" s="37" t="s">
        <v>5</v>
      </c>
      <c r="N1" s="36" t="s">
        <v>27</v>
      </c>
      <c r="O1" s="36" t="s">
        <v>29</v>
      </c>
      <c r="P1" s="36" t="s">
        <v>79</v>
      </c>
      <c r="Q1" s="36" t="s">
        <v>83</v>
      </c>
      <c r="R1" s="36" t="s">
        <v>84</v>
      </c>
    </row>
    <row r="2" spans="1:18" ht="28" x14ac:dyDescent="0.3">
      <c r="A2" s="15" t="s">
        <v>24</v>
      </c>
      <c r="B2" s="37" t="s">
        <v>25</v>
      </c>
      <c r="C2" s="37" t="s">
        <v>26</v>
      </c>
      <c r="D2" s="37" t="s">
        <v>28</v>
      </c>
      <c r="E2" s="37" t="s">
        <v>30</v>
      </c>
      <c r="F2" s="37" t="s">
        <v>78</v>
      </c>
      <c r="G2" s="37" t="s">
        <v>33</v>
      </c>
      <c r="H2" s="37" t="s">
        <v>33</v>
      </c>
      <c r="L2" s="37" t="s">
        <v>25</v>
      </c>
      <c r="M2" s="37" t="s">
        <v>26</v>
      </c>
      <c r="N2" s="37" t="s">
        <v>28</v>
      </c>
      <c r="O2" s="37" t="s">
        <v>30</v>
      </c>
      <c r="P2" s="37" t="s">
        <v>78</v>
      </c>
      <c r="Q2" s="37" t="s">
        <v>33</v>
      </c>
      <c r="R2" s="37" t="s">
        <v>33</v>
      </c>
    </row>
    <row r="3" spans="1:18" x14ac:dyDescent="0.3">
      <c r="A3" s="14" t="s">
        <v>0</v>
      </c>
      <c r="B3" s="14" t="s">
        <v>1</v>
      </c>
      <c r="C3" s="14" t="s">
        <v>1</v>
      </c>
      <c r="D3" s="14" t="s">
        <v>1</v>
      </c>
      <c r="E3" s="14" t="s">
        <v>1</v>
      </c>
      <c r="F3" s="14" t="s">
        <v>1</v>
      </c>
      <c r="G3" s="14" t="s">
        <v>1</v>
      </c>
      <c r="H3" s="14" t="s">
        <v>1</v>
      </c>
      <c r="J3" s="16" t="s">
        <v>34</v>
      </c>
      <c r="L3" s="14" t="s">
        <v>1</v>
      </c>
      <c r="M3" s="14" t="s">
        <v>1</v>
      </c>
      <c r="N3" s="14" t="s">
        <v>1</v>
      </c>
      <c r="O3" s="14" t="s">
        <v>1</v>
      </c>
      <c r="P3" s="14" t="s">
        <v>1</v>
      </c>
      <c r="Q3" s="14" t="s">
        <v>1</v>
      </c>
      <c r="R3" s="14" t="s">
        <v>1</v>
      </c>
    </row>
    <row r="4" spans="1:18" x14ac:dyDescent="0.3">
      <c r="A4" s="14">
        <v>2020</v>
      </c>
      <c r="B4" s="14">
        <f>Case!$B$8/Temperature!B2+Temperature!K2</f>
        <v>11121.455633854341</v>
      </c>
      <c r="C4" s="14">
        <f>'Elec str'!B40</f>
        <v>11121.455633854341</v>
      </c>
      <c r="D4" s="13">
        <f>Speed!F3</f>
        <v>11121.455633854341</v>
      </c>
      <c r="E4" s="13">
        <f>Infrastructure!E4</f>
        <v>11121.455633854341</v>
      </c>
      <c r="F4" s="14">
        <f>Feed!J2</f>
        <v>11121.455633854341</v>
      </c>
      <c r="G4" s="13">
        <f>Best!G5+Temperature!L2</f>
        <v>11121.455633854341</v>
      </c>
      <c r="H4" s="14">
        <f>Best!H5</f>
        <v>11121.455633854341</v>
      </c>
      <c r="J4" s="13">
        <v>-23.87</v>
      </c>
      <c r="L4" s="16">
        <f t="shared" ref="L4:Q6" si="0">B4+$J$4</f>
        <v>11097.58563385434</v>
      </c>
      <c r="M4" s="16">
        <f t="shared" si="0"/>
        <v>11097.58563385434</v>
      </c>
      <c r="N4" s="16">
        <f t="shared" si="0"/>
        <v>11097.58563385434</v>
      </c>
      <c r="O4" s="16">
        <f t="shared" si="0"/>
        <v>11097.58563385434</v>
      </c>
      <c r="P4" s="16">
        <f t="shared" si="0"/>
        <v>11097.58563385434</v>
      </c>
      <c r="Q4" s="16">
        <f t="shared" si="0"/>
        <v>11097.58563385434</v>
      </c>
      <c r="R4" s="16">
        <f t="shared" ref="R4" si="1">H4+$J$4</f>
        <v>11097.58563385434</v>
      </c>
    </row>
    <row r="5" spans="1:18" x14ac:dyDescent="0.3">
      <c r="A5" s="14">
        <v>2021</v>
      </c>
      <c r="B5" s="34">
        <f>Case!$B$8/Temperature!B3+Temperature!K3</f>
        <v>11315.652313465751</v>
      </c>
      <c r="C5" s="14">
        <f>'Elec str'!B41</f>
        <v>11043.209299370628</v>
      </c>
      <c r="D5" s="13">
        <f>Speed!F4</f>
        <v>10903.387876327784</v>
      </c>
      <c r="E5" s="13">
        <f>Infrastructure!E5</f>
        <v>11101.537310072596</v>
      </c>
      <c r="F5" s="14">
        <f>Feed!J3</f>
        <v>11061.293658564877</v>
      </c>
      <c r="G5" s="13">
        <f>Best!G6+Temperature!L3</f>
        <v>10939.3290837924</v>
      </c>
      <c r="H5" s="14">
        <f>Best!H6</f>
        <v>10748.165686568056</v>
      </c>
      <c r="L5" s="16">
        <f t="shared" si="0"/>
        <v>11291.78231346575</v>
      </c>
      <c r="M5" s="16">
        <f t="shared" si="0"/>
        <v>11019.339299370627</v>
      </c>
      <c r="N5" s="16">
        <f t="shared" si="0"/>
        <v>10879.517876327784</v>
      </c>
      <c r="O5" s="16">
        <f t="shared" si="0"/>
        <v>11077.667310072595</v>
      </c>
      <c r="P5" s="16">
        <f t="shared" si="0"/>
        <v>11037.423658564876</v>
      </c>
      <c r="Q5" s="16">
        <f t="shared" si="0"/>
        <v>10915.459083792399</v>
      </c>
      <c r="R5" s="16">
        <f t="shared" ref="R5:R34" si="2">H5+$J$4</f>
        <v>10724.295686568055</v>
      </c>
    </row>
    <row r="6" spans="1:18" x14ac:dyDescent="0.3">
      <c r="A6" s="14">
        <v>2022</v>
      </c>
      <c r="B6" s="34">
        <f>Case!$B$8/Temperature!B4+Temperature!K4</f>
        <v>11510.098627330799</v>
      </c>
      <c r="C6" s="14">
        <f>'Elec str'!B42</f>
        <v>10964.962964886914</v>
      </c>
      <c r="D6" s="13">
        <f>Speed!F5</f>
        <v>10693.707340244559</v>
      </c>
      <c r="E6" s="13">
        <f>Infrastructure!E6</f>
        <v>11082.261512864456</v>
      </c>
      <c r="F6" s="14">
        <f>Feed!J4</f>
        <v>11001.131683275415</v>
      </c>
      <c r="G6" s="13">
        <f>Best!G7+Temperature!L4</f>
        <v>10766.444469176184</v>
      </c>
      <c r="H6" s="14">
        <f>Best!H7</f>
        <v>10389.850858959711</v>
      </c>
      <c r="L6" s="16">
        <f t="shared" si="0"/>
        <v>11486.228627330798</v>
      </c>
      <c r="M6" s="16">
        <f t="shared" si="0"/>
        <v>10941.092964886913</v>
      </c>
      <c r="N6" s="16">
        <f t="shared" si="0"/>
        <v>10669.837340244558</v>
      </c>
      <c r="O6" s="16">
        <f t="shared" si="0"/>
        <v>11058.391512864455</v>
      </c>
      <c r="P6" s="16">
        <f t="shared" si="0"/>
        <v>10977.261683275414</v>
      </c>
      <c r="Q6" s="16">
        <f t="shared" si="0"/>
        <v>10742.574469176183</v>
      </c>
      <c r="R6" s="16">
        <f t="shared" si="2"/>
        <v>10365.980858959711</v>
      </c>
    </row>
    <row r="7" spans="1:18" x14ac:dyDescent="0.3">
      <c r="A7" s="14">
        <v>2023</v>
      </c>
      <c r="B7" s="34">
        <f>Case!$B$8/Temperature!B5+Temperature!K5</f>
        <v>11704.797097007604</v>
      </c>
      <c r="C7" s="14">
        <f>'Elec str'!B43</f>
        <v>10886.716630403202</v>
      </c>
      <c r="D7" s="13">
        <f>Speed!F6</f>
        <v>10491.939277221076</v>
      </c>
      <c r="E7" s="13">
        <f>Infrastructure!E7</f>
        <v>11063.597645726415</v>
      </c>
      <c r="F7" s="14">
        <f>Feed!J5</f>
        <v>10940.969707985951</v>
      </c>
      <c r="G7" s="13">
        <f>Best!G8+Temperature!L5</f>
        <v>10602.045833304026</v>
      </c>
      <c r="H7" s="14">
        <f>Best!H8</f>
        <v>10045.634638119702</v>
      </c>
      <c r="L7" s="16">
        <f>B7+$J$4</f>
        <v>11680.927097007603</v>
      </c>
      <c r="M7" s="16">
        <f>C7+$J$4</f>
        <v>10862.846630403201</v>
      </c>
      <c r="N7" s="16">
        <f>D7+$J$4</f>
        <v>10468.069277221075</v>
      </c>
      <c r="O7" s="16">
        <f>E7+$J$4</f>
        <v>11039.727645726414</v>
      </c>
      <c r="P7" s="16">
        <f>F7+$J$4</f>
        <v>10917.09970798595</v>
      </c>
      <c r="Q7" s="16">
        <f t="shared" ref="Q7:Q34" si="3">G7+$J$4</f>
        <v>10578.175833304025</v>
      </c>
      <c r="R7" s="16">
        <f t="shared" si="2"/>
        <v>10021.764638119701</v>
      </c>
    </row>
    <row r="8" spans="1:18" x14ac:dyDescent="0.3">
      <c r="A8" s="14">
        <v>2024</v>
      </c>
      <c r="B8" s="34">
        <f>Case!$B$8/Temperature!B6+Temperature!K6</f>
        <v>11899.750278129393</v>
      </c>
      <c r="C8" s="14">
        <f>'Elec str'!B44</f>
        <v>10808.470295919487</v>
      </c>
      <c r="D8" s="13">
        <f>Speed!F7</f>
        <v>10297.644105420684</v>
      </c>
      <c r="E8" s="13">
        <f>Infrastructure!E8</f>
        <v>11045.517024436436</v>
      </c>
      <c r="F8" s="14">
        <f>Feed!J6</f>
        <v>10880.807732696489</v>
      </c>
      <c r="G8" s="13">
        <f>Best!G9+Temperature!L6</f>
        <v>10445.434602674086</v>
      </c>
      <c r="H8" s="14">
        <f>Best!H9</f>
        <v>9714.7072086516037</v>
      </c>
      <c r="L8" s="16">
        <f t="shared" ref="L8:L34" si="4">B8+$J$4</f>
        <v>11875.880278129393</v>
      </c>
      <c r="M8" s="16">
        <f t="shared" ref="M8:M34" si="5">C8+$J$4</f>
        <v>10784.600295919487</v>
      </c>
      <c r="N8" s="16">
        <f t="shared" ref="N8:N34" si="6">D8+$J$4</f>
        <v>10273.774105420684</v>
      </c>
      <c r="O8" s="16">
        <f t="shared" ref="O8:O34" si="7">E8+$J$4</f>
        <v>11021.647024436435</v>
      </c>
      <c r="P8" s="16">
        <f t="shared" ref="P8:P34" si="8">F8+$J$4</f>
        <v>10856.937732696488</v>
      </c>
      <c r="Q8" s="16">
        <f t="shared" si="3"/>
        <v>10421.564602674085</v>
      </c>
      <c r="R8" s="16">
        <f t="shared" si="2"/>
        <v>9690.8372086516029</v>
      </c>
    </row>
    <row r="9" spans="1:18" x14ac:dyDescent="0.3">
      <c r="A9" s="14">
        <v>2025</v>
      </c>
      <c r="B9" s="34">
        <f>Case!$B$8/Temperature!B7+Temperature!K7</f>
        <v>12094.960760982043</v>
      </c>
      <c r="C9" s="14">
        <f>'Elec str'!B45</f>
        <v>10730.223961435775</v>
      </c>
      <c r="D9" s="13">
        <f>Speed!F8</f>
        <v>10110.414212594855</v>
      </c>
      <c r="E9" s="13">
        <f>Infrastructure!E9</f>
        <v>11027.992729955382</v>
      </c>
      <c r="F9" s="14">
        <f>Feed!J7</f>
        <v>10820.645757407026</v>
      </c>
      <c r="G9" s="13">
        <f>Best!G10+Temperature!L7</f>
        <v>10295.964257408477</v>
      </c>
      <c r="H9" s="14">
        <f>Best!H10</f>
        <v>9396.3192555359092</v>
      </c>
      <c r="L9" s="16">
        <f t="shared" si="4"/>
        <v>12071.090760982042</v>
      </c>
      <c r="M9" s="16">
        <f t="shared" si="5"/>
        <v>10706.353961435774</v>
      </c>
      <c r="N9" s="16">
        <f t="shared" si="6"/>
        <v>10086.544212594854</v>
      </c>
      <c r="O9" s="16">
        <f t="shared" si="7"/>
        <v>11004.122729955381</v>
      </c>
      <c r="P9" s="16">
        <f t="shared" si="8"/>
        <v>10796.775757407026</v>
      </c>
      <c r="Q9" s="16">
        <f t="shared" si="3"/>
        <v>10272.094257408477</v>
      </c>
      <c r="R9" s="16">
        <f t="shared" si="2"/>
        <v>9372.4492555359084</v>
      </c>
    </row>
    <row r="10" spans="1:18" x14ac:dyDescent="0.3">
      <c r="A10" s="14">
        <v>2026</v>
      </c>
      <c r="B10" s="34">
        <f>Case!$B$8/Temperature!B8+Temperature!K8</f>
        <v>12290.431171093427</v>
      </c>
      <c r="C10" s="14">
        <f>'Elec str'!B46</f>
        <v>10651.977626952063</v>
      </c>
      <c r="D10" s="13">
        <f>Speed!F9</f>
        <v>9929.8711016556608</v>
      </c>
      <c r="E10" s="13">
        <f>Infrastructure!E10</f>
        <v>11010.999474701026</v>
      </c>
      <c r="F10" s="14">
        <f>Feed!J8</f>
        <v>10760.483782117564</v>
      </c>
      <c r="G10" s="13">
        <f>Best!G11+Temperature!L8</f>
        <v>10153.035582623519</v>
      </c>
      <c r="H10" s="14">
        <f>Best!H11</f>
        <v>9089.7764429124727</v>
      </c>
      <c r="L10" s="16">
        <f t="shared" si="4"/>
        <v>12266.561171093426</v>
      </c>
      <c r="M10" s="16">
        <f t="shared" si="5"/>
        <v>10628.107626952062</v>
      </c>
      <c r="N10" s="16">
        <f t="shared" si="6"/>
        <v>9906.00110165566</v>
      </c>
      <c r="O10" s="16">
        <f t="shared" si="7"/>
        <v>10987.129474701025</v>
      </c>
      <c r="P10" s="16">
        <f t="shared" si="8"/>
        <v>10736.613782117563</v>
      </c>
      <c r="Q10" s="16">
        <f t="shared" si="3"/>
        <v>10129.165582623518</v>
      </c>
      <c r="R10" s="16">
        <f t="shared" si="2"/>
        <v>9065.9064429124719</v>
      </c>
    </row>
    <row r="11" spans="1:18" x14ac:dyDescent="0.3">
      <c r="A11" s="14">
        <v>2027</v>
      </c>
      <c r="B11" s="34">
        <f>Case!$B$8/Temperature!B9+Temperature!K9</f>
        <v>12486.164169834792</v>
      </c>
      <c r="C11" s="14">
        <f>'Elec str'!B47</f>
        <v>10573.73129246835</v>
      </c>
      <c r="D11" s="13">
        <f>Speed!F10</f>
        <v>9755.662836714333</v>
      </c>
      <c r="E11" s="13">
        <f>Infrastructure!E11</f>
        <v>10994.513480797546</v>
      </c>
      <c r="F11" s="14">
        <f>Feed!J9</f>
        <v>10700.3218068281</v>
      </c>
      <c r="G11" s="13">
        <f>Best!G12+Temperature!L9</f>
        <v>10016.092428379829</v>
      </c>
      <c r="H11" s="14">
        <f>Best!H12</f>
        <v>8794.4344845485211</v>
      </c>
      <c r="L11" s="16">
        <f t="shared" si="4"/>
        <v>12462.294169834791</v>
      </c>
      <c r="M11" s="16">
        <f t="shared" si="5"/>
        <v>10549.861292468349</v>
      </c>
      <c r="N11" s="16">
        <f t="shared" si="6"/>
        <v>9731.7928367143322</v>
      </c>
      <c r="O11" s="16">
        <f t="shared" si="7"/>
        <v>10970.643480797546</v>
      </c>
      <c r="P11" s="16">
        <f t="shared" si="8"/>
        <v>10676.4518068281</v>
      </c>
      <c r="Q11" s="16">
        <f t="shared" si="3"/>
        <v>9992.2224283798278</v>
      </c>
      <c r="R11" s="16">
        <f t="shared" si="2"/>
        <v>8770.5644845485203</v>
      </c>
    </row>
    <row r="12" spans="1:18" x14ac:dyDescent="0.3">
      <c r="A12" s="14">
        <v>2028</v>
      </c>
      <c r="B12" s="34">
        <f>Case!$B$8/Temperature!B10+Temperature!K10</f>
        <v>12682.162455034526</v>
      </c>
      <c r="C12" s="14">
        <f>'Elec str'!B48</f>
        <v>10495.484957984636</v>
      </c>
      <c r="D12" s="13">
        <f>Speed!F11</f>
        <v>9587.4617533227065</v>
      </c>
      <c r="E12" s="13">
        <f>Infrastructure!E12</f>
        <v>10978.512369067697</v>
      </c>
      <c r="F12" s="14">
        <f>Feed!J10</f>
        <v>10640.159831538638</v>
      </c>
      <c r="G12" s="13">
        <f>Best!G13+Temperature!L10</f>
        <v>9884.6179159456224</v>
      </c>
      <c r="H12" s="14">
        <f>Best!H13</f>
        <v>8509.6947335192126</v>
      </c>
      <c r="L12" s="16">
        <f t="shared" si="4"/>
        <v>12658.292455034525</v>
      </c>
      <c r="M12" s="16">
        <f t="shared" si="5"/>
        <v>10471.614957984635</v>
      </c>
      <c r="N12" s="16">
        <f t="shared" si="6"/>
        <v>9563.5917533227057</v>
      </c>
      <c r="O12" s="16">
        <f t="shared" si="7"/>
        <v>10954.642369067697</v>
      </c>
      <c r="P12" s="16">
        <f t="shared" si="8"/>
        <v>10616.289831538637</v>
      </c>
      <c r="Q12" s="16">
        <f t="shared" si="3"/>
        <v>9860.7479159456216</v>
      </c>
      <c r="R12" s="16">
        <f t="shared" si="2"/>
        <v>8485.8247335192118</v>
      </c>
    </row>
    <row r="13" spans="1:18" x14ac:dyDescent="0.3">
      <c r="A13" s="14">
        <v>2029</v>
      </c>
      <c r="B13" s="34">
        <f>Case!$B$8/Temperature!B11+Temperature!K11</f>
        <v>12878.428761604573</v>
      </c>
      <c r="C13" s="14">
        <f>'Elec str'!B49</f>
        <v>10417.238623500922</v>
      </c>
      <c r="D13" s="13">
        <f>Speed!F12</f>
        <v>9424.9624015714744</v>
      </c>
      <c r="E13" s="13">
        <f>Infrastructure!E13</f>
        <v>10962.975057677846</v>
      </c>
      <c r="F13" s="14">
        <f>Feed!J11</f>
        <v>10579.997856249174</v>
      </c>
      <c r="G13" s="13">
        <f>Best!G14+Temperature!L11</f>
        <v>9758.1310366504804</v>
      </c>
      <c r="H13" s="14">
        <f>Best!H14</f>
        <v>8235.0002285756436</v>
      </c>
      <c r="L13" s="16">
        <f t="shared" si="4"/>
        <v>12854.558761604572</v>
      </c>
      <c r="M13" s="16">
        <f t="shared" si="5"/>
        <v>10393.368623500921</v>
      </c>
      <c r="N13" s="16">
        <f t="shared" si="6"/>
        <v>9401.0924015714736</v>
      </c>
      <c r="O13" s="16">
        <f t="shared" si="7"/>
        <v>10939.105057677845</v>
      </c>
      <c r="P13" s="16">
        <f t="shared" si="8"/>
        <v>10556.127856249173</v>
      </c>
      <c r="Q13" s="16">
        <f t="shared" si="3"/>
        <v>9734.2610366504796</v>
      </c>
      <c r="R13" s="16">
        <f t="shared" si="2"/>
        <v>8211.1302285756428</v>
      </c>
    </row>
    <row r="14" spans="1:18" x14ac:dyDescent="0.3">
      <c r="A14" s="14">
        <v>2030</v>
      </c>
      <c r="B14" s="34">
        <f>Case!$B$8/Temperature!B12+Temperature!K12</f>
        <v>13074.965862179799</v>
      </c>
      <c r="C14" s="14">
        <f>'Elec str'!B50</f>
        <v>10338.992289017209</v>
      </c>
      <c r="D14" s="13">
        <f>Speed!F13</f>
        <v>9267.8796948786185</v>
      </c>
      <c r="E14" s="13">
        <f>Infrastructure!E14</f>
        <v>10947.88166947056</v>
      </c>
      <c r="F14" s="14">
        <f>Feed!J12</f>
        <v>10519.835880959712</v>
      </c>
      <c r="G14" s="13">
        <f>Best!G15+Temperature!L12</f>
        <v>9636.1835968562045</v>
      </c>
      <c r="H14" s="14">
        <f>Best!H15</f>
        <v>7969.8321431156673</v>
      </c>
      <c r="L14" s="16">
        <f t="shared" si="4"/>
        <v>13051.095862179798</v>
      </c>
      <c r="M14" s="16">
        <f t="shared" si="5"/>
        <v>10315.122289017208</v>
      </c>
      <c r="N14" s="16">
        <f t="shared" si="6"/>
        <v>9244.0096948786177</v>
      </c>
      <c r="O14" s="16">
        <f t="shared" si="7"/>
        <v>10924.011669470559</v>
      </c>
      <c r="P14" s="16">
        <f t="shared" si="8"/>
        <v>10495.965880959711</v>
      </c>
      <c r="Q14" s="16">
        <f t="shared" si="3"/>
        <v>9612.3135968562037</v>
      </c>
      <c r="R14" s="16">
        <f t="shared" si="2"/>
        <v>7945.9621431156675</v>
      </c>
    </row>
    <row r="15" spans="1:18" x14ac:dyDescent="0.3">
      <c r="A15" s="14">
        <v>2031</v>
      </c>
      <c r="B15" s="34">
        <f>Case!$B$8/Temperature!B13+Temperature!K13</f>
        <v>13271.776567770634</v>
      </c>
      <c r="C15" s="14">
        <f>'Elec str'!B51</f>
        <v>10213.286521061207</v>
      </c>
      <c r="D15" s="13">
        <f>Speed!F14</f>
        <v>9115.9472408642141</v>
      </c>
      <c r="E15" s="13">
        <f>Infrastructure!E15</f>
        <v>10933.213447128268</v>
      </c>
      <c r="F15" s="14">
        <f>Feed!J13</f>
        <v>10459.67390567025</v>
      </c>
      <c r="G15" s="13">
        <f>Best!G16+Temperature!L13</f>
        <v>9466.0674320659236</v>
      </c>
      <c r="H15" s="14">
        <f>Best!H16</f>
        <v>7674.8054148779029</v>
      </c>
      <c r="L15" s="16">
        <f t="shared" si="4"/>
        <v>13247.906567770633</v>
      </c>
      <c r="M15" s="16">
        <f t="shared" si="5"/>
        <v>10189.416521061206</v>
      </c>
      <c r="N15" s="16">
        <f t="shared" si="6"/>
        <v>9092.0772408642133</v>
      </c>
      <c r="O15" s="16">
        <f t="shared" si="7"/>
        <v>10909.343447128267</v>
      </c>
      <c r="P15" s="16">
        <f t="shared" si="8"/>
        <v>10435.803905670249</v>
      </c>
      <c r="Q15" s="16">
        <f t="shared" si="3"/>
        <v>9442.1974320659228</v>
      </c>
      <c r="R15" s="16">
        <f t="shared" si="2"/>
        <v>7650.935414877903</v>
      </c>
    </row>
    <row r="16" spans="1:18" x14ac:dyDescent="0.3">
      <c r="A16" s="14">
        <v>2032</v>
      </c>
      <c r="B16" s="34">
        <f>Case!$B$8/Temperature!B14+Temperature!K14</f>
        <v>13468.863728429329</v>
      </c>
      <c r="C16" s="14">
        <f>'Elec str'!B52</f>
        <v>10087.580753105203</v>
      </c>
      <c r="D16" s="13">
        <f>Speed!F15</f>
        <v>8968.9158337535009</v>
      </c>
      <c r="E16" s="13">
        <f>Infrastructure!E16</f>
        <v>10918.952675406596</v>
      </c>
      <c r="F16" s="14">
        <f>Feed!J14</f>
        <v>10399.511930380788</v>
      </c>
      <c r="G16" s="13">
        <f>Best!G17+Temperature!L14</f>
        <v>9298.5436459745124</v>
      </c>
      <c r="H16" s="14">
        <f>Best!H17</f>
        <v>7389.6242670837964</v>
      </c>
      <c r="L16" s="16">
        <f t="shared" si="4"/>
        <v>13444.993728429328</v>
      </c>
      <c r="M16" s="16">
        <f t="shared" si="5"/>
        <v>10063.710753105202</v>
      </c>
      <c r="N16" s="16">
        <f t="shared" si="6"/>
        <v>8945.0458337535001</v>
      </c>
      <c r="O16" s="16">
        <f t="shared" si="7"/>
        <v>10895.082675406595</v>
      </c>
      <c r="P16" s="16">
        <f t="shared" si="8"/>
        <v>10375.641930380787</v>
      </c>
      <c r="Q16" s="16">
        <f t="shared" si="3"/>
        <v>9274.6736459745116</v>
      </c>
      <c r="R16" s="16">
        <f t="shared" si="2"/>
        <v>7365.7542670837965</v>
      </c>
    </row>
    <row r="17" spans="1:18" x14ac:dyDescent="0.3">
      <c r="A17" s="14">
        <v>2033</v>
      </c>
      <c r="B17" s="34">
        <f>Case!$B$8/Temperature!B15+Temperature!K15</f>
        <v>13666.230233930113</v>
      </c>
      <c r="C17" s="14">
        <f>'Elec str'!B53</f>
        <v>9961.8749851491993</v>
      </c>
      <c r="D17" s="13">
        <f>Speed!F16</f>
        <v>8826.5520903605884</v>
      </c>
      <c r="E17" s="13">
        <f>Infrastructure!E17</f>
        <v>10905.082609759491</v>
      </c>
      <c r="F17" s="14">
        <f>Feed!J15</f>
        <v>10339.349955091326</v>
      </c>
      <c r="G17" s="13">
        <f>Best!G18+Temperature!L15</f>
        <v>9133.1953169617191</v>
      </c>
      <c r="H17" s="14">
        <f>Best!H18</f>
        <v>7113.8065732470877</v>
      </c>
      <c r="L17" s="16">
        <f t="shared" si="4"/>
        <v>13642.360233930112</v>
      </c>
      <c r="M17" s="16">
        <f t="shared" si="5"/>
        <v>9938.0049851491985</v>
      </c>
      <c r="N17" s="16">
        <f t="shared" si="6"/>
        <v>8802.6820903605876</v>
      </c>
      <c r="O17" s="16">
        <f t="shared" si="7"/>
        <v>10881.21260975949</v>
      </c>
      <c r="P17" s="16">
        <f t="shared" si="8"/>
        <v>10315.479955091325</v>
      </c>
      <c r="Q17" s="16">
        <f t="shared" si="3"/>
        <v>9109.3253169617183</v>
      </c>
      <c r="R17" s="16">
        <f t="shared" si="2"/>
        <v>7089.9365732470878</v>
      </c>
    </row>
    <row r="18" spans="1:18" x14ac:dyDescent="0.3">
      <c r="A18" s="14">
        <v>2034</v>
      </c>
      <c r="B18" s="34">
        <f>Case!$B$8/Temperature!B16+Temperature!K16</f>
        <v>13863.879014463633</v>
      </c>
      <c r="C18" s="14">
        <f>'Elec str'!B54</f>
        <v>9836.1692171931954</v>
      </c>
      <c r="D18" s="13">
        <f>Speed!F17</f>
        <v>8688.637213948703</v>
      </c>
      <c r="E18" s="13">
        <f>Infrastructure!E18</f>
        <v>10891.587410751496</v>
      </c>
      <c r="F18" s="14">
        <f>Feed!J16</f>
        <v>10279.187979801862</v>
      </c>
      <c r="G18" s="13">
        <f>Best!G19+Temperature!L16</f>
        <v>8969.6320420102329</v>
      </c>
      <c r="H18" s="14">
        <f>Best!H19</f>
        <v>6846.9010469045852</v>
      </c>
      <c r="L18" s="16">
        <f t="shared" si="4"/>
        <v>13840.009014463632</v>
      </c>
      <c r="M18" s="16">
        <f t="shared" si="5"/>
        <v>9812.2992171931946</v>
      </c>
      <c r="N18" s="16">
        <f t="shared" si="6"/>
        <v>8664.7672139487022</v>
      </c>
      <c r="O18" s="16">
        <f t="shared" si="7"/>
        <v>10867.717410751495</v>
      </c>
      <c r="P18" s="16">
        <f t="shared" si="8"/>
        <v>10255.317979801861</v>
      </c>
      <c r="Q18" s="16">
        <f t="shared" si="3"/>
        <v>8945.7620420102321</v>
      </c>
      <c r="R18" s="16">
        <f t="shared" si="2"/>
        <v>6823.0310469045853</v>
      </c>
    </row>
    <row r="19" spans="1:18" x14ac:dyDescent="0.3">
      <c r="A19" s="14">
        <v>2035</v>
      </c>
      <c r="B19" s="34">
        <f>Case!$B$8/Temperature!B17+Temperature!K17</f>
        <v>14061.813041346024</v>
      </c>
      <c r="C19" s="14">
        <f>'Elec str'!B55</f>
        <v>9710.4634492371915</v>
      </c>
      <c r="D19" s="13">
        <f>Speed!F18</f>
        <v>8554.9658721956457</v>
      </c>
      <c r="E19" s="13">
        <f>Infrastructure!E19</f>
        <v>10878.452083717048</v>
      </c>
      <c r="F19" s="14">
        <f>Feed!J17</f>
        <v>10219.0260045124</v>
      </c>
      <c r="G19" s="13">
        <f>Best!G20+Temperature!L17</f>
        <v>8807.4878559175559</v>
      </c>
      <c r="H19" s="14">
        <f>Best!H20</f>
        <v>6588.4848228907358</v>
      </c>
      <c r="L19" s="16">
        <f t="shared" si="4"/>
        <v>14037.943041346023</v>
      </c>
      <c r="M19" s="16">
        <f t="shared" si="5"/>
        <v>9686.5934492371907</v>
      </c>
      <c r="N19" s="16">
        <f t="shared" si="6"/>
        <v>8531.0958721956449</v>
      </c>
      <c r="O19" s="16">
        <f t="shared" si="7"/>
        <v>10854.582083717047</v>
      </c>
      <c r="P19" s="16">
        <f t="shared" si="8"/>
        <v>10195.156004512399</v>
      </c>
      <c r="Q19" s="16">
        <f t="shared" si="3"/>
        <v>8783.6178559175551</v>
      </c>
      <c r="R19" s="16">
        <f t="shared" si="2"/>
        <v>6564.6148228907359</v>
      </c>
    </row>
    <row r="20" spans="1:18" x14ac:dyDescent="0.3">
      <c r="A20" s="14">
        <v>2036</v>
      </c>
      <c r="B20" s="34">
        <f>Case!$B$8/Temperature!B18+Temperature!K18</f>
        <v>14260.035327742946</v>
      </c>
      <c r="C20" s="14">
        <f>'Elec str'!B56</f>
        <v>9584.7576812811894</v>
      </c>
      <c r="D20" s="13">
        <f>Speed!F19</f>
        <v>8425.3451771623786</v>
      </c>
      <c r="E20" s="13">
        <f>Infrastructure!E20</f>
        <v>10865.662423183505</v>
      </c>
      <c r="F20" s="14">
        <f>Feed!J18</f>
        <v>10158.864029222936</v>
      </c>
      <c r="G20" s="13">
        <f>Best!G21+Temperature!L18</f>
        <v>8646.4193426317961</v>
      </c>
      <c r="H20" s="14">
        <f>Best!H21</f>
        <v>6338.1612621052636</v>
      </c>
      <c r="L20" s="16">
        <f t="shared" si="4"/>
        <v>14236.165327742945</v>
      </c>
      <c r="M20" s="16">
        <f t="shared" si="5"/>
        <v>9560.8876812811886</v>
      </c>
      <c r="N20" s="16">
        <f t="shared" si="6"/>
        <v>8401.4751771623778</v>
      </c>
      <c r="O20" s="16">
        <f t="shared" si="7"/>
        <v>10841.792423183504</v>
      </c>
      <c r="P20" s="16">
        <f t="shared" si="8"/>
        <v>10134.994029222935</v>
      </c>
      <c r="Q20" s="16">
        <f t="shared" si="3"/>
        <v>8622.5493426317953</v>
      </c>
      <c r="R20" s="16">
        <f t="shared" si="2"/>
        <v>6314.2912621052637</v>
      </c>
    </row>
    <row r="21" spans="1:18" x14ac:dyDescent="0.3">
      <c r="A21" s="14">
        <v>2037</v>
      </c>
      <c r="B21" s="34">
        <f>Case!$B$8/Temperature!B19+Temperature!K19</f>
        <v>14458.548929408968</v>
      </c>
      <c r="C21" s="14">
        <f>'Elec str'!B57</f>
        <v>9459.0519133251837</v>
      </c>
      <c r="D21" s="13">
        <f>Speed!F20</f>
        <v>8299.5937566077173</v>
      </c>
      <c r="E21" s="13">
        <f>Infrastructure!E21</f>
        <v>10853.204961624861</v>
      </c>
      <c r="F21" s="14">
        <f>Feed!J19</f>
        <v>10098.702053933474</v>
      </c>
      <c r="G21" s="13">
        <f>Best!G22+Temperature!L19</f>
        <v>8486.1039183682478</v>
      </c>
      <c r="H21" s="14">
        <f>Best!H22</f>
        <v>6095.5579561006243</v>
      </c>
      <c r="L21" s="16">
        <f t="shared" si="4"/>
        <v>14434.678929408967</v>
      </c>
      <c r="M21" s="16">
        <f t="shared" si="5"/>
        <v>9435.1819133251829</v>
      </c>
      <c r="N21" s="16">
        <f t="shared" si="6"/>
        <v>8275.7237566077165</v>
      </c>
      <c r="O21" s="16">
        <f t="shared" si="7"/>
        <v>10829.33496162486</v>
      </c>
      <c r="P21" s="16">
        <f t="shared" si="8"/>
        <v>10074.832053933473</v>
      </c>
      <c r="Q21" s="16">
        <f t="shared" si="3"/>
        <v>8462.233918368247</v>
      </c>
      <c r="R21" s="16">
        <f t="shared" si="2"/>
        <v>6071.6879561006244</v>
      </c>
    </row>
    <row r="22" spans="1:18" x14ac:dyDescent="0.3">
      <c r="A22" s="14">
        <v>2038</v>
      </c>
      <c r="B22" s="34">
        <f>Case!$B$8/Temperature!B20+Temperature!K20</f>
        <v>14657.356945442696</v>
      </c>
      <c r="C22" s="14">
        <f>'Elec str'!B58</f>
        <v>9333.3461453691816</v>
      </c>
      <c r="D22" s="13">
        <f>Speed!F21</f>
        <v>8177.5409072458378</v>
      </c>
      <c r="E22" s="13">
        <f>Infrastructure!E22</f>
        <v>10841.066922157463</v>
      </c>
      <c r="F22" s="14">
        <f>Feed!J20</f>
        <v>10038.540078644011</v>
      </c>
      <c r="G22" s="13">
        <f>Best!G23+Temperature!L20</f>
        <v>8326.2382685841167</v>
      </c>
      <c r="H22" s="14">
        <f>Best!H23</f>
        <v>5860.3249106338035</v>
      </c>
      <c r="L22" s="16">
        <f t="shared" si="4"/>
        <v>14633.486945442695</v>
      </c>
      <c r="M22" s="16">
        <f t="shared" si="5"/>
        <v>9309.4761453691808</v>
      </c>
      <c r="N22" s="16">
        <f t="shared" si="6"/>
        <v>8153.670907245838</v>
      </c>
      <c r="O22" s="16">
        <f t="shared" si="7"/>
        <v>10817.196922157462</v>
      </c>
      <c r="P22" s="16">
        <f t="shared" si="8"/>
        <v>10014.670078644011</v>
      </c>
      <c r="Q22" s="16">
        <f t="shared" si="3"/>
        <v>8302.3682685841159</v>
      </c>
      <c r="R22" s="16">
        <f t="shared" si="2"/>
        <v>5836.4549106338036</v>
      </c>
    </row>
    <row r="23" spans="1:18" x14ac:dyDescent="0.3">
      <c r="A23" s="14">
        <v>2039</v>
      </c>
      <c r="B23" s="34">
        <f>Case!$B$8/Temperature!B21+Temperature!K21</f>
        <v>14856.462519058023</v>
      </c>
      <c r="C23" s="14">
        <f>'Elec str'!B59</f>
        <v>9207.6403774131795</v>
      </c>
      <c r="D23" s="13">
        <f>Speed!F22</f>
        <v>8059.0258216335797</v>
      </c>
      <c r="E23" s="13">
        <f>Infrastructure!E23</f>
        <v>10829.236174828482</v>
      </c>
      <c r="F23" s="14">
        <f>Feed!J21</f>
        <v>9978.3781033545492</v>
      </c>
      <c r="G23" s="13">
        <f>Best!G24+Temperature!L21</f>
        <v>8166.5369229905755</v>
      </c>
      <c r="H23" s="14">
        <f>Best!H24</f>
        <v>5632.1328897735693</v>
      </c>
      <c r="L23" s="16">
        <f t="shared" si="4"/>
        <v>14832.592519058022</v>
      </c>
      <c r="M23" s="16">
        <f t="shared" si="5"/>
        <v>9183.7703774131787</v>
      </c>
      <c r="N23" s="16">
        <f t="shared" si="6"/>
        <v>8035.1558216335798</v>
      </c>
      <c r="O23" s="16">
        <f t="shared" si="7"/>
        <v>10805.366174828481</v>
      </c>
      <c r="P23" s="16">
        <f t="shared" si="8"/>
        <v>9954.5081033545484</v>
      </c>
      <c r="Q23" s="16">
        <f t="shared" si="3"/>
        <v>8142.6669229905756</v>
      </c>
      <c r="R23" s="16">
        <f t="shared" si="2"/>
        <v>5608.2628897735694</v>
      </c>
    </row>
    <row r="24" spans="1:18" x14ac:dyDescent="0.3">
      <c r="A24" s="14">
        <v>2040</v>
      </c>
      <c r="B24" s="34">
        <f>Case!$B$8/Temperature!B22+Temperature!K22</f>
        <v>15055.868838371891</v>
      </c>
      <c r="C24" s="14">
        <f>'Elec str'!B60</f>
        <v>9081.9346094571702</v>
      </c>
      <c r="D24" s="13">
        <f>Speed!F23</f>
        <v>7943.8968813245283</v>
      </c>
      <c r="E24" s="13">
        <f>Infrastructure!E24</f>
        <v>10817.701196182723</v>
      </c>
      <c r="F24" s="14">
        <f>Feed!J22</f>
        <v>9918.2161280650853</v>
      </c>
      <c r="G24" s="13">
        <f>Best!G25+Temperature!L22</f>
        <v>8006.7309546100696</v>
      </c>
      <c r="H24" s="14">
        <f>Best!H25</f>
        <v>5410.67190428307</v>
      </c>
      <c r="L24" s="16">
        <f t="shared" si="4"/>
        <v>15031.99883837189</v>
      </c>
      <c r="M24" s="16">
        <f t="shared" si="5"/>
        <v>9058.0646094571694</v>
      </c>
      <c r="N24" s="16">
        <f t="shared" si="6"/>
        <v>7920.0268813245284</v>
      </c>
      <c r="O24" s="16">
        <f t="shared" si="7"/>
        <v>10793.831196182722</v>
      </c>
      <c r="P24" s="16">
        <f t="shared" si="8"/>
        <v>9894.3461280650845</v>
      </c>
      <c r="Q24" s="16">
        <f t="shared" si="3"/>
        <v>7982.8609546100697</v>
      </c>
      <c r="R24" s="16">
        <f t="shared" si="2"/>
        <v>5386.8019042830701</v>
      </c>
    </row>
    <row r="25" spans="1:18" x14ac:dyDescent="0.3">
      <c r="A25" s="14">
        <v>2041</v>
      </c>
      <c r="B25" s="34">
        <f>Case!$B$8/Temperature!B23+Temperature!K23</f>
        <v>15255.579137209021</v>
      </c>
      <c r="C25" s="14">
        <f>'Elec str'!B61</f>
        <v>8890.9159733249726</v>
      </c>
      <c r="D25" s="13">
        <f>Speed!F24</f>
        <v>7832.0110097565776</v>
      </c>
      <c r="E25" s="13">
        <f>Infrastructure!E25</f>
        <v>10806.451031824516</v>
      </c>
      <c r="F25" s="14">
        <f>Feed!J23</f>
        <v>9858.0541527756232</v>
      </c>
      <c r="G25" s="13">
        <f>Best!G26+Temperature!L23</f>
        <v>7765.8239203398334</v>
      </c>
      <c r="H25" s="14">
        <f>Best!H26</f>
        <v>5149.654852265091</v>
      </c>
      <c r="L25" s="16">
        <f t="shared" si="4"/>
        <v>15231.70913720902</v>
      </c>
      <c r="M25" s="16">
        <f t="shared" si="5"/>
        <v>8867.0459733249718</v>
      </c>
      <c r="N25" s="16">
        <f t="shared" si="6"/>
        <v>7808.1410097565777</v>
      </c>
      <c r="O25" s="16">
        <f t="shared" si="7"/>
        <v>10782.581031824515</v>
      </c>
      <c r="P25" s="16">
        <f t="shared" si="8"/>
        <v>9834.1841527756224</v>
      </c>
      <c r="Q25" s="16">
        <f t="shared" si="3"/>
        <v>7741.9539203398335</v>
      </c>
      <c r="R25" s="16">
        <f t="shared" si="2"/>
        <v>5125.7848522650911</v>
      </c>
    </row>
    <row r="26" spans="1:18" x14ac:dyDescent="0.3">
      <c r="A26" s="14">
        <v>2042</v>
      </c>
      <c r="B26" s="34">
        <f>Case!$B$8/Temperature!B24+Temperature!K24</f>
        <v>15455.596695923976</v>
      </c>
      <c r="C26" s="14">
        <f>'Elec str'!B62</f>
        <v>8699.897337192775</v>
      </c>
      <c r="D26" s="13">
        <f>Speed!F25</f>
        <v>7723.2330790655133</v>
      </c>
      <c r="E26" s="13">
        <f>Infrastructure!E26</f>
        <v>10795.475261718946</v>
      </c>
      <c r="F26" s="14">
        <f>Feed!J24</f>
        <v>9797.8921774861592</v>
      </c>
      <c r="G26" s="13">
        <f>Best!G27+Temperature!L24</f>
        <v>7522.362713553588</v>
      </c>
      <c r="H26" s="14">
        <f>Best!H27</f>
        <v>4896.0788254786112</v>
      </c>
      <c r="L26" s="16">
        <f t="shared" si="4"/>
        <v>15431.726695923975</v>
      </c>
      <c r="M26" s="16">
        <f t="shared" si="5"/>
        <v>8676.0273371927742</v>
      </c>
      <c r="N26" s="16">
        <f t="shared" si="6"/>
        <v>7699.3630790655134</v>
      </c>
      <c r="O26" s="16">
        <f t="shared" si="7"/>
        <v>10771.605261718945</v>
      </c>
      <c r="P26" s="16">
        <f t="shared" si="8"/>
        <v>9774.0221774861584</v>
      </c>
      <c r="Q26" s="16">
        <f t="shared" si="3"/>
        <v>7498.4927135535881</v>
      </c>
      <c r="R26" s="16">
        <f t="shared" si="2"/>
        <v>4872.2088254786113</v>
      </c>
    </row>
    <row r="27" spans="1:18" x14ac:dyDescent="0.3">
      <c r="A27" s="14">
        <v>2043</v>
      </c>
      <c r="B27" s="34">
        <f>Case!$B$8/Temperature!B25+Temperature!K25</f>
        <v>15655.924842241067</v>
      </c>
      <c r="C27" s="14">
        <f>'Elec str'!B63</f>
        <v>8508.8787010605774</v>
      </c>
      <c r="D27" s="13">
        <f>Speed!F26</f>
        <v>7617.4353656536568</v>
      </c>
      <c r="E27" s="13">
        <f>Infrastructure!E27</f>
        <v>10784.763968001464</v>
      </c>
      <c r="F27" s="14">
        <f>Feed!J25</f>
        <v>9737.7302021966971</v>
      </c>
      <c r="G27" s="13">
        <f>Best!G28+Temperature!L25</f>
        <v>7276.0755076542509</v>
      </c>
      <c r="H27" s="14">
        <f>Best!H28</f>
        <v>4649.6312353082576</v>
      </c>
      <c r="L27" s="16">
        <f t="shared" si="4"/>
        <v>15632.054842241067</v>
      </c>
      <c r="M27" s="16">
        <f t="shared" si="5"/>
        <v>8485.0087010605766</v>
      </c>
      <c r="N27" s="16">
        <f t="shared" si="6"/>
        <v>7593.565365653657</v>
      </c>
      <c r="O27" s="16">
        <f t="shared" si="7"/>
        <v>10760.893968001463</v>
      </c>
      <c r="P27" s="16">
        <f t="shared" si="8"/>
        <v>9713.8602021966963</v>
      </c>
      <c r="Q27" s="16">
        <f t="shared" si="3"/>
        <v>7252.2055076542511</v>
      </c>
      <c r="R27" s="16">
        <f t="shared" si="2"/>
        <v>4625.7612353082577</v>
      </c>
    </row>
    <row r="28" spans="1:18" x14ac:dyDescent="0.3">
      <c r="A28" s="14">
        <v>2044</v>
      </c>
      <c r="B28" s="34">
        <f>Case!$B$8/Temperature!B26+Temperature!K26</f>
        <v>15856.566952112487</v>
      </c>
      <c r="C28" s="14">
        <f>'Elec str'!B64</f>
        <v>8317.8600649283799</v>
      </c>
      <c r="D28" s="13">
        <f>Speed!F27</f>
        <v>7514.4970499015808</v>
      </c>
      <c r="E28" s="13">
        <f>Infrastructure!E28</f>
        <v>10774.307705086778</v>
      </c>
      <c r="F28" s="14">
        <f>Feed!J26</f>
        <v>9677.5682269072349</v>
      </c>
      <c r="G28" s="13">
        <f>Best!G29+Temperature!L26</f>
        <v>7026.7052493435403</v>
      </c>
      <c r="H28" s="14">
        <f>Best!H29</f>
        <v>4410.0167089281831</v>
      </c>
      <c r="L28" s="16">
        <f t="shared" si="4"/>
        <v>15832.696952112487</v>
      </c>
      <c r="M28" s="16">
        <f t="shared" si="5"/>
        <v>8293.9900649283791</v>
      </c>
      <c r="N28" s="16">
        <f t="shared" si="6"/>
        <v>7490.6270499015809</v>
      </c>
      <c r="O28" s="16">
        <f t="shared" si="7"/>
        <v>10750.437705086777</v>
      </c>
      <c r="P28" s="16">
        <f t="shared" si="8"/>
        <v>9653.6982269072341</v>
      </c>
      <c r="Q28" s="16">
        <f t="shared" si="3"/>
        <v>7002.8352493435405</v>
      </c>
      <c r="R28" s="16">
        <f t="shared" si="2"/>
        <v>4386.1467089281832</v>
      </c>
    </row>
    <row r="29" spans="1:18" x14ac:dyDescent="0.3">
      <c r="A29" s="14">
        <v>2045</v>
      </c>
      <c r="B29" s="34">
        <f>Case!$B$8/Temperature!B27+Temperature!K27</f>
        <v>16057.5264505952</v>
      </c>
      <c r="C29" s="14">
        <f>'Elec str'!B65</f>
        <v>8126.8414287961814</v>
      </c>
      <c r="D29" s="13">
        <f>Speed!F28</f>
        <v>7414.3037559028926</v>
      </c>
      <c r="E29" s="13">
        <f>Infrastructure!E29</f>
        <v>10764.097471887731</v>
      </c>
      <c r="F29" s="14">
        <f>Feed!J27</f>
        <v>9617.4062516177728</v>
      </c>
      <c r="G29" s="13">
        <f>Best!G30+Temperature!L27</f>
        <v>6774.0086549655252</v>
      </c>
      <c r="H29" s="14">
        <f>Best!H30</f>
        <v>4176.9559230620025</v>
      </c>
      <c r="L29" s="16">
        <f t="shared" si="4"/>
        <v>16033.656450595199</v>
      </c>
      <c r="M29" s="16">
        <f t="shared" si="5"/>
        <v>8102.9714287961815</v>
      </c>
      <c r="N29" s="16">
        <f t="shared" si="6"/>
        <v>7390.4337559028927</v>
      </c>
      <c r="O29" s="16">
        <f t="shared" si="7"/>
        <v>10740.227471887731</v>
      </c>
      <c r="P29" s="16">
        <f t="shared" si="8"/>
        <v>9593.536251617772</v>
      </c>
      <c r="Q29" s="16">
        <f t="shared" si="3"/>
        <v>6750.1386549655253</v>
      </c>
      <c r="R29" s="16">
        <f t="shared" si="2"/>
        <v>4153.0859230620026</v>
      </c>
    </row>
    <row r="30" spans="1:18" x14ac:dyDescent="0.3">
      <c r="A30" s="14">
        <v>2046</v>
      </c>
      <c r="B30" s="34">
        <f>Case!$B$8/Temperature!B28+Temperature!K28</f>
        <v>16258.806812746987</v>
      </c>
      <c r="C30" s="14">
        <f>'Elec str'!B66</f>
        <v>7935.8227926639838</v>
      </c>
      <c r="D30" s="13">
        <f>Speed!F29</f>
        <v>7316.7471275357493</v>
      </c>
      <c r="E30" s="13">
        <f>Infrastructure!E30</f>
        <v>10754.124685972385</v>
      </c>
      <c r="F30" s="14">
        <f>Feed!J28</f>
        <v>9557.2442763283088</v>
      </c>
      <c r="G30" s="13">
        <f>Best!G31+Temperature!L28</f>
        <v>6517.7552870767449</v>
      </c>
      <c r="H30" s="14">
        <f>Best!H31</f>
        <v>3950.1845310894705</v>
      </c>
      <c r="L30" s="16">
        <f t="shared" si="4"/>
        <v>16234.936812746986</v>
      </c>
      <c r="M30" s="16">
        <f t="shared" si="5"/>
        <v>7911.9527926639839</v>
      </c>
      <c r="N30" s="16">
        <f t="shared" si="6"/>
        <v>7292.8771275357494</v>
      </c>
      <c r="O30" s="16">
        <f t="shared" si="7"/>
        <v>10730.254685972384</v>
      </c>
      <c r="P30" s="16">
        <f t="shared" si="8"/>
        <v>9533.374276328308</v>
      </c>
      <c r="Q30" s="16">
        <f t="shared" si="3"/>
        <v>6493.885287076745</v>
      </c>
      <c r="R30" s="16">
        <f t="shared" si="2"/>
        <v>3926.3145310894706</v>
      </c>
    </row>
    <row r="31" spans="1:18" x14ac:dyDescent="0.3">
      <c r="A31" s="14">
        <v>2047</v>
      </c>
      <c r="B31" s="34">
        <f>Case!$B$8/Temperature!B29+Temperature!K29</f>
        <v>16460.411564542235</v>
      </c>
      <c r="C31" s="14">
        <f>'Elec str'!B67</f>
        <v>7744.8041565317862</v>
      </c>
      <c r="D31" s="13">
        <f>Speed!F30</f>
        <v>7221.7244375677528</v>
      </c>
      <c r="E31" s="13">
        <f>Infrastructure!E31</f>
        <v>10744.381159503368</v>
      </c>
      <c r="F31" s="14">
        <f>Feed!J29</f>
        <v>9497.0823010388467</v>
      </c>
      <c r="G31" s="13">
        <f>Best!G32+Temperature!L29</f>
        <v>6257.7267038633654</v>
      </c>
      <c r="H31" s="14">
        <f>Best!H32</f>
        <v>3729.4521749125443</v>
      </c>
      <c r="L31" s="16">
        <f t="shared" si="4"/>
        <v>16436.541564542236</v>
      </c>
      <c r="M31" s="16">
        <f t="shared" si="5"/>
        <v>7720.9341565317864</v>
      </c>
      <c r="N31" s="16">
        <f t="shared" si="6"/>
        <v>7197.8544375677529</v>
      </c>
      <c r="O31" s="16">
        <f t="shared" si="7"/>
        <v>10720.511159503367</v>
      </c>
      <c r="P31" s="16">
        <f t="shared" si="8"/>
        <v>9473.2123010388459</v>
      </c>
      <c r="Q31" s="16">
        <f t="shared" si="3"/>
        <v>6233.8567038633655</v>
      </c>
      <c r="R31" s="16">
        <f t="shared" si="2"/>
        <v>3705.5821749125444</v>
      </c>
    </row>
    <row r="32" spans="1:18" x14ac:dyDescent="0.3">
      <c r="A32" s="14">
        <v>2048</v>
      </c>
      <c r="B32" s="34">
        <f>Case!$B$8/Temperature!B30+Temperature!K30</f>
        <v>16662.344283807895</v>
      </c>
      <c r="C32" s="14">
        <f>'Elec str'!B68</f>
        <v>7553.7855203995878</v>
      </c>
      <c r="D32" s="13">
        <f>Speed!F31</f>
        <v>7129.1382268297048</v>
      </c>
      <c r="E32" s="13">
        <f>Infrastructure!E32</f>
        <v>10734.859076817736</v>
      </c>
      <c r="F32" s="14">
        <f>Feed!J30</f>
        <v>9436.9203257493846</v>
      </c>
      <c r="G32" s="13">
        <f>Best!G33+Temperature!L30</f>
        <v>5993.7156747902081</v>
      </c>
      <c r="H32" s="14">
        <f>Best!H33</f>
        <v>3514.5215738833504</v>
      </c>
      <c r="L32" s="16">
        <f t="shared" si="4"/>
        <v>16638.474283807896</v>
      </c>
      <c r="M32" s="16">
        <f t="shared" si="5"/>
        <v>7529.9155203995879</v>
      </c>
      <c r="N32" s="16">
        <f t="shared" si="6"/>
        <v>7105.2682268297049</v>
      </c>
      <c r="O32" s="16">
        <f t="shared" si="7"/>
        <v>10710.989076817736</v>
      </c>
      <c r="P32" s="16">
        <f t="shared" si="8"/>
        <v>9413.0503257493838</v>
      </c>
      <c r="Q32" s="16">
        <f t="shared" si="3"/>
        <v>5969.8456747902082</v>
      </c>
      <c r="R32" s="16">
        <f t="shared" si="2"/>
        <v>3490.6515738833505</v>
      </c>
    </row>
    <row r="33" spans="1:18" x14ac:dyDescent="0.3">
      <c r="A33" s="14">
        <v>2049</v>
      </c>
      <c r="B33" s="34">
        <f>Case!$B$8/Temperature!B31+Temperature!K31</f>
        <v>16864.608601180174</v>
      </c>
      <c r="C33" s="14">
        <f>'Elec str'!B69</f>
        <v>7362.7668842673902</v>
      </c>
      <c r="D33" s="13">
        <f>Speed!F32</f>
        <v>7038.8959707938848</v>
      </c>
      <c r="E33" s="13">
        <f>Infrastructure!E33</f>
        <v>10725.5509735183</v>
      </c>
      <c r="F33" s="14">
        <f>Feed!J31</f>
        <v>9376.7583504599206</v>
      </c>
      <c r="G33" s="13">
        <f>Best!G34+Temperature!L31</f>
        <v>5725.5254565431114</v>
      </c>
      <c r="H33" s="14">
        <f>Best!H34</f>
        <v>3305.1676838841322</v>
      </c>
      <c r="L33" s="16">
        <f t="shared" si="4"/>
        <v>16840.738601180175</v>
      </c>
      <c r="M33" s="16">
        <f t="shared" si="5"/>
        <v>7338.8968842673903</v>
      </c>
      <c r="N33" s="16">
        <f t="shared" si="6"/>
        <v>7015.0259707938849</v>
      </c>
      <c r="O33" s="16">
        <f t="shared" si="7"/>
        <v>10701.6809735183</v>
      </c>
      <c r="P33" s="16">
        <f t="shared" si="8"/>
        <v>9352.8883504599198</v>
      </c>
      <c r="Q33" s="16">
        <f t="shared" si="3"/>
        <v>5701.6554565431115</v>
      </c>
      <c r="R33" s="16">
        <f t="shared" si="2"/>
        <v>3281.2976838841323</v>
      </c>
    </row>
    <row r="34" spans="1:18" x14ac:dyDescent="0.3">
      <c r="A34" s="14">
        <v>2050</v>
      </c>
      <c r="B34" s="34">
        <f>Case!$B$8/Temperature!B32+Temperature!K32</f>
        <v>17067.208201082482</v>
      </c>
      <c r="C34" s="14">
        <f>'Elec str'!B70</f>
        <v>7171.7482481351944</v>
      </c>
      <c r="D34" s="13">
        <f>Speed!F33</f>
        <v>6950.909771158962</v>
      </c>
      <c r="E34" s="13">
        <f>Infrastructure!E34</f>
        <v>10716.44971695885</v>
      </c>
      <c r="F34" s="14">
        <f>Feed!J32</f>
        <v>9316.5963751704621</v>
      </c>
      <c r="G34" s="13">
        <f>Best!G35+Temperature!L32</f>
        <v>5452.9691239257681</v>
      </c>
      <c r="H34" s="14">
        <f>Best!H35</f>
        <v>3101.1769203473896</v>
      </c>
      <c r="L34" s="16">
        <f t="shared" si="4"/>
        <v>17043.338201082483</v>
      </c>
      <c r="M34" s="16">
        <f t="shared" si="5"/>
        <v>7147.8782481351946</v>
      </c>
      <c r="N34" s="16">
        <f t="shared" si="6"/>
        <v>6927.0397711589621</v>
      </c>
      <c r="O34" s="16">
        <f t="shared" si="7"/>
        <v>10692.57971695885</v>
      </c>
      <c r="P34" s="16">
        <f t="shared" si="8"/>
        <v>9292.7263751704613</v>
      </c>
      <c r="Q34" s="16">
        <f t="shared" si="3"/>
        <v>5429.0991239257683</v>
      </c>
      <c r="R34" s="16">
        <f t="shared" si="2"/>
        <v>3077.3069203473897</v>
      </c>
    </row>
    <row r="38" spans="1:18" x14ac:dyDescent="0.3">
      <c r="C38" s="13" t="s">
        <v>59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2A272-E505-43B2-9CC3-094D5EFABE93}">
  <dimension ref="A1:H54"/>
  <sheetViews>
    <sheetView workbookViewId="0">
      <selection activeCell="F48" sqref="F48"/>
    </sheetView>
  </sheetViews>
  <sheetFormatPr defaultColWidth="8.83203125" defaultRowHeight="14" x14ac:dyDescent="0.3"/>
  <cols>
    <col min="2" max="2" width="24.1640625" bestFit="1" customWidth="1"/>
    <col min="3" max="3" width="12.33203125" bestFit="1" customWidth="1"/>
    <col min="4" max="4" width="10.33203125" bestFit="1" customWidth="1"/>
    <col min="8" max="8" width="13.5" bestFit="1" customWidth="1"/>
  </cols>
  <sheetData>
    <row r="1" spans="1:8" x14ac:dyDescent="0.3">
      <c r="G1" t="s">
        <v>47</v>
      </c>
      <c r="H1" t="s">
        <v>48</v>
      </c>
    </row>
    <row r="2" spans="1:8" x14ac:dyDescent="0.3">
      <c r="A2" t="s">
        <v>0</v>
      </c>
      <c r="B2" t="s">
        <v>112</v>
      </c>
      <c r="G2">
        <v>2000</v>
      </c>
      <c r="H2">
        <v>1.8100000000000002E-2</v>
      </c>
    </row>
    <row r="3" spans="1:8" x14ac:dyDescent="0.3">
      <c r="A3">
        <v>2020</v>
      </c>
      <c r="B3" s="1">
        <f>H22*10000</f>
        <v>1976.6000000000001</v>
      </c>
      <c r="G3">
        <v>2001</v>
      </c>
      <c r="H3">
        <v>3.73E-2</v>
      </c>
    </row>
    <row r="4" spans="1:8" x14ac:dyDescent="0.3">
      <c r="A4">
        <v>2021</v>
      </c>
      <c r="B4" s="1">
        <f t="shared" ref="B4:B32" si="0">H23*10000</f>
        <v>2463.2999999999997</v>
      </c>
      <c r="G4">
        <v>2002</v>
      </c>
      <c r="H4">
        <v>4.2900000000000001E-2</v>
      </c>
    </row>
    <row r="5" spans="1:8" x14ac:dyDescent="0.3">
      <c r="A5">
        <v>2022</v>
      </c>
      <c r="B5" s="1">
        <f t="shared" si="0"/>
        <v>2254.6999999999998</v>
      </c>
      <c r="G5">
        <v>2003</v>
      </c>
      <c r="H5">
        <v>5.1499999999999997E-2</v>
      </c>
    </row>
    <row r="6" spans="1:8" x14ac:dyDescent="0.3">
      <c r="A6">
        <v>2023</v>
      </c>
      <c r="B6" s="1">
        <f t="shared" si="0"/>
        <v>2356.3486247559199</v>
      </c>
      <c r="G6">
        <v>2004</v>
      </c>
      <c r="H6">
        <v>7.5999999999999998E-2</v>
      </c>
    </row>
    <row r="7" spans="1:8" x14ac:dyDescent="0.3">
      <c r="A7">
        <v>2024</v>
      </c>
      <c r="B7" s="1">
        <f t="shared" si="0"/>
        <v>2501.2232253408201</v>
      </c>
      <c r="G7">
        <v>2005</v>
      </c>
      <c r="H7">
        <v>8.3000000000000004E-2</v>
      </c>
    </row>
    <row r="8" spans="1:8" x14ac:dyDescent="0.3">
      <c r="A8">
        <v>2025</v>
      </c>
      <c r="B8" s="1">
        <f t="shared" si="0"/>
        <v>2653.3056126322604</v>
      </c>
      <c r="G8">
        <v>2006</v>
      </c>
      <c r="H8">
        <v>8.3299999999999999E-2</v>
      </c>
    </row>
    <row r="9" spans="1:8" x14ac:dyDescent="0.3">
      <c r="A9">
        <v>2026</v>
      </c>
      <c r="B9" s="1">
        <f t="shared" si="0"/>
        <v>2812.94973796775</v>
      </c>
      <c r="G9">
        <v>2007</v>
      </c>
      <c r="H9">
        <v>7.8299999999999995E-2</v>
      </c>
    </row>
    <row r="10" spans="1:8" x14ac:dyDescent="0.3">
      <c r="A10">
        <v>2027</v>
      </c>
      <c r="B10" s="1">
        <f t="shared" si="0"/>
        <v>2980.5266621360697</v>
      </c>
      <c r="G10">
        <v>2008</v>
      </c>
      <c r="H10">
        <v>0.1037</v>
      </c>
    </row>
    <row r="11" spans="1:8" x14ac:dyDescent="0.3">
      <c r="A11">
        <v>2028</v>
      </c>
      <c r="B11" s="1">
        <f t="shared" si="0"/>
        <v>3156.42536477867</v>
      </c>
      <c r="G11">
        <v>2009</v>
      </c>
      <c r="H11">
        <v>9.1399999999999995E-2</v>
      </c>
    </row>
    <row r="12" spans="1:8" x14ac:dyDescent="0.3">
      <c r="A12">
        <v>2029</v>
      </c>
      <c r="B12" s="1">
        <f t="shared" si="0"/>
        <v>3341.0535907779599</v>
      </c>
      <c r="G12">
        <v>2010</v>
      </c>
      <c r="H12">
        <v>0.10150000000000001</v>
      </c>
    </row>
    <row r="13" spans="1:8" x14ac:dyDescent="0.3">
      <c r="A13">
        <v>2030</v>
      </c>
      <c r="B13" s="1">
        <f t="shared" si="0"/>
        <v>3534.8387352109899</v>
      </c>
      <c r="G13">
        <v>2011</v>
      </c>
      <c r="H13">
        <v>0.1036</v>
      </c>
    </row>
    <row r="14" spans="1:8" x14ac:dyDescent="0.3">
      <c r="A14">
        <v>2031</v>
      </c>
      <c r="B14" s="1">
        <f t="shared" si="0"/>
        <v>3738.2287685318202</v>
      </c>
      <c r="G14">
        <v>2012</v>
      </c>
      <c r="H14">
        <v>0.11114</v>
      </c>
    </row>
    <row r="15" spans="1:8" x14ac:dyDescent="0.3">
      <c r="A15">
        <v>2032</v>
      </c>
      <c r="B15" s="1">
        <f t="shared" si="0"/>
        <v>3951.6932036491398</v>
      </c>
      <c r="G15">
        <v>2013</v>
      </c>
      <c r="H15">
        <v>0.14699999999999999</v>
      </c>
    </row>
    <row r="16" spans="1:8" x14ac:dyDescent="0.3">
      <c r="A16">
        <v>2033</v>
      </c>
      <c r="B16" s="1">
        <f t="shared" si="0"/>
        <v>4175.72410668469</v>
      </c>
      <c r="G16">
        <v>2014</v>
      </c>
      <c r="H16">
        <v>0.13070000000000001</v>
      </c>
    </row>
    <row r="17" spans="1:8" x14ac:dyDescent="0.3">
      <c r="A17">
        <v>2034</v>
      </c>
      <c r="B17" s="1">
        <f t="shared" si="0"/>
        <v>4410.8371532189403</v>
      </c>
      <c r="G17">
        <v>2015</v>
      </c>
      <c r="H17">
        <v>0.1479</v>
      </c>
    </row>
    <row r="18" spans="1:8" x14ac:dyDescent="0.3">
      <c r="A18">
        <v>2035</v>
      </c>
      <c r="B18" s="1">
        <f t="shared" si="0"/>
        <v>4657.5727319094503</v>
      </c>
      <c r="G18">
        <v>2016</v>
      </c>
      <c r="H18">
        <v>0.14000000000000001</v>
      </c>
    </row>
    <row r="19" spans="1:8" x14ac:dyDescent="0.3">
      <c r="A19">
        <v>2036</v>
      </c>
      <c r="B19" s="1">
        <f t="shared" si="0"/>
        <v>4916.4970974220505</v>
      </c>
      <c r="G19">
        <v>2017</v>
      </c>
      <c r="H19">
        <v>0.12759999999999999</v>
      </c>
    </row>
    <row r="20" spans="1:8" x14ac:dyDescent="0.3">
      <c r="A20">
        <v>2037</v>
      </c>
      <c r="B20" s="1">
        <f t="shared" si="0"/>
        <v>5188.2035746871206</v>
      </c>
      <c r="G20">
        <v>2018</v>
      </c>
      <c r="H20">
        <v>0.15221999999999999</v>
      </c>
    </row>
    <row r="21" spans="1:8" x14ac:dyDescent="0.3">
      <c r="A21">
        <v>2038</v>
      </c>
      <c r="B21" s="1">
        <f t="shared" si="0"/>
        <v>5473.3138165386199</v>
      </c>
      <c r="G21">
        <v>2019</v>
      </c>
      <c r="H21">
        <v>0.16566</v>
      </c>
    </row>
    <row r="22" spans="1:8" ht="15.5" x14ac:dyDescent="0.35">
      <c r="A22">
        <v>2039</v>
      </c>
      <c r="B22" s="1">
        <f t="shared" si="0"/>
        <v>5772.4791168811798</v>
      </c>
      <c r="G22">
        <v>2020</v>
      </c>
      <c r="H22" s="25">
        <v>0.19766</v>
      </c>
    </row>
    <row r="23" spans="1:8" ht="15.5" x14ac:dyDescent="0.35">
      <c r="A23">
        <v>2040</v>
      </c>
      <c r="B23" s="1">
        <f t="shared" si="0"/>
        <v>6086.3817815652501</v>
      </c>
      <c r="G23">
        <v>2021</v>
      </c>
      <c r="H23" s="25">
        <v>0.24632999999999999</v>
      </c>
    </row>
    <row r="24" spans="1:8" ht="15.5" x14ac:dyDescent="0.35">
      <c r="A24">
        <v>2041</v>
      </c>
      <c r="B24" s="1">
        <f t="shared" si="0"/>
        <v>6415.7365592382102</v>
      </c>
      <c r="G24">
        <v>2022</v>
      </c>
      <c r="H24" s="25">
        <v>0.22547</v>
      </c>
    </row>
    <row r="25" spans="1:8" ht="15.5" x14ac:dyDescent="0.35">
      <c r="A25">
        <v>2042</v>
      </c>
      <c r="B25" s="1">
        <f t="shared" si="0"/>
        <v>6761.2921344766601</v>
      </c>
      <c r="G25">
        <v>2023</v>
      </c>
      <c r="H25" s="24">
        <v>0.23563486247559201</v>
      </c>
    </row>
    <row r="26" spans="1:8" ht="15.5" x14ac:dyDescent="0.35">
      <c r="A26">
        <v>2043</v>
      </c>
      <c r="B26" s="1">
        <f t="shared" si="0"/>
        <v>7123.8326855831201</v>
      </c>
      <c r="G26">
        <v>2024</v>
      </c>
      <c r="H26" s="24">
        <v>0.25012232253408201</v>
      </c>
    </row>
    <row r="27" spans="1:8" ht="15.5" x14ac:dyDescent="0.35">
      <c r="A27">
        <v>2044</v>
      </c>
      <c r="B27" s="1">
        <f t="shared" si="0"/>
        <v>7504.17950947792</v>
      </c>
      <c r="G27">
        <v>2025</v>
      </c>
      <c r="H27" s="24">
        <v>0.26533056126322602</v>
      </c>
    </row>
    <row r="28" spans="1:8" ht="15.5" x14ac:dyDescent="0.35">
      <c r="A28">
        <v>2045</v>
      </c>
      <c r="B28" s="1">
        <f t="shared" si="0"/>
        <v>7903.1927161787498</v>
      </c>
      <c r="G28">
        <v>2026</v>
      </c>
      <c r="H28" s="24">
        <v>0.28129497379677498</v>
      </c>
    </row>
    <row r="29" spans="1:8" ht="15.5" x14ac:dyDescent="0.35">
      <c r="A29">
        <v>2046</v>
      </c>
      <c r="B29" s="1">
        <f t="shared" si="0"/>
        <v>8321.7729953997805</v>
      </c>
      <c r="G29">
        <v>2027</v>
      </c>
      <c r="H29" s="24">
        <v>0.29805266621360699</v>
      </c>
    </row>
    <row r="30" spans="1:8" ht="15.5" x14ac:dyDescent="0.35">
      <c r="A30">
        <v>2047</v>
      </c>
      <c r="B30" s="1">
        <f t="shared" si="0"/>
        <v>8760.8634578748406</v>
      </c>
      <c r="G30">
        <v>2028</v>
      </c>
      <c r="H30" s="24">
        <v>0.315642536477867</v>
      </c>
    </row>
    <row r="31" spans="1:8" ht="15.5" x14ac:dyDescent="0.35">
      <c r="A31">
        <v>2048</v>
      </c>
      <c r="B31" s="1">
        <f t="shared" si="0"/>
        <v>9221.451554028019</v>
      </c>
      <c r="G31">
        <v>2029</v>
      </c>
      <c r="H31" s="24">
        <v>0.33410535907779598</v>
      </c>
    </row>
    <row r="32" spans="1:8" ht="15.5" x14ac:dyDescent="0.35">
      <c r="A32">
        <v>2049</v>
      </c>
      <c r="B32" s="1">
        <f t="shared" si="0"/>
        <v>9704.5710726706602</v>
      </c>
      <c r="G32">
        <v>2030</v>
      </c>
      <c r="H32" s="24">
        <v>0.353483873521099</v>
      </c>
    </row>
    <row r="33" spans="1:8" ht="15.5" x14ac:dyDescent="0.35">
      <c r="A33">
        <v>2050</v>
      </c>
      <c r="B33" s="1">
        <f>H52*10000</f>
        <v>10211.304222443599</v>
      </c>
      <c r="G33">
        <v>2031</v>
      </c>
      <c r="H33" s="24">
        <v>0.373822876853182</v>
      </c>
    </row>
    <row r="34" spans="1:8" ht="15.5" x14ac:dyDescent="0.35">
      <c r="G34">
        <v>2032</v>
      </c>
      <c r="H34" s="24">
        <v>0.39516932036491398</v>
      </c>
    </row>
    <row r="35" spans="1:8" ht="15.5" x14ac:dyDescent="0.35">
      <c r="G35">
        <v>2033</v>
      </c>
      <c r="H35" s="24">
        <v>0.41757241066846901</v>
      </c>
    </row>
    <row r="36" spans="1:8" ht="15.5" x14ac:dyDescent="0.35">
      <c r="G36">
        <v>2034</v>
      </c>
      <c r="H36" s="24">
        <v>0.441083715321894</v>
      </c>
    </row>
    <row r="37" spans="1:8" ht="15.5" x14ac:dyDescent="0.35">
      <c r="G37">
        <v>2035</v>
      </c>
      <c r="H37" s="24">
        <v>0.46575727319094501</v>
      </c>
    </row>
    <row r="38" spans="1:8" ht="15.5" x14ac:dyDescent="0.35">
      <c r="G38">
        <v>2036</v>
      </c>
      <c r="H38" s="24">
        <v>0.49164970974220501</v>
      </c>
    </row>
    <row r="39" spans="1:8" ht="15.5" x14ac:dyDescent="0.35">
      <c r="G39">
        <v>2037</v>
      </c>
      <c r="H39" s="24">
        <v>0.51882035746871202</v>
      </c>
    </row>
    <row r="40" spans="1:8" ht="15.5" x14ac:dyDescent="0.35">
      <c r="G40">
        <v>2038</v>
      </c>
      <c r="H40" s="24">
        <v>0.54733138165386197</v>
      </c>
    </row>
    <row r="41" spans="1:8" ht="15.5" x14ac:dyDescent="0.35">
      <c r="G41">
        <v>2039</v>
      </c>
      <c r="H41" s="24">
        <v>0.57724791168811795</v>
      </c>
    </row>
    <row r="42" spans="1:8" ht="15.5" x14ac:dyDescent="0.35">
      <c r="G42">
        <v>2040</v>
      </c>
      <c r="H42" s="24">
        <v>0.60863817815652499</v>
      </c>
    </row>
    <row r="43" spans="1:8" ht="15.5" x14ac:dyDescent="0.35">
      <c r="G43">
        <v>2041</v>
      </c>
      <c r="H43" s="24">
        <v>0.64157365592382098</v>
      </c>
    </row>
    <row r="44" spans="1:8" ht="15.5" x14ac:dyDescent="0.35">
      <c r="G44">
        <v>2042</v>
      </c>
      <c r="H44" s="24">
        <v>0.67612921344766597</v>
      </c>
    </row>
    <row r="45" spans="1:8" ht="15.5" x14ac:dyDescent="0.35">
      <c r="G45">
        <v>2043</v>
      </c>
      <c r="H45" s="24">
        <v>0.71238326855831202</v>
      </c>
    </row>
    <row r="46" spans="1:8" ht="15.5" x14ac:dyDescent="0.35">
      <c r="G46">
        <v>2044</v>
      </c>
      <c r="H46" s="24">
        <v>0.75041795094779196</v>
      </c>
    </row>
    <row r="47" spans="1:8" ht="15.5" x14ac:dyDescent="0.35">
      <c r="G47">
        <v>2045</v>
      </c>
      <c r="H47" s="24">
        <v>0.79031927161787496</v>
      </c>
    </row>
    <row r="48" spans="1:8" ht="15.5" x14ac:dyDescent="0.35">
      <c r="G48">
        <v>2046</v>
      </c>
      <c r="H48" s="24">
        <v>0.83217729953997799</v>
      </c>
    </row>
    <row r="49" spans="7:8" ht="15.5" x14ac:dyDescent="0.35">
      <c r="G49">
        <v>2047</v>
      </c>
      <c r="H49" s="24">
        <v>0.87608634578748401</v>
      </c>
    </row>
    <row r="50" spans="7:8" ht="15.5" x14ac:dyDescent="0.35">
      <c r="G50">
        <v>2048</v>
      </c>
      <c r="H50" s="24">
        <v>0.92214515540280195</v>
      </c>
    </row>
    <row r="51" spans="7:8" ht="15.5" x14ac:dyDescent="0.35">
      <c r="G51">
        <v>2049</v>
      </c>
      <c r="H51" s="24">
        <v>0.97045710726706602</v>
      </c>
    </row>
    <row r="52" spans="7:8" ht="15.5" x14ac:dyDescent="0.35">
      <c r="G52">
        <v>2050</v>
      </c>
      <c r="H52" s="24">
        <v>1.02113042224436</v>
      </c>
    </row>
    <row r="53" spans="7:8" x14ac:dyDescent="0.3">
      <c r="H53">
        <v>1.07427837987251</v>
      </c>
    </row>
    <row r="54" spans="7:8" x14ac:dyDescent="0.3">
      <c r="H54">
        <v>1.1300195438778899</v>
      </c>
    </row>
  </sheetData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46CF2-3FBC-4DB6-AEC1-F4B75A659227}">
  <dimension ref="A1:B32"/>
  <sheetViews>
    <sheetView workbookViewId="0">
      <selection activeCell="B2" sqref="B2:B32"/>
    </sheetView>
  </sheetViews>
  <sheetFormatPr defaultRowHeight="14" x14ac:dyDescent="0.3"/>
  <sheetData>
    <row r="1" spans="1:2" x14ac:dyDescent="0.3">
      <c r="A1" t="s">
        <v>118</v>
      </c>
      <c r="B1" t="s">
        <v>117</v>
      </c>
    </row>
    <row r="2" spans="1:2" x14ac:dyDescent="0.3">
      <c r="A2">
        <v>2020</v>
      </c>
      <c r="B2">
        <v>4295.7438498886531</v>
      </c>
    </row>
    <row r="3" spans="1:2" x14ac:dyDescent="0.3">
      <c r="A3">
        <v>2021</v>
      </c>
      <c r="B3">
        <v>4575.6325381651859</v>
      </c>
    </row>
    <row r="4" spans="1:2" x14ac:dyDescent="0.3">
      <c r="A4">
        <v>2022</v>
      </c>
      <c r="B4">
        <v>4855.5212264417187</v>
      </c>
    </row>
    <row r="5" spans="1:2" x14ac:dyDescent="0.3">
      <c r="A5">
        <v>2023</v>
      </c>
      <c r="B5">
        <v>5135.4099147182505</v>
      </c>
    </row>
    <row r="6" spans="1:2" x14ac:dyDescent="0.3">
      <c r="A6">
        <v>2024</v>
      </c>
      <c r="B6">
        <v>5415.2986029947851</v>
      </c>
    </row>
    <row r="7" spans="1:2" x14ac:dyDescent="0.3">
      <c r="A7">
        <v>2025</v>
      </c>
      <c r="B7">
        <v>5695.1872912713179</v>
      </c>
    </row>
    <row r="8" spans="1:2" x14ac:dyDescent="0.3">
      <c r="A8">
        <v>2026</v>
      </c>
      <c r="B8">
        <v>6065.8259288763156</v>
      </c>
    </row>
    <row r="9" spans="1:2" x14ac:dyDescent="0.3">
      <c r="A9">
        <v>2027</v>
      </c>
      <c r="B9">
        <v>6436.4645664813143</v>
      </c>
    </row>
    <row r="10" spans="1:2" x14ac:dyDescent="0.3">
      <c r="A10">
        <v>2028</v>
      </c>
      <c r="B10">
        <v>6807.103204086312</v>
      </c>
    </row>
    <row r="11" spans="1:2" x14ac:dyDescent="0.3">
      <c r="A11">
        <v>2029</v>
      </c>
      <c r="B11">
        <v>7177.7418416913097</v>
      </c>
    </row>
    <row r="12" spans="1:2" x14ac:dyDescent="0.3">
      <c r="A12">
        <v>2030</v>
      </c>
      <c r="B12">
        <v>7548.3804792963083</v>
      </c>
    </row>
    <row r="13" spans="1:2" x14ac:dyDescent="0.3">
      <c r="A13">
        <v>2031</v>
      </c>
      <c r="B13">
        <v>7946.936381108404</v>
      </c>
    </row>
    <row r="14" spans="1:2" x14ac:dyDescent="0.3">
      <c r="A14">
        <v>2032</v>
      </c>
      <c r="B14">
        <v>8345.4922829204988</v>
      </c>
    </row>
    <row r="15" spans="1:2" x14ac:dyDescent="0.3">
      <c r="A15">
        <v>2033</v>
      </c>
      <c r="B15">
        <v>8744.0481847325955</v>
      </c>
    </row>
    <row r="16" spans="1:2" x14ac:dyDescent="0.3">
      <c r="A16">
        <v>2034</v>
      </c>
      <c r="B16">
        <v>9142.6040865446921</v>
      </c>
    </row>
    <row r="17" spans="1:2" x14ac:dyDescent="0.3">
      <c r="A17">
        <v>2035</v>
      </c>
      <c r="B17">
        <v>9541.1599883567869</v>
      </c>
    </row>
    <row r="18" spans="1:2" x14ac:dyDescent="0.3">
      <c r="A18">
        <v>2036</v>
      </c>
      <c r="B18">
        <v>9987.6143985433537</v>
      </c>
    </row>
    <row r="19" spans="1:2" x14ac:dyDescent="0.3">
      <c r="A19">
        <v>2037</v>
      </c>
      <c r="B19">
        <v>10434.06880872992</v>
      </c>
    </row>
    <row r="20" spans="1:2" x14ac:dyDescent="0.3">
      <c r="A20">
        <v>2038</v>
      </c>
      <c r="B20">
        <v>10880.523218916491</v>
      </c>
    </row>
    <row r="21" spans="1:2" x14ac:dyDescent="0.3">
      <c r="A21">
        <v>2039</v>
      </c>
      <c r="B21">
        <v>11326.977629103059</v>
      </c>
    </row>
    <row r="22" spans="1:2" x14ac:dyDescent="0.3">
      <c r="A22">
        <v>2040</v>
      </c>
      <c r="B22">
        <v>11773.432039289621</v>
      </c>
    </row>
    <row r="23" spans="1:2" x14ac:dyDescent="0.3">
      <c r="A23">
        <v>2041</v>
      </c>
      <c r="B23">
        <v>12159.55878842182</v>
      </c>
    </row>
    <row r="24" spans="1:2" x14ac:dyDescent="0.3">
      <c r="A24">
        <v>2042</v>
      </c>
      <c r="B24">
        <v>12545.68553755402</v>
      </c>
    </row>
    <row r="25" spans="1:2" x14ac:dyDescent="0.3">
      <c r="A25">
        <v>2043</v>
      </c>
      <c r="B25">
        <v>12931.81228668622</v>
      </c>
    </row>
    <row r="26" spans="1:2" x14ac:dyDescent="0.3">
      <c r="A26">
        <v>2044</v>
      </c>
      <c r="B26">
        <v>13317.939035818419</v>
      </c>
    </row>
    <row r="27" spans="1:2" x14ac:dyDescent="0.3">
      <c r="A27">
        <v>2045</v>
      </c>
      <c r="B27">
        <v>13704.06578495061</v>
      </c>
    </row>
    <row r="28" spans="1:2" x14ac:dyDescent="0.3">
      <c r="A28">
        <v>2046</v>
      </c>
      <c r="B28">
        <v>13993.622894994371</v>
      </c>
    </row>
    <row r="29" spans="1:2" x14ac:dyDescent="0.3">
      <c r="A29">
        <v>2047</v>
      </c>
      <c r="B29">
        <v>14283.180005038121</v>
      </c>
    </row>
    <row r="30" spans="1:2" x14ac:dyDescent="0.3">
      <c r="A30">
        <v>2048</v>
      </c>
      <c r="B30">
        <v>14572.73711508188</v>
      </c>
    </row>
    <row r="31" spans="1:2" x14ac:dyDescent="0.3">
      <c r="A31">
        <v>2049</v>
      </c>
      <c r="B31">
        <v>14862.29422512563</v>
      </c>
    </row>
    <row r="32" spans="1:2" x14ac:dyDescent="0.3">
      <c r="A32">
        <v>2050</v>
      </c>
      <c r="B32">
        <v>15151.85133516938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7568E-90EF-40FE-88D6-920C71E6F4C3}">
  <dimension ref="A1:V40"/>
  <sheetViews>
    <sheetView tabSelected="1" zoomScaleNormal="100" workbookViewId="0">
      <selection activeCell="U39" sqref="U39"/>
    </sheetView>
  </sheetViews>
  <sheetFormatPr defaultColWidth="8.83203125" defaultRowHeight="14" x14ac:dyDescent="0.3"/>
  <cols>
    <col min="2" max="2" width="11.33203125" bestFit="1" customWidth="1"/>
    <col min="3" max="3" width="8.6640625" bestFit="1" customWidth="1"/>
    <col min="4" max="5" width="9.6640625" bestFit="1" customWidth="1"/>
    <col min="6" max="6" width="8.6640625" bestFit="1" customWidth="1"/>
    <col min="7" max="11" width="9.6640625" bestFit="1" customWidth="1"/>
    <col min="12" max="12" width="8.6640625" bestFit="1" customWidth="1"/>
    <col min="13" max="13" width="9.6640625" bestFit="1" customWidth="1"/>
    <col min="14" max="16" width="9.6640625" customWidth="1"/>
    <col min="17" max="20" width="9.6640625" bestFit="1" customWidth="1"/>
    <col min="22" max="22" width="9.6640625" bestFit="1" customWidth="1"/>
  </cols>
  <sheetData>
    <row r="1" spans="1:22" x14ac:dyDescent="0.3">
      <c r="B1" s="47" t="s">
        <v>35</v>
      </c>
      <c r="C1" s="48"/>
      <c r="D1" s="49"/>
      <c r="E1" s="50" t="s">
        <v>36</v>
      </c>
      <c r="F1" s="51"/>
      <c r="G1" s="52"/>
      <c r="H1" s="41" t="s">
        <v>27</v>
      </c>
      <c r="I1" s="42"/>
      <c r="J1" s="42"/>
      <c r="K1" s="44" t="s">
        <v>29</v>
      </c>
      <c r="L1" s="45"/>
      <c r="M1" s="46"/>
      <c r="N1" s="42" t="s">
        <v>79</v>
      </c>
      <c r="O1" s="42"/>
      <c r="P1" s="42"/>
      <c r="Q1" s="44" t="s">
        <v>83</v>
      </c>
      <c r="R1" s="45"/>
      <c r="S1" s="46"/>
      <c r="T1" s="41" t="s">
        <v>84</v>
      </c>
      <c r="U1" s="42"/>
      <c r="V1" s="43"/>
    </row>
    <row r="2" spans="1:22" x14ac:dyDescent="0.3">
      <c r="B2" s="18" t="s">
        <v>1</v>
      </c>
      <c r="C2" s="14" t="s">
        <v>2</v>
      </c>
      <c r="D2" s="20" t="s">
        <v>3</v>
      </c>
      <c r="E2" s="21" t="s">
        <v>1</v>
      </c>
      <c r="F2" s="21" t="s">
        <v>2</v>
      </c>
      <c r="G2" s="21" t="s">
        <v>3</v>
      </c>
      <c r="H2" s="14" t="s">
        <v>1</v>
      </c>
      <c r="I2" s="14" t="s">
        <v>2</v>
      </c>
      <c r="J2" s="14" t="s">
        <v>3</v>
      </c>
      <c r="K2" s="26" t="s">
        <v>1</v>
      </c>
      <c r="L2" s="21" t="s">
        <v>2</v>
      </c>
      <c r="M2" s="27" t="s">
        <v>3</v>
      </c>
      <c r="N2" s="14" t="s">
        <v>1</v>
      </c>
      <c r="O2" s="14" t="s">
        <v>2</v>
      </c>
      <c r="P2" s="14" t="s">
        <v>3</v>
      </c>
      <c r="Q2" s="26" t="s">
        <v>1</v>
      </c>
      <c r="R2" s="21" t="s">
        <v>2</v>
      </c>
      <c r="S2" s="27" t="s">
        <v>3</v>
      </c>
      <c r="T2" s="18" t="s">
        <v>1</v>
      </c>
      <c r="U2" s="14" t="s">
        <v>2</v>
      </c>
      <c r="V2" s="20" t="s">
        <v>3</v>
      </c>
    </row>
    <row r="3" spans="1:22" x14ac:dyDescent="0.3">
      <c r="A3">
        <v>2020</v>
      </c>
      <c r="B3" s="19">
        <f>单位碳足迹!L4*Production!$B3/1000</f>
        <v>21935.487763876492</v>
      </c>
      <c r="C3" s="19">
        <f>$B3+Error!$B2</f>
        <v>26231.231613765143</v>
      </c>
      <c r="D3" s="19">
        <f>$B3-Error!$B2</f>
        <v>17639.743913987841</v>
      </c>
      <c r="E3" s="19">
        <f>单位碳足迹!M4*Production!$B3/1000</f>
        <v>21935.487763876492</v>
      </c>
      <c r="F3" s="19">
        <f>$E3+Error!$B2</f>
        <v>26231.231613765143</v>
      </c>
      <c r="G3" s="19">
        <f>$E3-Error!$B2</f>
        <v>17639.743913987841</v>
      </c>
      <c r="H3" s="19">
        <f>单位碳足迹!N4*Production!$B3/1000</f>
        <v>21935.487763876492</v>
      </c>
      <c r="I3" s="19">
        <f>$H3+Error!$B2</f>
        <v>26231.231613765143</v>
      </c>
      <c r="J3" s="19">
        <f>$H3-Error!$B2</f>
        <v>17639.743913987841</v>
      </c>
      <c r="K3" s="19">
        <f>单位碳足迹!O4*Production!$B3/1000</f>
        <v>21935.487763876492</v>
      </c>
      <c r="L3" s="19">
        <f>$K3+Error!$B2</f>
        <v>26231.231613765143</v>
      </c>
      <c r="M3" s="19">
        <f>$K3-Error!$B2</f>
        <v>17639.743913987841</v>
      </c>
      <c r="N3" s="19">
        <f>单位碳足迹!P4*Production!$B3/1000</f>
        <v>21935.487763876492</v>
      </c>
      <c r="O3" s="19">
        <f>$N3+Error!$B2</f>
        <v>26231.231613765143</v>
      </c>
      <c r="P3" s="19">
        <f>$N3-Error!$B2</f>
        <v>17639.743913987841</v>
      </c>
      <c r="Q3" s="19">
        <f>单位碳足迹!Q4*Production!$B3/1000</f>
        <v>21935.487763876492</v>
      </c>
      <c r="R3" s="19">
        <f>$Q3+Error!$B2</f>
        <v>26231.231613765143</v>
      </c>
      <c r="S3" s="19">
        <f>$Q3-Error!$B2</f>
        <v>17639.743913987841</v>
      </c>
      <c r="T3" s="19">
        <f>单位碳足迹!R4*Production!$B3/1000</f>
        <v>21935.487763876492</v>
      </c>
      <c r="U3" s="19">
        <f>$T3+Error!$B2</f>
        <v>26231.231613765143</v>
      </c>
      <c r="V3" s="19">
        <f>$T3-Error!$B2</f>
        <v>17639.743913987841</v>
      </c>
    </row>
    <row r="4" spans="1:22" x14ac:dyDescent="0.3">
      <c r="A4">
        <v>2021</v>
      </c>
      <c r="B4" s="19">
        <f>单位碳足迹!L5*Production!$B4/1000</f>
        <v>27815.047372760182</v>
      </c>
      <c r="C4" s="19">
        <f>$B4+Error!$B3</f>
        <v>32390.67991092537</v>
      </c>
      <c r="D4" s="19">
        <f>$B4-Error!$B3</f>
        <v>23239.414834594994</v>
      </c>
      <c r="E4" s="19">
        <f>单位碳足迹!M5*Production!$B4/1000</f>
        <v>27143.938496139664</v>
      </c>
      <c r="F4" s="19">
        <f>$E4+Error!$B3</f>
        <v>31719.571034304849</v>
      </c>
      <c r="G4" s="19">
        <f>$E4-Error!$B3</f>
        <v>22568.30595797448</v>
      </c>
      <c r="H4" s="19">
        <f>单位碳足迹!N5*Production!$B4/1000</f>
        <v>26799.516384758226</v>
      </c>
      <c r="I4" s="19">
        <f>$H4+Error!$B3</f>
        <v>31375.148922923414</v>
      </c>
      <c r="J4" s="19">
        <f>$H4-Error!$B3</f>
        <v>22223.883846593038</v>
      </c>
      <c r="K4" s="19">
        <f>单位碳足迹!O5*Production!$B4/1000</f>
        <v>27287.617884901818</v>
      </c>
      <c r="L4" s="19">
        <f>$K4+Error!$B3</f>
        <v>31863.250423067002</v>
      </c>
      <c r="M4" s="19">
        <f>$K4-Error!$B3</f>
        <v>22711.985346736634</v>
      </c>
      <c r="N4" s="19">
        <f>单位碳足迹!P5*Production!$B4/1000</f>
        <v>27188.485698142857</v>
      </c>
      <c r="O4" s="19">
        <f>$N4+Error!$B3</f>
        <v>31764.118236308044</v>
      </c>
      <c r="P4" s="19">
        <f>$N4-Error!$B3</f>
        <v>22612.853159977669</v>
      </c>
      <c r="Q4" s="19">
        <f>单位碳足迹!Q5*Production!$B4/1000</f>
        <v>26888.050361105816</v>
      </c>
      <c r="R4" s="19">
        <f>$Q4+Error!$B3</f>
        <v>31463.682899271</v>
      </c>
      <c r="S4" s="19">
        <f>$Q4-Error!$B3</f>
        <v>22312.417822940632</v>
      </c>
      <c r="T4" s="19">
        <f>单位碳足迹!R5*Production!$B4/1000</f>
        <v>26417.157564723089</v>
      </c>
      <c r="U4" s="19">
        <f>$T4+Error!$B3</f>
        <v>30992.790102888277</v>
      </c>
      <c r="V4" s="19">
        <f>$T4-Error!$B3</f>
        <v>21841.525026557902</v>
      </c>
    </row>
    <row r="5" spans="1:22" x14ac:dyDescent="0.3">
      <c r="A5">
        <v>2022</v>
      </c>
      <c r="B5" s="19">
        <f>单位碳足迹!L6*Production!$B5/1000</f>
        <v>25897.999686042749</v>
      </c>
      <c r="C5" s="19">
        <f>$B5+Error!$B4</f>
        <v>30753.52091248447</v>
      </c>
      <c r="D5" s="19">
        <f>$B5-Error!$B4</f>
        <v>21042.478459601029</v>
      </c>
      <c r="E5" s="19">
        <f>单位碳足迹!M6*Production!$B5/1000</f>
        <v>24668.882307930522</v>
      </c>
      <c r="F5" s="19">
        <f>$E5+Error!$B4</f>
        <v>29524.403534372243</v>
      </c>
      <c r="G5" s="19">
        <f>$E5-Error!$B4</f>
        <v>19813.361081488802</v>
      </c>
      <c r="H5" s="19">
        <f>单位碳足迹!N6*Production!$B5/1000</f>
        <v>24057.282251049404</v>
      </c>
      <c r="I5" s="19">
        <f>$H5+Error!$B4</f>
        <v>28912.803477491121</v>
      </c>
      <c r="J5" s="19">
        <f>$H5-Error!$B4</f>
        <v>19201.761024607687</v>
      </c>
      <c r="K5" s="19">
        <f>单位碳足迹!O6*Production!$B5/1000</f>
        <v>24933.355344055486</v>
      </c>
      <c r="L5" s="19">
        <f>$K5+Error!$B4</f>
        <v>29788.876570497203</v>
      </c>
      <c r="M5" s="19">
        <f>$K5-Error!$B4</f>
        <v>20077.834117613769</v>
      </c>
      <c r="N5" s="19">
        <f>单位碳足迹!P6*Production!$B5/1000</f>
        <v>24750.431917281072</v>
      </c>
      <c r="O5" s="19">
        <f>$N5+Error!$B4</f>
        <v>29605.953143722792</v>
      </c>
      <c r="P5" s="19">
        <f>$N5-Error!$B4</f>
        <v>19894.910690839351</v>
      </c>
      <c r="Q5" s="19">
        <f>单位碳足迹!Q6*Production!$B5/1000</f>
        <v>24221.282655651536</v>
      </c>
      <c r="R5" s="19">
        <f>$Q5+Error!$B4</f>
        <v>29076.803882093256</v>
      </c>
      <c r="S5" s="19">
        <f>$Q5-Error!$B4</f>
        <v>19365.761429209815</v>
      </c>
      <c r="T5" s="19">
        <f>单位碳足迹!R6*Production!$B5/1000</f>
        <v>23372.177042696458</v>
      </c>
      <c r="U5" s="19">
        <f>$T5+Error!$B4</f>
        <v>28227.698269138178</v>
      </c>
      <c r="V5" s="19">
        <f>$T5-Error!$B4</f>
        <v>18516.655816254737</v>
      </c>
    </row>
    <row r="6" spans="1:22" x14ac:dyDescent="0.3">
      <c r="A6">
        <v>2023</v>
      </c>
      <c r="B6" s="19">
        <f>单位碳足迹!L7*Production!$B6/1000</f>
        <v>27524.336500908026</v>
      </c>
      <c r="C6" s="19">
        <f>$B6+Error!$B5</f>
        <v>32659.746415626276</v>
      </c>
      <c r="D6" s="19">
        <f>$B6-Error!$B5</f>
        <v>22388.926586189777</v>
      </c>
      <c r="E6" s="19">
        <f>单位碳足迹!M7*Production!$B6/1000</f>
        <v>25596.65371848506</v>
      </c>
      <c r="F6" s="19">
        <f>$E6+Error!$B5</f>
        <v>30732.06363320331</v>
      </c>
      <c r="G6" s="19">
        <f>$E6-Error!$B5</f>
        <v>20461.243803766811</v>
      </c>
      <c r="H6" s="19">
        <f>单位碳足迹!N7*Production!$B6/1000</f>
        <v>24666.420645229577</v>
      </c>
      <c r="I6" s="19">
        <f>$H6+Error!$B5</f>
        <v>29801.830559947826</v>
      </c>
      <c r="J6" s="19">
        <f>$H6-Error!$B5</f>
        <v>19531.010730511327</v>
      </c>
      <c r="K6" s="19">
        <f>单位碳足迹!O7*Production!$B6/1000</f>
        <v>26013.447055687346</v>
      </c>
      <c r="L6" s="19">
        <f>$K6+Error!$B5</f>
        <v>31148.856970405595</v>
      </c>
      <c r="M6" s="19">
        <f>$K6-Error!$B5</f>
        <v>20878.037140969096</v>
      </c>
      <c r="N6" s="19">
        <f>单位碳足迹!P7*Production!$B6/1000</f>
        <v>25724.492883235947</v>
      </c>
      <c r="O6" s="19">
        <f>$N6+Error!$B5</f>
        <v>30859.902797954197</v>
      </c>
      <c r="P6" s="19">
        <f>$N6-Error!$B5</f>
        <v>20589.082968517698</v>
      </c>
      <c r="Q6" s="19">
        <f>单位碳足迹!Q7*Production!$B6/1000</f>
        <v>24925.870077232245</v>
      </c>
      <c r="R6" s="19">
        <f>$Q6+Error!$B5</f>
        <v>30061.279991950494</v>
      </c>
      <c r="S6" s="19">
        <f>$Q6-Error!$B5</f>
        <v>19790.460162513995</v>
      </c>
      <c r="T6" s="19">
        <f>单位碳足迹!R7*Production!$B6/1000</f>
        <v>23614.771322660868</v>
      </c>
      <c r="U6" s="19">
        <f>$T6+Error!$B5</f>
        <v>28750.181237379118</v>
      </c>
      <c r="V6" s="19">
        <f>$T6-Error!$B5</f>
        <v>18479.361407942619</v>
      </c>
    </row>
    <row r="7" spans="1:22" x14ac:dyDescent="0.3">
      <c r="A7">
        <v>2024</v>
      </c>
      <c r="B7" s="19">
        <f>单位碳足迹!L8*Production!$B7/1000</f>
        <v>29704.227573024236</v>
      </c>
      <c r="C7" s="19">
        <f>$B7+Error!$B6</f>
        <v>35119.526176019019</v>
      </c>
      <c r="D7" s="19">
        <f>$B7-Error!$B6</f>
        <v>24288.92897002945</v>
      </c>
      <c r="E7" s="19">
        <f>单位碳足迹!M8*Production!$B7/1000</f>
        <v>26974.692736171302</v>
      </c>
      <c r="F7" s="19">
        <f>$E7+Error!$B6</f>
        <v>32389.991339166088</v>
      </c>
      <c r="G7" s="19">
        <f>$E7-Error!$B6</f>
        <v>21559.394133176516</v>
      </c>
      <c r="H7" s="19">
        <f>单位碳足迹!N8*Production!$B7/1000</f>
        <v>25697.002404383322</v>
      </c>
      <c r="I7" s="19">
        <f>$H7+Error!$B6</f>
        <v>31112.301007378108</v>
      </c>
      <c r="J7" s="19">
        <f>$H7-Error!$B6</f>
        <v>20281.703801388536</v>
      </c>
      <c r="K7" s="19">
        <f>单位碳足迹!O8*Production!$B7/1000</f>
        <v>27567.599519028954</v>
      </c>
      <c r="L7" s="19">
        <f>$K7+Error!$B6</f>
        <v>32982.89812202374</v>
      </c>
      <c r="M7" s="19">
        <f>$K7-Error!$B6</f>
        <v>22152.300916034168</v>
      </c>
      <c r="N7" s="19">
        <f>单位碳足迹!P8*Production!$B7/1000</f>
        <v>27155.624813099559</v>
      </c>
      <c r="O7" s="19">
        <f>$N7+Error!$B6</f>
        <v>32570.923416094345</v>
      </c>
      <c r="P7" s="19">
        <f>$N7-Error!$B6</f>
        <v>21740.326210104773</v>
      </c>
      <c r="Q7" s="19">
        <f>单位碳足迹!Q8*Production!$B7/1000</f>
        <v>26066.659428598199</v>
      </c>
      <c r="R7" s="19">
        <f>$Q7+Error!$B6</f>
        <v>31481.958031592985</v>
      </c>
      <c r="S7" s="19">
        <f>$Q7-Error!$B6</f>
        <v>20651.360825603413</v>
      </c>
      <c r="T7" s="19">
        <f>单位碳足迹!R8*Production!$B7/1000</f>
        <v>24238.947099276393</v>
      </c>
      <c r="U7" s="19">
        <f>$T7+Error!$B6</f>
        <v>29654.245702271179</v>
      </c>
      <c r="V7" s="19">
        <f>$T7-Error!$B6</f>
        <v>18823.648496281607</v>
      </c>
    </row>
    <row r="8" spans="1:22" x14ac:dyDescent="0.3">
      <c r="A8">
        <v>2025</v>
      </c>
      <c r="B8" s="19">
        <f>单位碳足迹!L9*Production!$B8/1000</f>
        <v>32028.292866707074</v>
      </c>
      <c r="C8" s="19">
        <f>$B8+Error!$B7</f>
        <v>37723.480157978389</v>
      </c>
      <c r="D8" s="19">
        <f>$B8-Error!$B7</f>
        <v>26333.105575435755</v>
      </c>
      <c r="E8" s="19">
        <f>单位碳足迹!M9*Production!$B8/1000</f>
        <v>28407.229056705171</v>
      </c>
      <c r="F8" s="19">
        <f>$E8+Error!$B7</f>
        <v>34102.41634797649</v>
      </c>
      <c r="G8" s="19">
        <f>$E8-Error!$B7</f>
        <v>22712.041765433853</v>
      </c>
      <c r="H8" s="19">
        <f>单位碳足迹!N9*Production!$B8/1000</f>
        <v>26762.684371341369</v>
      </c>
      <c r="I8" s="19">
        <f>$H8+Error!$B7</f>
        <v>32457.871662612688</v>
      </c>
      <c r="J8" s="19">
        <f>$H8-Error!$B7</f>
        <v>21067.49708007005</v>
      </c>
      <c r="K8" s="19">
        <f>单位碳足迹!O9*Production!$B8/1000</f>
        <v>29197.300601484843</v>
      </c>
      <c r="L8" s="19">
        <f>$K8+Error!$B7</f>
        <v>34892.487892756159</v>
      </c>
      <c r="M8" s="19">
        <f>$K8-Error!$B7</f>
        <v>23502.113310213525</v>
      </c>
      <c r="N8" s="19">
        <f>单位碳足迹!P9*Production!$B8/1000</f>
        <v>28647.145715459985</v>
      </c>
      <c r="O8" s="19">
        <f>$N8+Error!$B7</f>
        <v>34342.3330067313</v>
      </c>
      <c r="P8" s="19">
        <f>$N8-Error!$B7</f>
        <v>22951.958424188666</v>
      </c>
      <c r="Q8" s="19">
        <f>单位碳足迹!Q9*Production!$B8/1000</f>
        <v>27255.005346669521</v>
      </c>
      <c r="R8" s="19">
        <f>$Q8+Error!$B7</f>
        <v>32950.19263794084</v>
      </c>
      <c r="S8" s="19">
        <f>$Q8-Error!$B7</f>
        <v>21559.818055398202</v>
      </c>
      <c r="T8" s="19">
        <f>单位碳足迹!R9*Production!$B8/1000</f>
        <v>24867.972213824476</v>
      </c>
      <c r="U8" s="19">
        <f>$T8+Error!$B7</f>
        <v>30563.159505095795</v>
      </c>
      <c r="V8" s="19">
        <f>$T8-Error!$B7</f>
        <v>19172.784922553157</v>
      </c>
    </row>
    <row r="9" spans="1:22" x14ac:dyDescent="0.3">
      <c r="A9">
        <v>2026</v>
      </c>
      <c r="B9" s="19">
        <f>单位碳足迹!L10*Production!$B9/1000</f>
        <v>34505.220031992627</v>
      </c>
      <c r="C9" s="19">
        <f>$B9+Error!$B8</f>
        <v>40571.045960868942</v>
      </c>
      <c r="D9" s="19">
        <f>$B9-Error!$B8</f>
        <v>28439.394103116312</v>
      </c>
      <c r="E9" s="19">
        <f>单位碳足迹!M10*Production!$B9/1000</f>
        <v>29896.332564327848</v>
      </c>
      <c r="F9" s="19">
        <f>$E9+Error!$B8</f>
        <v>35962.158493204166</v>
      </c>
      <c r="G9" s="19">
        <f>$E9-Error!$B8</f>
        <v>23830.506635451533</v>
      </c>
      <c r="H9" s="19">
        <f>单位碳足迹!N10*Production!$B9/1000</f>
        <v>27865.083203210532</v>
      </c>
      <c r="I9" s="19">
        <f>$H9+Error!$B8</f>
        <v>33930.909132086847</v>
      </c>
      <c r="J9" s="19">
        <f>$H9-Error!$B8</f>
        <v>21799.257274334217</v>
      </c>
      <c r="K9" s="19">
        <f>单位碳足迹!O10*Production!$B9/1000</f>
        <v>30906.242976877991</v>
      </c>
      <c r="L9" s="19">
        <f>$K9+Error!$B8</f>
        <v>36972.068905754306</v>
      </c>
      <c r="M9" s="19">
        <f>$K9-Error!$B8</f>
        <v>24840.417048001676</v>
      </c>
      <c r="N9" s="19">
        <f>单位碳足迹!P10*Production!$B9/1000</f>
        <v>30201.554925068536</v>
      </c>
      <c r="O9" s="19">
        <f>$N9+Error!$B8</f>
        <v>36267.380853944851</v>
      </c>
      <c r="P9" s="19">
        <f>$N9-Error!$B8</f>
        <v>24135.728996192222</v>
      </c>
      <c r="Q9" s="19">
        <f>单位碳足迹!Q10*Production!$B9/1000</f>
        <v>28492.833671472777</v>
      </c>
      <c r="R9" s="19">
        <f>$Q9+Error!$B8</f>
        <v>34558.659600349092</v>
      </c>
      <c r="S9" s="19">
        <f>$Q9-Error!$B8</f>
        <v>22427.007742596463</v>
      </c>
      <c r="T9" s="19">
        <f>单位碳足迹!R10*Production!$B9/1000</f>
        <v>25501.939153030777</v>
      </c>
      <c r="U9" s="19">
        <f>$T9+Error!$B8</f>
        <v>31567.765081907091</v>
      </c>
      <c r="V9" s="19">
        <f>$T9-Error!$B8</f>
        <v>19436.113224154462</v>
      </c>
    </row>
    <row r="10" spans="1:22" x14ac:dyDescent="0.3">
      <c r="A10">
        <v>2027</v>
      </c>
      <c r="B10" s="19">
        <f>单位碳足迹!L11*Production!$B10/1000</f>
        <v>37144.200044575489</v>
      </c>
      <c r="C10" s="19">
        <f>$B10+Error!$B9</f>
        <v>43580.664611056804</v>
      </c>
      <c r="D10" s="19">
        <f>$B10-Error!$B9</f>
        <v>30707.735478094175</v>
      </c>
      <c r="E10" s="19">
        <f>单位碳足迹!M11*Production!$B10/1000</f>
        <v>31444.142864039211</v>
      </c>
      <c r="F10" s="19">
        <f>$E10+Error!$B9</f>
        <v>37880.607430520526</v>
      </c>
      <c r="G10" s="19">
        <f>$E10-Error!$B9</f>
        <v>25007.678297557897</v>
      </c>
      <c r="H10" s="19">
        <f>单位碳足迹!N11*Production!$B10/1000</f>
        <v>29005.868020211881</v>
      </c>
      <c r="I10" s="19">
        <f>$H10+Error!$B9</f>
        <v>35442.332586693199</v>
      </c>
      <c r="J10" s="19">
        <f>$H10-Error!$B9</f>
        <v>22569.403453730567</v>
      </c>
      <c r="K10" s="19">
        <f>单位碳足迹!O11*Production!$B10/1000</f>
        <v>32698.295395306341</v>
      </c>
      <c r="L10" s="19">
        <f>$K10+Error!$B9</f>
        <v>39134.759961787655</v>
      </c>
      <c r="M10" s="19">
        <f>$K10-Error!$B9</f>
        <v>26261.830828825026</v>
      </c>
      <c r="N10" s="19">
        <f>单位碳足迹!P11*Production!$B10/1000</f>
        <v>31821.449267261967</v>
      </c>
      <c r="O10" s="19">
        <f>$N10+Error!$B9</f>
        <v>38257.913833743281</v>
      </c>
      <c r="P10" s="19">
        <f>$N10-Error!$B9</f>
        <v>25384.984700780653</v>
      </c>
      <c r="Q10" s="19">
        <f>单位碳足迹!Q11*Production!$B10/1000</f>
        <v>29782.0853617801</v>
      </c>
      <c r="R10" s="19">
        <f>$Q10+Error!$B9</f>
        <v>36218.549928261418</v>
      </c>
      <c r="S10" s="19">
        <f>$Q10-Error!$B9</f>
        <v>23345.620795298786</v>
      </c>
      <c r="T10" s="19">
        <f>单位碳足迹!R11*Production!$B10/1000</f>
        <v>26140.901288180561</v>
      </c>
      <c r="U10" s="19">
        <f>$T10+Error!$B9</f>
        <v>32577.365854661875</v>
      </c>
      <c r="V10" s="19">
        <f>$T10-Error!$B9</f>
        <v>19704.436721699247</v>
      </c>
    </row>
    <row r="11" spans="1:22" x14ac:dyDescent="0.3">
      <c r="A11">
        <v>2028</v>
      </c>
      <c r="B11" s="19">
        <f>单位碳足迹!L12*Production!$B11/1000</f>
        <v>39954.955379857434</v>
      </c>
      <c r="C11" s="19">
        <f>$B11+Error!$B10</f>
        <v>46762.058583943748</v>
      </c>
      <c r="D11" s="19">
        <f>$B11-Error!$B10</f>
        <v>33147.852175771121</v>
      </c>
      <c r="E11" s="19">
        <f>单位碳足迹!M12*Production!$B11/1000</f>
        <v>33052.87106357843</v>
      </c>
      <c r="F11" s="19">
        <f>$E11+Error!$B10</f>
        <v>39859.974267664744</v>
      </c>
      <c r="G11" s="19">
        <f>$E11-Error!$B10</f>
        <v>26245.767859492116</v>
      </c>
      <c r="H11" s="19">
        <f>单位碳足迹!N12*Production!$B11/1000</f>
        <v>30186.763588575901</v>
      </c>
      <c r="I11" s="19">
        <f>$H11+Error!$B10</f>
        <v>36993.866792662215</v>
      </c>
      <c r="J11" s="19">
        <f>$H11-Error!$B10</f>
        <v>23379.660384489587</v>
      </c>
      <c r="K11" s="19">
        <f>单位碳足迹!O12*Production!$B11/1000</f>
        <v>34577.511035804375</v>
      </c>
      <c r="L11" s="19">
        <f>$K11+Error!$B10</f>
        <v>41384.614239890689</v>
      </c>
      <c r="M11" s="19">
        <f>$K11-Error!$B10</f>
        <v>27770.407831718061</v>
      </c>
      <c r="N11" s="19">
        <f>单位碳足迹!P12*Production!$B11/1000</f>
        <v>33509.526504110429</v>
      </c>
      <c r="O11" s="19">
        <f>$N11+Error!$B10</f>
        <v>40316.629708196742</v>
      </c>
      <c r="P11" s="19">
        <f>$N11-Error!$B10</f>
        <v>26702.423300024115</v>
      </c>
      <c r="Q11" s="19">
        <f>单位碳足迹!Q12*Production!$B11/1000</f>
        <v>31124.714837579169</v>
      </c>
      <c r="R11" s="19">
        <f>$Q11+Error!$B10</f>
        <v>37931.81804166548</v>
      </c>
      <c r="S11" s="19">
        <f>$Q11-Error!$B10</f>
        <v>24317.611633492859</v>
      </c>
      <c r="T11" s="19">
        <f>单位碳足迹!R12*Production!$B11/1000</f>
        <v>26784.872429946237</v>
      </c>
      <c r="U11" s="19">
        <f>$T11+Error!$B10</f>
        <v>33591.975634032548</v>
      </c>
      <c r="V11" s="19">
        <f>$T11-Error!$B10</f>
        <v>19977.769225859927</v>
      </c>
    </row>
    <row r="12" spans="1:22" x14ac:dyDescent="0.3">
      <c r="A12">
        <v>2029</v>
      </c>
      <c r="B12" s="19">
        <f>单位碳足迹!L13*Production!$B12/1000</f>
        <v>42947.769708325242</v>
      </c>
      <c r="C12" s="19">
        <f>$B12+Error!$B11</f>
        <v>50125.511550016556</v>
      </c>
      <c r="D12" s="19">
        <f>$B12-Error!$B11</f>
        <v>35770.027866633929</v>
      </c>
      <c r="E12" s="19">
        <f>单位碳足迹!M13*Production!$B12/1000</f>
        <v>34724.80155982673</v>
      </c>
      <c r="F12" s="19">
        <f>$E12+Error!$B11</f>
        <v>41902.543401518036</v>
      </c>
      <c r="G12" s="19">
        <f>$E12-Error!$B11</f>
        <v>27547.059718135421</v>
      </c>
      <c r="H12" s="19">
        <f>单位碳足迹!N13*Production!$B12/1000</f>
        <v>31409.553525505766</v>
      </c>
      <c r="I12" s="19">
        <f>$H12+Error!$B11</f>
        <v>38587.295367197075</v>
      </c>
      <c r="J12" s="19">
        <f>$H12-Error!$B11</f>
        <v>24231.811683814456</v>
      </c>
      <c r="K12" s="19">
        <f>单位碳足迹!O13*Production!$B12/1000</f>
        <v>36548.13623285191</v>
      </c>
      <c r="L12" s="19">
        <f>$K12+Error!$B11</f>
        <v>43725.878074543216</v>
      </c>
      <c r="M12" s="19">
        <f>$K12-Error!$B11</f>
        <v>29370.3943911606</v>
      </c>
      <c r="N12" s="19">
        <f>单位碳足迹!P13*Production!$B12/1000</f>
        <v>35268.588878832546</v>
      </c>
      <c r="O12" s="19">
        <f>$N12+Error!$B11</f>
        <v>42446.330720523853</v>
      </c>
      <c r="P12" s="19">
        <f>$N12-Error!$B11</f>
        <v>28090.847037141237</v>
      </c>
      <c r="Q12" s="19">
        <f>单位碳足迹!Q13*Production!$B12/1000</f>
        <v>32522.687790071072</v>
      </c>
      <c r="R12" s="19">
        <f>$Q12+Error!$B11</f>
        <v>39700.429631762381</v>
      </c>
      <c r="S12" s="19">
        <f>$Q12-Error!$B11</f>
        <v>25344.945948379762</v>
      </c>
      <c r="T12" s="19">
        <f>单位碳足迹!R13*Production!$B12/1000</f>
        <v>27433.826134528099</v>
      </c>
      <c r="U12" s="19">
        <f>$T12+Error!$B11</f>
        <v>34611.567976219405</v>
      </c>
      <c r="V12" s="19">
        <f>$T12-Error!$B11</f>
        <v>20256.084292836789</v>
      </c>
    </row>
    <row r="13" spans="1:22" x14ac:dyDescent="0.3">
      <c r="A13">
        <v>2030</v>
      </c>
      <c r="B13" s="19">
        <f>单位碳足迹!L14*Production!$B13/1000</f>
        <v>46133.519190585015</v>
      </c>
      <c r="C13" s="19">
        <f>$B13+Error!$B12</f>
        <v>53681.899669881321</v>
      </c>
      <c r="D13" s="19">
        <f>$B13-Error!$B12</f>
        <v>38585.13871128871</v>
      </c>
      <c r="E13" s="19">
        <f>单位碳足迹!M14*Production!$B13/1000</f>
        <v>36462.293825656277</v>
      </c>
      <c r="F13" s="19">
        <f>$E13+Error!$B12</f>
        <v>44010.674304952583</v>
      </c>
      <c r="G13" s="19">
        <f>$E13-Error!$B12</f>
        <v>28913.913346359968</v>
      </c>
      <c r="H13" s="19">
        <f>单位碳足迹!N14*Production!$B13/1000</f>
        <v>32676.083538122861</v>
      </c>
      <c r="I13" s="19">
        <f>$H13+Error!$B12</f>
        <v>40224.464017419166</v>
      </c>
      <c r="J13" s="19">
        <f>$H13-Error!$B12</f>
        <v>25127.703058826552</v>
      </c>
      <c r="K13" s="19">
        <f>单位碳足迹!O14*Production!$B13/1000</f>
        <v>38614.619593141404</v>
      </c>
      <c r="L13" s="19">
        <f>$K13+Error!$B12</f>
        <v>46163.00007243771</v>
      </c>
      <c r="M13" s="19">
        <f>$K13-Error!$B12</f>
        <v>31066.239113845095</v>
      </c>
      <c r="N13" s="19">
        <f>单位碳足迹!P14*Production!$B13/1000</f>
        <v>37101.546759469333</v>
      </c>
      <c r="O13" s="19">
        <f>$N13+Error!$B12</f>
        <v>44649.927238765638</v>
      </c>
      <c r="P13" s="19">
        <f>$N13-Error!$B12</f>
        <v>29553.166280173024</v>
      </c>
      <c r="Q13" s="19">
        <f>单位碳足迹!Q14*Production!$B13/1000</f>
        <v>33977.978437162586</v>
      </c>
      <c r="R13" s="19">
        <f>$Q13+Error!$B12</f>
        <v>41526.358916458892</v>
      </c>
      <c r="S13" s="19">
        <f>$Q13-Error!$B12</f>
        <v>26429.597957866277</v>
      </c>
      <c r="T13" s="19">
        <f>单位碳足迹!R14*Production!$B13/1000</f>
        <v>28087.694772005394</v>
      </c>
      <c r="U13" s="19">
        <f>$T13+Error!$B12</f>
        <v>35636.0752513017</v>
      </c>
      <c r="V13" s="19">
        <f>$T13-Error!$B12</f>
        <v>20539.314292709085</v>
      </c>
    </row>
    <row r="14" spans="1:22" x14ac:dyDescent="0.3">
      <c r="A14">
        <v>2031</v>
      </c>
      <c r="B14" s="19">
        <f>单位碳足迹!L15*Production!$B14/1000</f>
        <v>49523.70545446183</v>
      </c>
      <c r="C14" s="19">
        <f>$B14+Error!$B13</f>
        <v>57470.641835570234</v>
      </c>
      <c r="D14" s="19">
        <f>$B14-Error!$B13</f>
        <v>41576.769073353425</v>
      </c>
      <c r="E14" s="19">
        <f>单位碳足迹!M15*Production!$B14/1000</f>
        <v>38090.369973584413</v>
      </c>
      <c r="F14" s="19">
        <f>$E14+Error!$B13</f>
        <v>46037.306354692817</v>
      </c>
      <c r="G14" s="19">
        <f>$E14-Error!$B13</f>
        <v>30143.433592476009</v>
      </c>
      <c r="H14" s="19">
        <f>单位碳足迹!N15*Production!$B14/1000</f>
        <v>33988.264707512011</v>
      </c>
      <c r="I14" s="19">
        <f>$H14+Error!$B13</f>
        <v>41935.201088620415</v>
      </c>
      <c r="J14" s="19">
        <f>$H14-Error!$B13</f>
        <v>26041.328326403607</v>
      </c>
      <c r="K14" s="19">
        <f>单位碳足迹!O15*Production!$B14/1000</f>
        <v>40781.621519848988</v>
      </c>
      <c r="L14" s="19">
        <f>$K14+Error!$B13</f>
        <v>48728.557900957392</v>
      </c>
      <c r="M14" s="19">
        <f>$K14-Error!$B13</f>
        <v>32834.685138740584</v>
      </c>
      <c r="N14" s="19">
        <f>单位碳足迹!P15*Production!$B14/1000</f>
        <v>39011.422382933255</v>
      </c>
      <c r="O14" s="19">
        <f>$N14+Error!$B13</f>
        <v>46958.358764041659</v>
      </c>
      <c r="P14" s="19">
        <f>$N14-Error!$B13</f>
        <v>31064.486001824851</v>
      </c>
      <c r="Q14" s="19">
        <f>单位碳足迹!Q15*Production!$B14/1000</f>
        <v>35297.094078706104</v>
      </c>
      <c r="R14" s="19">
        <f>$Q14+Error!$B13</f>
        <v>43244.030459814509</v>
      </c>
      <c r="S14" s="19">
        <f>$Q14-Error!$B13</f>
        <v>27350.1576975977</v>
      </c>
      <c r="T14" s="19">
        <f>单位碳足迹!R15*Production!$B14/1000</f>
        <v>28600.946874075515</v>
      </c>
      <c r="U14" s="19">
        <f>$T14+Error!$B13</f>
        <v>36547.883255183915</v>
      </c>
      <c r="V14" s="19">
        <f>$T14-Error!$B13</f>
        <v>20654.010492967111</v>
      </c>
    </row>
    <row r="15" spans="1:22" x14ac:dyDescent="0.3">
      <c r="A15">
        <v>2032</v>
      </c>
      <c r="B15" s="19">
        <f>单位碳足迹!L16*Production!$B15/1000</f>
        <v>53130.490339739488</v>
      </c>
      <c r="C15" s="19">
        <f>$B15+Error!$B14</f>
        <v>61475.982622659983</v>
      </c>
      <c r="D15" s="19">
        <f>$B15-Error!$B14</f>
        <v>44784.998056818993</v>
      </c>
      <c r="E15" s="19">
        <f>单位碳足迹!M16*Production!$B15/1000</f>
        <v>39768.697386536602</v>
      </c>
      <c r="F15" s="19">
        <f>$E15+Error!$B14</f>
        <v>48114.189669457104</v>
      </c>
      <c r="G15" s="19">
        <f>$E15-Error!$B14</f>
        <v>31423.205103616103</v>
      </c>
      <c r="H15" s="19">
        <f>单位碳足迹!N16*Production!$B15/1000</f>
        <v>35348.076827573765</v>
      </c>
      <c r="I15" s="19">
        <f>$H15+Error!$B14</f>
        <v>43693.569110494267</v>
      </c>
      <c r="J15" s="19">
        <f>$H15-Error!$B14</f>
        <v>27002.584544653266</v>
      </c>
      <c r="K15" s="19">
        <f>单位碳足迹!O16*Production!$B15/1000</f>
        <v>43054.024161599722</v>
      </c>
      <c r="L15" s="19">
        <f>$K15+Error!$B14</f>
        <v>51399.516444520224</v>
      </c>
      <c r="M15" s="19">
        <f>$K15-Error!$B14</f>
        <v>34708.53187867922</v>
      </c>
      <c r="N15" s="19">
        <f>单位碳足迹!P16*Production!$B15/1000</f>
        <v>41001.353699782798</v>
      </c>
      <c r="O15" s="19">
        <f>$N15+Error!$B14</f>
        <v>49346.845982703293</v>
      </c>
      <c r="P15" s="19">
        <f>$N15-Error!$B14</f>
        <v>32655.861416862299</v>
      </c>
      <c r="Q15" s="19">
        <f>单位碳足迹!Q16*Production!$B15/1000</f>
        <v>36650.664812861265</v>
      </c>
      <c r="R15" s="19">
        <f>$Q15+Error!$B14</f>
        <v>44996.15709578176</v>
      </c>
      <c r="S15" s="19">
        <f>$Q15-Error!$B14</f>
        <v>28305.172529940766</v>
      </c>
      <c r="T15" s="19">
        <f>单位碳足迹!R16*Production!$B15/1000</f>
        <v>29107.201076984689</v>
      </c>
      <c r="U15" s="19">
        <f>$T15+Error!$B14</f>
        <v>37452.693359905184</v>
      </c>
      <c r="V15" s="19">
        <f>$T15-Error!$B14</f>
        <v>20761.70879406419</v>
      </c>
    </row>
    <row r="16" spans="1:22" x14ac:dyDescent="0.3">
      <c r="A16">
        <v>2033</v>
      </c>
      <c r="B16" s="19">
        <f>单位碳足迹!L17*Production!$B16/1000</f>
        <v>56966.732500898557</v>
      </c>
      <c r="C16" s="19">
        <f>$B16+Error!$B15</f>
        <v>65710.780685631151</v>
      </c>
      <c r="D16" s="19">
        <f>$B16-Error!$B15</f>
        <v>48222.684316165964</v>
      </c>
      <c r="E16" s="19">
        <f>单位碳足迹!M17*Production!$B16/1000</f>
        <v>41498.366988840135</v>
      </c>
      <c r="F16" s="19">
        <f>$E16+Error!$B15</f>
        <v>50242.415173572728</v>
      </c>
      <c r="G16" s="19">
        <f>$E16-Error!$B15</f>
        <v>32754.318804107541</v>
      </c>
      <c r="H16" s="19">
        <f>单位碳足迹!N17*Production!$B16/1000</f>
        <v>36757.571808200286</v>
      </c>
      <c r="I16" s="19">
        <f>$H16+Error!$B15</f>
        <v>45501.61999293288</v>
      </c>
      <c r="J16" s="19">
        <f>$H16-Error!$B15</f>
        <v>28013.523623467692</v>
      </c>
      <c r="K16" s="19">
        <f>单位碳足迹!O17*Production!$B16/1000</f>
        <v>45436.94180453413</v>
      </c>
      <c r="L16" s="19">
        <f>$K16+Error!$B15</f>
        <v>54180.989989266724</v>
      </c>
      <c r="M16" s="19">
        <f>$K16-Error!$B15</f>
        <v>36692.893619801536</v>
      </c>
      <c r="N16" s="19">
        <f>单位碳足迹!P17*Production!$B16/1000</f>
        <v>43074.598320497549</v>
      </c>
      <c r="O16" s="19">
        <f>$N16+Error!$B15</f>
        <v>51818.646505230143</v>
      </c>
      <c r="P16" s="19">
        <f>$N16-Error!$B15</f>
        <v>34330.550135764955</v>
      </c>
      <c r="Q16" s="19">
        <f>单位碳足迹!Q17*Production!$B16/1000</f>
        <v>38038.029321670205</v>
      </c>
      <c r="R16" s="19">
        <f>$Q16+Error!$B15</f>
        <v>46782.077506402798</v>
      </c>
      <c r="S16" s="19">
        <f>$Q16-Error!$B15</f>
        <v>29293.981136937611</v>
      </c>
      <c r="T16" s="19">
        <f>单位碳足迹!R17*Production!$B16/1000</f>
        <v>29605.619063773309</v>
      </c>
      <c r="U16" s="19">
        <f>$T16+Error!$B15</f>
        <v>38349.667248505903</v>
      </c>
      <c r="V16" s="19">
        <f>$T16-Error!$B15</f>
        <v>20861.570879040715</v>
      </c>
    </row>
    <row r="17" spans="1:22" x14ac:dyDescent="0.3">
      <c r="A17">
        <v>2034</v>
      </c>
      <c r="B17" s="19">
        <f>单位碳足迹!L18*Production!$B17/1000</f>
        <v>61046.025961881242</v>
      </c>
      <c r="C17" s="19">
        <f>$B17+Error!$B16</f>
        <v>70188.630048425926</v>
      </c>
      <c r="D17" s="19">
        <f>$B17-Error!$B16</f>
        <v>51903.421875336549</v>
      </c>
      <c r="E17" s="19">
        <f>单位碳足迹!M18*Production!$B17/1000</f>
        <v>43280.453945696871</v>
      </c>
      <c r="F17" s="19">
        <f>$E17+Error!$B16</f>
        <v>52423.058032241563</v>
      </c>
      <c r="G17" s="19">
        <f>$E17-Error!$B16</f>
        <v>34137.849859152178</v>
      </c>
      <c r="H17" s="19">
        <f>单位碳足迹!N18*Production!$B17/1000</f>
        <v>38218.877151278299</v>
      </c>
      <c r="I17" s="19">
        <f>$H17+Error!$B16</f>
        <v>47361.481237822991</v>
      </c>
      <c r="J17" s="19">
        <f>$H17-Error!$B16</f>
        <v>29076.273064733607</v>
      </c>
      <c r="K17" s="19">
        <f>单位碳足迹!O18*Production!$B17/1000</f>
        <v>47935.731726027036</v>
      </c>
      <c r="L17" s="19">
        <f>$K17+Error!$B16</f>
        <v>57078.335812571728</v>
      </c>
      <c r="M17" s="19">
        <f>$K17-Error!$B16</f>
        <v>38793.127639482344</v>
      </c>
      <c r="N17" s="19">
        <f>单位碳足迹!P18*Production!$B17/1000</f>
        <v>45234.537563384256</v>
      </c>
      <c r="O17" s="19">
        <f>$N17+Error!$B16</f>
        <v>54377.141649928948</v>
      </c>
      <c r="P17" s="19">
        <f>$N17-Error!$B16</f>
        <v>36091.933476839564</v>
      </c>
      <c r="Q17" s="19">
        <f>单位碳足迹!Q18*Production!$B17/1000</f>
        <v>39458.299578754471</v>
      </c>
      <c r="R17" s="19">
        <f>$Q17+Error!$B16</f>
        <v>48600.903665299164</v>
      </c>
      <c r="S17" s="19">
        <f>$Q17-Error!$B16</f>
        <v>30315.695492209779</v>
      </c>
      <c r="T17" s="19">
        <f>单位碳足迹!R18*Production!$B17/1000</f>
        <v>30095.278839253067</v>
      </c>
      <c r="U17" s="19">
        <f>$T17+Error!$B16</f>
        <v>39237.882925797763</v>
      </c>
      <c r="V17" s="19">
        <f>$T17-Error!$B16</f>
        <v>20952.674752708375</v>
      </c>
    </row>
    <row r="18" spans="1:22" x14ac:dyDescent="0.3">
      <c r="A18">
        <v>2035</v>
      </c>
      <c r="B18" s="19">
        <f>单位碳足迹!L19*Production!$B18/1000</f>
        <v>65382.740721471258</v>
      </c>
      <c r="C18" s="19">
        <f>$B18+Error!$B17</f>
        <v>74923.900709828042</v>
      </c>
      <c r="D18" s="19">
        <f>$B18-Error!$B17</f>
        <v>55841.580733114475</v>
      </c>
      <c r="E18" s="19">
        <f>单位碳足迹!M19*Production!$B18/1000</f>
        <v>45116.013514259845</v>
      </c>
      <c r="F18" s="19">
        <f>$E18+Error!$B17</f>
        <v>54657.173502616628</v>
      </c>
      <c r="G18" s="19">
        <f>$E18-Error!$B17</f>
        <v>35574.853525903061</v>
      </c>
      <c r="H18" s="19">
        <f>单位碳足迹!N19*Production!$B18/1000</f>
        <v>39734.199507643709</v>
      </c>
      <c r="I18" s="19">
        <f>$H18+Error!$B17</f>
        <v>49275.359496000499</v>
      </c>
      <c r="J18" s="19">
        <f>$H18-Error!$B17</f>
        <v>30193.039519286922</v>
      </c>
      <c r="K18" s="19">
        <f>单位碳足迹!O19*Production!$B18/1000</f>
        <v>50556.005529393384</v>
      </c>
      <c r="L18" s="19">
        <f>$K18+Error!$B17</f>
        <v>60097.165517750167</v>
      </c>
      <c r="M18" s="19">
        <f>$K18-Error!$B17</f>
        <v>41014.8455410366</v>
      </c>
      <c r="N18" s="19">
        <f>单位碳足迹!P19*Production!$B18/1000</f>
        <v>47484.680604179848</v>
      </c>
      <c r="O18" s="19">
        <f>$N18+Error!$B17</f>
        <v>57025.840592536639</v>
      </c>
      <c r="P18" s="19">
        <f>$N18-Error!$B17</f>
        <v>37943.520615823058</v>
      </c>
      <c r="Q18" s="19">
        <f>单位碳足迹!Q19*Production!$B18/1000</f>
        <v>40910.339013234552</v>
      </c>
      <c r="R18" s="19">
        <f>$Q18+Error!$B17</f>
        <v>50451.499001591335</v>
      </c>
      <c r="S18" s="19">
        <f>$Q18-Error!$B17</f>
        <v>31369.179024877765</v>
      </c>
      <c r="T18" s="19">
        <f>单位碳足迹!R19*Production!$B18/1000</f>
        <v>30575.170994584478</v>
      </c>
      <c r="U18" s="19">
        <f>$T18+Error!$B17</f>
        <v>40116.330982941261</v>
      </c>
      <c r="V18" s="19">
        <f>$T18-Error!$B17</f>
        <v>21034.011006227691</v>
      </c>
    </row>
    <row r="19" spans="1:22" x14ac:dyDescent="0.3">
      <c r="A19">
        <v>2036</v>
      </c>
      <c r="B19" s="19">
        <f>单位碳足迹!L20*Production!$B19/1000</f>
        <v>69992.065512268615</v>
      </c>
      <c r="C19" s="19">
        <f>$B19+Error!$B18</f>
        <v>79979.679910811974</v>
      </c>
      <c r="D19" s="19">
        <f>$B19-Error!$B18</f>
        <v>60004.451113725263</v>
      </c>
      <c r="E19" s="19">
        <f>单位碳足迹!M20*Production!$B19/1000</f>
        <v>47006.076533797204</v>
      </c>
      <c r="F19" s="19">
        <f>$E19+Error!$B18</f>
        <v>56993.690932340556</v>
      </c>
      <c r="G19" s="19">
        <f>$E19-Error!$B18</f>
        <v>37018.462135253852</v>
      </c>
      <c r="H19" s="19">
        <f>单位碳足迹!N20*Production!$B19/1000</f>
        <v>41305.828322582238</v>
      </c>
      <c r="I19" s="19">
        <f>$H19+Error!$B18</f>
        <v>51293.44272112559</v>
      </c>
      <c r="J19" s="19">
        <f>$H19-Error!$B18</f>
        <v>31318.213924038886</v>
      </c>
      <c r="K19" s="19">
        <f>单位碳足迹!O20*Production!$B19/1000</f>
        <v>53303.64097943408</v>
      </c>
      <c r="L19" s="19">
        <f>$K19+Error!$B18</f>
        <v>63291.255377977432</v>
      </c>
      <c r="M19" s="19">
        <f>$K19-Error!$B18</f>
        <v>43316.026580890728</v>
      </c>
      <c r="N19" s="19">
        <f>单位碳足迹!P20*Production!$B19/1000</f>
        <v>49828.668727064374</v>
      </c>
      <c r="O19" s="19">
        <f>$N19+Error!$B18</f>
        <v>59816.283125607726</v>
      </c>
      <c r="P19" s="19">
        <f>$N19-Error!$B18</f>
        <v>39841.054328521022</v>
      </c>
      <c r="Q19" s="19">
        <f>单位碳足迹!Q20*Production!$B19/1000</f>
        <v>42392.738815427634</v>
      </c>
      <c r="R19" s="19">
        <f>$Q19+Error!$B18</f>
        <v>52380.353213970986</v>
      </c>
      <c r="S19" s="19">
        <f>$Q19-Error!$B18</f>
        <v>32405.124416884282</v>
      </c>
      <c r="T19" s="19">
        <f>单位碳足迹!R20*Production!$B19/1000</f>
        <v>31044.194662417944</v>
      </c>
      <c r="U19" s="19">
        <f>$T19+Error!$B18</f>
        <v>41031.809060961299</v>
      </c>
      <c r="V19" s="19">
        <f>$T19-Error!$B18</f>
        <v>21056.580263874588</v>
      </c>
    </row>
    <row r="20" spans="1:22" x14ac:dyDescent="0.3">
      <c r="A20">
        <v>2037</v>
      </c>
      <c r="B20" s="19">
        <f>单位碳足迹!L21*Production!$B20/1000</f>
        <v>74890.05282102045</v>
      </c>
      <c r="C20" s="19">
        <f>$B20+Error!$B19</f>
        <v>85324.121629750371</v>
      </c>
      <c r="D20" s="19">
        <f>$B20-Error!$B19</f>
        <v>64455.98401229053</v>
      </c>
      <c r="E20" s="19">
        <f>单位碳足迹!M21*Production!$B20/1000</f>
        <v>48951.644530536978</v>
      </c>
      <c r="F20" s="19">
        <f>$E20+Error!$B19</f>
        <v>59385.713339266898</v>
      </c>
      <c r="G20" s="19">
        <f>$E20-Error!$B19</f>
        <v>38517.575721807058</v>
      </c>
      <c r="H20" s="19">
        <f>单位碳足迹!N21*Production!$B20/1000</f>
        <v>42936.139577155285</v>
      </c>
      <c r="I20" s="19">
        <f>$H20+Error!$B19</f>
        <v>53370.208385885206</v>
      </c>
      <c r="J20" s="19">
        <f>$H20-Error!$B19</f>
        <v>32502.070768425365</v>
      </c>
      <c r="K20" s="19">
        <f>单位碳足迹!O21*Production!$B20/1000</f>
        <v>56184.794359386309</v>
      </c>
      <c r="L20" s="19">
        <f>$K20+Error!$B19</f>
        <v>66618.863168116222</v>
      </c>
      <c r="M20" s="19">
        <f>$K20-Error!$B19</f>
        <v>45750.725550656389</v>
      </c>
      <c r="N20" s="19">
        <f>单位碳足迹!P21*Production!$B20/1000</f>
        <v>52270.279676590028</v>
      </c>
      <c r="O20" s="19">
        <f>$N20+Error!$B19</f>
        <v>62704.348485319948</v>
      </c>
      <c r="P20" s="19">
        <f>$N20-Error!$B19</f>
        <v>41836.210867860107</v>
      </c>
      <c r="Q20" s="19">
        <f>单位碳足迹!Q21*Production!$B20/1000</f>
        <v>43903.792265116739</v>
      </c>
      <c r="R20" s="19">
        <f>$Q20+Error!$B19</f>
        <v>54337.86107384666</v>
      </c>
      <c r="S20" s="19">
        <f>$Q20-Error!$B19</f>
        <v>33469.723456386819</v>
      </c>
      <c r="T20" s="19">
        <f>单位碳足迹!R21*Production!$B20/1000</f>
        <v>31501.153158226</v>
      </c>
      <c r="U20" s="19">
        <f>$T20+Error!$B19</f>
        <v>41935.22196695592</v>
      </c>
      <c r="V20" s="19">
        <f>$T20-Error!$B19</f>
        <v>21067.084349496079</v>
      </c>
    </row>
    <row r="21" spans="1:22" x14ac:dyDescent="0.3">
      <c r="A21">
        <v>2038</v>
      </c>
      <c r="B21" s="19">
        <f>单位碳足迹!L22*Production!$B21/1000</f>
        <v>80093.666282629027</v>
      </c>
      <c r="C21" s="19">
        <f>$B21+Error!$B20</f>
        <v>90974.189501545523</v>
      </c>
      <c r="D21" s="19">
        <f>$B21-Error!$B20</f>
        <v>69213.14306371253</v>
      </c>
      <c r="E21" s="19">
        <f>单位碳足迹!M22*Production!$B21/1000</f>
        <v>50953.68441118583</v>
      </c>
      <c r="F21" s="19">
        <f>$E21+Error!$B20</f>
        <v>61834.207630102319</v>
      </c>
      <c r="G21" s="19">
        <f>$E21-Error!$B20</f>
        <v>40073.161192269341</v>
      </c>
      <c r="H21" s="19">
        <f>单位碳足迹!N22*Production!$B21/1000</f>
        <v>44627.59963213763</v>
      </c>
      <c r="I21" s="19">
        <f>$H21+Error!$B20</f>
        <v>55508.122851054119</v>
      </c>
      <c r="J21" s="19">
        <f>$H21-Error!$B20</f>
        <v>33747.076413221141</v>
      </c>
      <c r="K21" s="19">
        <f>单位碳足迹!O22*Production!$B21/1000</f>
        <v>59205.913370263472</v>
      </c>
      <c r="L21" s="19">
        <f>$K21+Error!$B20</f>
        <v>70086.436589179968</v>
      </c>
      <c r="M21" s="19">
        <f>$K21-Error!$B20</f>
        <v>48325.390151346983</v>
      </c>
      <c r="N21" s="19">
        <f>单位碳足迹!P22*Production!$B21/1000</f>
        <v>54813.432109518173</v>
      </c>
      <c r="O21" s="19">
        <f>$N21+Error!$B20</f>
        <v>65693.955328434662</v>
      </c>
      <c r="P21" s="19">
        <f>$N21-Error!$B20</f>
        <v>43932.908890601684</v>
      </c>
      <c r="Q21" s="19">
        <f>单位碳足迹!Q22*Production!$B21/1000</f>
        <v>45441.466954433265</v>
      </c>
      <c r="R21" s="19">
        <f>$Q21+Error!$B20</f>
        <v>56321.990173349754</v>
      </c>
      <c r="S21" s="19">
        <f>$Q21-Error!$B20</f>
        <v>34560.943735516776</v>
      </c>
      <c r="T21" s="19">
        <f>单位碳足迹!R22*Production!$B21/1000</f>
        <v>31944.749301976673</v>
      </c>
      <c r="U21" s="19">
        <f>$T21+Error!$B20</f>
        <v>42825.272520893166</v>
      </c>
      <c r="V21" s="19">
        <f>$T21-Error!$B20</f>
        <v>21064.226083060181</v>
      </c>
    </row>
    <row r="22" spans="1:22" x14ac:dyDescent="0.3">
      <c r="A22">
        <v>2039</v>
      </c>
      <c r="B22" s="19">
        <f>单位碳足迹!L23*Production!$B22/1000</f>
        <v>85620.830565470445</v>
      </c>
      <c r="C22" s="19">
        <f>$B22+Error!$B21</f>
        <v>96947.808194573503</v>
      </c>
      <c r="D22" s="19">
        <f>$B22-Error!$B21</f>
        <v>74293.852936367388</v>
      </c>
      <c r="E22" s="19">
        <f>单位碳足迹!M23*Production!$B22/1000</f>
        <v>53013.122717849568</v>
      </c>
      <c r="F22" s="19">
        <f>$E22+Error!$B21</f>
        <v>64340.100346952626</v>
      </c>
      <c r="G22" s="19">
        <f>$E22-Error!$B21</f>
        <v>41686.145088746511</v>
      </c>
      <c r="H22" s="19">
        <f>单位碳足迹!N23*Production!$B22/1000</f>
        <v>46382.769181266078</v>
      </c>
      <c r="I22" s="19">
        <f>$H22+Error!$B21</f>
        <v>57709.746810369135</v>
      </c>
      <c r="J22" s="19">
        <f>$H22-Error!$B21</f>
        <v>35055.79155216302</v>
      </c>
      <c r="K22" s="19">
        <f>单位碳足迹!O23*Production!$B22/1000</f>
        <v>62373.750594451682</v>
      </c>
      <c r="L22" s="19">
        <f>$K22+Error!$B21</f>
        <v>73700.728223554746</v>
      </c>
      <c r="M22" s="19">
        <f>$K22-Error!$B21</f>
        <v>51046.772965348624</v>
      </c>
      <c r="N22" s="19">
        <f>单位碳足迹!P23*Production!$B22/1000</f>
        <v>57462.19014543861</v>
      </c>
      <c r="O22" s="19">
        <f>$N22+Error!$B21</f>
        <v>68789.167774541667</v>
      </c>
      <c r="P22" s="19">
        <f>$N22-Error!$B21</f>
        <v>46135.212516335552</v>
      </c>
      <c r="Q22" s="19">
        <f>单位碳足迹!Q23*Production!$B22/1000</f>
        <v>47003.374768682232</v>
      </c>
      <c r="R22" s="19">
        <f>$Q22+Error!$B21</f>
        <v>58330.352397785289</v>
      </c>
      <c r="S22" s="19">
        <f>$Q22-Error!$B21</f>
        <v>35676.397139579174</v>
      </c>
      <c r="T22" s="19">
        <f>单位碳足迹!R23*Production!$B22/1000</f>
        <v>32373.580413197629</v>
      </c>
      <c r="U22" s="19">
        <f>$T22+Error!$B21</f>
        <v>43700.55804230069</v>
      </c>
      <c r="V22" s="19">
        <f>$T22-Error!$B21</f>
        <v>21046.602784094568</v>
      </c>
    </row>
    <row r="23" spans="1:22" x14ac:dyDescent="0.3">
      <c r="A23">
        <v>2040</v>
      </c>
      <c r="B23" s="19">
        <f>单位碳足迹!L24*Production!$B23/1000</f>
        <v>91490.483870376673</v>
      </c>
      <c r="C23" s="19">
        <f>$B23+Error!$B22</f>
        <v>103263.91590966629</v>
      </c>
      <c r="D23" s="19">
        <f>$B23-Error!$B22</f>
        <v>79717.051831087054</v>
      </c>
      <c r="E23" s="19">
        <f>单位碳足迹!M24*Production!$B23/1000</f>
        <v>55130.839415241069</v>
      </c>
      <c r="F23" s="19">
        <f>$E23+Error!$B22</f>
        <v>66904.271454530695</v>
      </c>
      <c r="G23" s="19">
        <f>$E23-Error!$B22</f>
        <v>43357.40737595145</v>
      </c>
      <c r="H23" s="19">
        <f>单位碳足迹!N24*Production!$B23/1000</f>
        <v>48204.307320000655</v>
      </c>
      <c r="I23" s="19">
        <f>$H23+Error!$B22</f>
        <v>59977.739359290274</v>
      </c>
      <c r="J23" s="19">
        <f>$H23-Error!$B22</f>
        <v>36430.875280711036</v>
      </c>
      <c r="K23" s="19">
        <f>单位碳足迹!O24*Production!$B23/1000</f>
        <v>65695.377545737167</v>
      </c>
      <c r="L23" s="19">
        <f>$K23+Error!$B22</f>
        <v>77468.809585026785</v>
      </c>
      <c r="M23" s="19">
        <f>$K23-Error!$B22</f>
        <v>53921.945506447548</v>
      </c>
      <c r="N23" s="19">
        <f>单位碳足迹!P24*Production!$B23/1000</f>
        <v>60220.768014355999</v>
      </c>
      <c r="O23" s="19">
        <f>$N23+Error!$B22</f>
        <v>71994.200053645618</v>
      </c>
      <c r="P23" s="19">
        <f>$N23-Error!$B22</f>
        <v>48447.33597506638</v>
      </c>
      <c r="Q23" s="19">
        <f>单位碳足迹!Q24*Production!$B23/1000</f>
        <v>48586.739478907308</v>
      </c>
      <c r="R23" s="19">
        <f>$Q23+Error!$B22</f>
        <v>60360.171518196927</v>
      </c>
      <c r="S23" s="19">
        <f>$Q23-Error!$B22</f>
        <v>36813.307439617689</v>
      </c>
      <c r="T23" s="19">
        <f>单位碳足迹!R24*Production!$B23/1000</f>
        <v>32786.132971129475</v>
      </c>
      <c r="U23" s="19">
        <f>$T23+Error!$B22</f>
        <v>44559.565010419094</v>
      </c>
      <c r="V23" s="19">
        <f>$T23-Error!$B22</f>
        <v>21012.700931839856</v>
      </c>
    </row>
    <row r="24" spans="1:22" x14ac:dyDescent="0.3">
      <c r="A24">
        <v>2041</v>
      </c>
      <c r="B24" s="19">
        <f>单位碳足迹!L25*Production!$B24/1000</f>
        <v>97722.633171274603</v>
      </c>
      <c r="C24" s="19">
        <f>$B24+Error!$B23</f>
        <v>109882.19195969643</v>
      </c>
      <c r="D24" s="19">
        <f>$B24-Error!$B23</f>
        <v>85563.074382852777</v>
      </c>
      <c r="E24" s="19">
        <f>单位碳足迹!M25*Production!$B24/1000</f>
        <v>56888.631023506983</v>
      </c>
      <c r="F24" s="19">
        <f>$E24+Error!$B23</f>
        <v>69048.189811928809</v>
      </c>
      <c r="G24" s="19">
        <f>$E24-Error!$B23</f>
        <v>44729.072235085165</v>
      </c>
      <c r="H24" s="19">
        <f>单位碳足迹!N25*Production!$B24/1000</f>
        <v>50094.975735982436</v>
      </c>
      <c r="I24" s="19">
        <f>$H24+Error!$B23</f>
        <v>62254.534524404255</v>
      </c>
      <c r="J24" s="19">
        <f>$H24-Error!$B23</f>
        <v>37935.416947560618</v>
      </c>
      <c r="K24" s="19">
        <f>单位碳足迹!O25*Production!$B24/1000</f>
        <v>69178.199328824994</v>
      </c>
      <c r="L24" s="19">
        <f>$K24+Error!$B23</f>
        <v>81337.75811724682</v>
      </c>
      <c r="M24" s="19">
        <f>$K24-Error!$B23</f>
        <v>57018.640540403176</v>
      </c>
      <c r="N24" s="19">
        <f>单位碳足迹!P25*Production!$B24/1000</f>
        <v>63093.534799243607</v>
      </c>
      <c r="O24" s="19">
        <f>$N24+Error!$B23</f>
        <v>75253.093587665426</v>
      </c>
      <c r="P24" s="19">
        <f>$N24-Error!$B23</f>
        <v>50933.976010821789</v>
      </c>
      <c r="Q24" s="19">
        <f>单位碳足迹!Q25*Production!$B24/1000</f>
        <v>49670.336806661857</v>
      </c>
      <c r="R24" s="19">
        <f>$Q24+Error!$B23</f>
        <v>61829.895595083675</v>
      </c>
      <c r="S24" s="19">
        <f>$Q24-Error!$B23</f>
        <v>37510.778018240038</v>
      </c>
      <c r="T24" s="19">
        <f>单位碳足迹!R25*Production!$B24/1000</f>
        <v>32885.685271466573</v>
      </c>
      <c r="U24" s="19">
        <f>$T24+Error!$B23</f>
        <v>45045.244059888391</v>
      </c>
      <c r="V24" s="19">
        <f>$T24-Error!$B23</f>
        <v>20726.126483044754</v>
      </c>
    </row>
    <row r="25" spans="1:22" x14ac:dyDescent="0.3">
      <c r="A25">
        <v>2042</v>
      </c>
      <c r="B25" s="19">
        <f>单位碳足迹!L26*Production!$B25/1000</f>
        <v>104338.41233054426</v>
      </c>
      <c r="C25" s="19">
        <f>$B25+Error!$B24</f>
        <v>116884.09786809828</v>
      </c>
      <c r="D25" s="19">
        <f>$B25-Error!$B24</f>
        <v>91792.726792990245</v>
      </c>
      <c r="E25" s="19">
        <f>单位碳足迹!M26*Production!$B25/1000</f>
        <v>58661.15539346599</v>
      </c>
      <c r="F25" s="19">
        <f>$E25+Error!$B24</f>
        <v>71206.840931020008</v>
      </c>
      <c r="G25" s="19">
        <f>$E25-Error!$B24</f>
        <v>46115.469855911972</v>
      </c>
      <c r="H25" s="19">
        <f>单位碳足迹!N26*Production!$B25/1000</f>
        <v>52057.643026965656</v>
      </c>
      <c r="I25" s="19">
        <f>$H25+Error!$B24</f>
        <v>64603.328564519674</v>
      </c>
      <c r="J25" s="19">
        <f>$H25-Error!$B24</f>
        <v>39511.957489411638</v>
      </c>
      <c r="K25" s="19">
        <f>单位碳足迹!O26*Production!$B25/1000</f>
        <v>72829.969931747706</v>
      </c>
      <c r="L25" s="19">
        <f>$K25+Error!$B24</f>
        <v>85375.655469301724</v>
      </c>
      <c r="M25" s="19">
        <f>$K25-Error!$B24</f>
        <v>60284.284394193688</v>
      </c>
      <c r="N25" s="19">
        <f>单位碳足迹!P26*Production!$B25/1000</f>
        <v>66085.019270837598</v>
      </c>
      <c r="O25" s="19">
        <f>$N25+Error!$B24</f>
        <v>78630.704808391616</v>
      </c>
      <c r="P25" s="19">
        <f>$N25-Error!$B24</f>
        <v>53539.33373328358</v>
      </c>
      <c r="Q25" s="19">
        <f>单位碳足迹!Q26*Production!$B25/1000</f>
        <v>50699.499804580417</v>
      </c>
      <c r="R25" s="19">
        <f>$Q25+Error!$B24</f>
        <v>63245.185342134435</v>
      </c>
      <c r="S25" s="19">
        <f>$Q25-Error!$B24</f>
        <v>38153.814267026399</v>
      </c>
      <c r="T25" s="19">
        <f>单位碳足迹!R26*Production!$B25/1000</f>
        <v>32942.427209236303</v>
      </c>
      <c r="U25" s="19">
        <f>$T25+Error!$B24</f>
        <v>45488.112746790321</v>
      </c>
      <c r="V25" s="19">
        <f>$T25-Error!$B24</f>
        <v>20396.741671682285</v>
      </c>
    </row>
    <row r="26" spans="1:22" x14ac:dyDescent="0.3">
      <c r="A26">
        <v>2043</v>
      </c>
      <c r="B26" s="19">
        <f>单位碳足迹!L27*Production!$B26/1000</f>
        <v>111360.14322798479</v>
      </c>
      <c r="C26" s="19">
        <f>$B26+Error!$B25</f>
        <v>124291.95551467102</v>
      </c>
      <c r="D26" s="19">
        <f>$B26-Error!$B25</f>
        <v>98428.330941298569</v>
      </c>
      <c r="E26" s="19">
        <f>单位碳足迹!M27*Production!$B26/1000</f>
        <v>60445.782322072504</v>
      </c>
      <c r="F26" s="19">
        <f>$E26+Error!$B25</f>
        <v>73377.594608758722</v>
      </c>
      <c r="G26" s="19">
        <f>$E26-Error!$B25</f>
        <v>47513.970035386286</v>
      </c>
      <c r="H26" s="19">
        <f>单位碳足迹!N27*Production!$B26/1000</f>
        <v>54095.289151955454</v>
      </c>
      <c r="I26" s="19">
        <f>$H26+Error!$B25</f>
        <v>67027.101438641679</v>
      </c>
      <c r="J26" s="19">
        <f>$H26-Error!$B25</f>
        <v>41163.476865269236</v>
      </c>
      <c r="K26" s="19">
        <f>单位碳足迹!O27*Production!$B26/1000</f>
        <v>76658.808175343045</v>
      </c>
      <c r="L26" s="19">
        <f>$K26+Error!$B25</f>
        <v>89590.62046202927</v>
      </c>
      <c r="M26" s="19">
        <f>$K26-Error!$B25</f>
        <v>63726.995888656827</v>
      </c>
      <c r="N26" s="19">
        <f>单位碳足迹!P27*Production!$B26/1000</f>
        <v>69199.914811593873</v>
      </c>
      <c r="O26" s="19">
        <f>$N26+Error!$B25</f>
        <v>82131.727098280098</v>
      </c>
      <c r="P26" s="19">
        <f>$N26-Error!$B25</f>
        <v>56268.102524907656</v>
      </c>
      <c r="Q26" s="19">
        <f>单位碳足迹!Q27*Production!$B26/1000</f>
        <v>51663.498637993274</v>
      </c>
      <c r="R26" s="19">
        <f>$Q26+Error!$B25</f>
        <v>64595.310924679492</v>
      </c>
      <c r="S26" s="19">
        <f>$Q26-Error!$B25</f>
        <v>38731.686351307057</v>
      </c>
      <c r="T26" s="19">
        <f>单位碳足迹!R27*Production!$B26/1000</f>
        <v>32953.149083792319</v>
      </c>
      <c r="U26" s="19">
        <f>$T26+Error!$B25</f>
        <v>45884.961370478537</v>
      </c>
      <c r="V26" s="19">
        <f>$T26-Error!$B25</f>
        <v>20021.336797106102</v>
      </c>
    </row>
    <row r="27" spans="1:22" x14ac:dyDescent="0.3">
      <c r="A27">
        <v>2044</v>
      </c>
      <c r="B27" s="19">
        <f>单位碳足迹!L28*Production!$B27/1000</f>
        <v>118811.40004781605</v>
      </c>
      <c r="C27" s="19">
        <f>$B27+Error!$B26</f>
        <v>132129.33908363446</v>
      </c>
      <c r="D27" s="19">
        <f>$B27-Error!$B26</f>
        <v>105493.46101199763</v>
      </c>
      <c r="E27" s="19">
        <f>单位碳足迹!M28*Production!$B27/1000</f>
        <v>62239.590297048984</v>
      </c>
      <c r="F27" s="19">
        <f>$E27+Error!$B26</f>
        <v>75557.529332867402</v>
      </c>
      <c r="G27" s="19">
        <f>$E27-Error!$B26</f>
        <v>48921.651261230567</v>
      </c>
      <c r="H27" s="19">
        <f>单位碳足迹!N28*Production!$B27/1000</f>
        <v>56211.010021012487</v>
      </c>
      <c r="I27" s="19">
        <f>$H27+Error!$B26</f>
        <v>69528.949056830912</v>
      </c>
      <c r="J27" s="19">
        <f>$H27-Error!$B26</f>
        <v>42893.07098519407</v>
      </c>
      <c r="K27" s="19">
        <f>单位碳足迹!O28*Production!$B27/1000</f>
        <v>80673.214344431035</v>
      </c>
      <c r="L27" s="19">
        <f>$K27+Error!$B26</f>
        <v>93991.153380249452</v>
      </c>
      <c r="M27" s="19">
        <f>$K27-Error!$B26</f>
        <v>67355.275308612618</v>
      </c>
      <c r="N27" s="19">
        <f>单位碳足迹!P28*Production!$B27/1000</f>
        <v>72443.084425040593</v>
      </c>
      <c r="O27" s="19">
        <f>$N27+Error!$B26</f>
        <v>85761.023460859011</v>
      </c>
      <c r="P27" s="19">
        <f>$N27-Error!$B26</f>
        <v>59125.145389222176</v>
      </c>
      <c r="Q27" s="19">
        <f>单位碳足迹!Q28*Production!$B27/1000</f>
        <v>52550.532786373493</v>
      </c>
      <c r="R27" s="19">
        <f>$Q27+Error!$B26</f>
        <v>65868.471822191917</v>
      </c>
      <c r="S27" s="19">
        <f>$Q27-Error!$B26</f>
        <v>39232.593750555076</v>
      </c>
      <c r="T27" s="19">
        <f>单位碳足迹!R28*Production!$B27/1000</f>
        <v>32914.432258702887</v>
      </c>
      <c r="U27" s="19">
        <f>$T27+Error!$B26</f>
        <v>46232.371294521305</v>
      </c>
      <c r="V27" s="19">
        <f>$T27-Error!$B26</f>
        <v>19596.49322288447</v>
      </c>
    </row>
    <row r="28" spans="1:22" x14ac:dyDescent="0.3">
      <c r="A28">
        <v>2045</v>
      </c>
      <c r="B28" s="19">
        <f>单位碳足迹!L29*Production!$B28/1000</f>
        <v>126717.07687405639</v>
      </c>
      <c r="C28" s="19">
        <f>$B28+Error!$B27</f>
        <v>140421.14265900699</v>
      </c>
      <c r="D28" s="19">
        <f>$B28-Error!$B27</f>
        <v>113013.01108910578</v>
      </c>
      <c r="E28" s="19">
        <f>单位碳足迹!M29*Production!$B28/1000</f>
        <v>64039.344775466503</v>
      </c>
      <c r="F28" s="19">
        <f>$E28+Error!$B27</f>
        <v>77743.410560417105</v>
      </c>
      <c r="G28" s="19">
        <f>$E28-Error!$B27</f>
        <v>50335.278990515893</v>
      </c>
      <c r="H28" s="19">
        <f>单位碳足迹!N29*Production!$B28/1000</f>
        <v>58408.022229053306</v>
      </c>
      <c r="I28" s="19">
        <f>$H28+Error!$B27</f>
        <v>72112.088014003908</v>
      </c>
      <c r="J28" s="19">
        <f>$H28-Error!$B27</f>
        <v>44703.956444102696</v>
      </c>
      <c r="K28" s="19">
        <f>单位碳足迹!O29*Production!$B28/1000</f>
        <v>84882.087525926021</v>
      </c>
      <c r="L28" s="19">
        <f>$K28+Error!$B27</f>
        <v>98586.153310876631</v>
      </c>
      <c r="M28" s="19">
        <f>$K28-Error!$B27</f>
        <v>71178.021740975411</v>
      </c>
      <c r="N28" s="19">
        <f>单位碳足迹!P29*Production!$B28/1000</f>
        <v>75819.56582618237</v>
      </c>
      <c r="O28" s="19">
        <f>$N28+Error!$B27</f>
        <v>89523.63161113298</v>
      </c>
      <c r="P28" s="19">
        <f>$N28-Error!$B27</f>
        <v>62115.50004123176</v>
      </c>
      <c r="Q28" s="19">
        <f>单位碳足迹!Q29*Production!$B28/1000</f>
        <v>53347.646651120165</v>
      </c>
      <c r="R28" s="19">
        <f>$Q28+Error!$B27</f>
        <v>67051.712436070782</v>
      </c>
      <c r="S28" s="19">
        <f>$Q28-Error!$B27</f>
        <v>39643.580866169556</v>
      </c>
      <c r="T28" s="19">
        <f>单位碳足迹!R29*Production!$B28/1000</f>
        <v>32822.63841680812</v>
      </c>
      <c r="U28" s="19">
        <f>$T28+Error!$B27</f>
        <v>46526.70420175873</v>
      </c>
      <c r="V28" s="19">
        <f>$T28-Error!$B27</f>
        <v>19118.572631857511</v>
      </c>
    </row>
    <row r="29" spans="1:22" x14ac:dyDescent="0.3">
      <c r="A29">
        <v>2046</v>
      </c>
      <c r="B29" s="19">
        <f>单位碳足迹!L30*Production!$B29/1000</f>
        <v>135103.45875033966</v>
      </c>
      <c r="C29" s="19">
        <f>$B29+Error!$B28</f>
        <v>149097.08164533402</v>
      </c>
      <c r="D29" s="19">
        <f>$B29-Error!$B28</f>
        <v>121109.83585534529</v>
      </c>
      <c r="E29" s="19">
        <f>单位碳足迹!M30*Production!$B29/1000</f>
        <v>65841.475090869018</v>
      </c>
      <c r="F29" s="19">
        <f>$E29+Error!$B28</f>
        <v>79835.097985863395</v>
      </c>
      <c r="G29" s="19">
        <f>$E29-Error!$B28</f>
        <v>51847.85219587465</v>
      </c>
      <c r="H29" s="19">
        <f>单位碳足迹!N30*Production!$B29/1000</f>
        <v>60689.667938695718</v>
      </c>
      <c r="I29" s="19">
        <f>$H29+Error!$B28</f>
        <v>74683.290833690087</v>
      </c>
      <c r="J29" s="19">
        <f>$H29-Error!$B28</f>
        <v>46696.04504370135</v>
      </c>
      <c r="K29" s="19">
        <f>单位碳足迹!O30*Production!$B29/1000</f>
        <v>89294.743679486943</v>
      </c>
      <c r="L29" s="19">
        <f>$K29+Error!$B28</f>
        <v>103288.36657448132</v>
      </c>
      <c r="M29" s="19">
        <f>$K29-Error!$B28</f>
        <v>75301.120784492567</v>
      </c>
      <c r="N29" s="19">
        <f>单位碳足迹!P30*Production!$B29/1000</f>
        <v>79334.576607787836</v>
      </c>
      <c r="O29" s="19">
        <f>$N29+Error!$B28</f>
        <v>93328.199502782212</v>
      </c>
      <c r="P29" s="19">
        <f>$N29-Error!$B28</f>
        <v>65340.953712793467</v>
      </c>
      <c r="Q29" s="19">
        <f>单位碳足迹!Q30*Production!$B29/1000</f>
        <v>54040.639217219214</v>
      </c>
      <c r="R29" s="19">
        <f>$Q29+Error!$B28</f>
        <v>68034.26211221359</v>
      </c>
      <c r="S29" s="19">
        <f>$Q29-Error!$B28</f>
        <v>40047.016322224845</v>
      </c>
      <c r="T29" s="19">
        <f>单位碳足迹!R30*Production!$B29/1000</f>
        <v>32673.898236266112</v>
      </c>
      <c r="U29" s="19">
        <f>$T29+Error!$B28</f>
        <v>46667.521131260481</v>
      </c>
      <c r="V29" s="19">
        <f>$T29-Error!$B28</f>
        <v>18680.275341271743</v>
      </c>
    </row>
    <row r="30" spans="1:22" x14ac:dyDescent="0.3">
      <c r="A30">
        <v>2047</v>
      </c>
      <c r="B30" s="19">
        <f>单位碳足迹!L31*Production!$B30/1000</f>
        <v>143998.29636663906</v>
      </c>
      <c r="C30" s="19">
        <f>$B30+Error!$B29</f>
        <v>158281.47637167718</v>
      </c>
      <c r="D30" s="19">
        <f>$B30-Error!$B29</f>
        <v>129715.11636160093</v>
      </c>
      <c r="E30" s="19">
        <f>单位碳足迹!M31*Production!$B30/1000</f>
        <v>67642.049912617033</v>
      </c>
      <c r="F30" s="19">
        <f>$E30+Error!$B29</f>
        <v>81925.229917655146</v>
      </c>
      <c r="G30" s="19">
        <f>$E30-Error!$B29</f>
        <v>53358.869907578912</v>
      </c>
      <c r="H30" s="19">
        <f>单位碳足迹!N31*Production!$B30/1000</f>
        <v>63059.419917189589</v>
      </c>
      <c r="I30" s="19">
        <f>$H30+Error!$B29</f>
        <v>77342.599922227702</v>
      </c>
      <c r="J30" s="19">
        <f>$H30-Error!$B29</f>
        <v>48776.239912151468</v>
      </c>
      <c r="K30" s="19">
        <f>单位碳足迹!O31*Production!$B30/1000</f>
        <v>93920.934467032479</v>
      </c>
      <c r="L30" s="19">
        <f>$K30+Error!$B29</f>
        <v>108204.11447207059</v>
      </c>
      <c r="M30" s="19">
        <f>$K30-Error!$B29</f>
        <v>79637.754461994366</v>
      </c>
      <c r="N30" s="19">
        <f>单位碳足迹!P31*Production!$B30/1000</f>
        <v>82993.519476861649</v>
      </c>
      <c r="O30" s="19">
        <f>$N30+Error!$B29</f>
        <v>97276.699481899763</v>
      </c>
      <c r="P30" s="19">
        <f>$N30-Error!$B29</f>
        <v>68710.339471823536</v>
      </c>
      <c r="Q30" s="19">
        <f>单位碳足迹!Q31*Production!$B30/1000</f>
        <v>54613.967398504661</v>
      </c>
      <c r="R30" s="19">
        <f>$Q30+Error!$B29</f>
        <v>68897.147403542782</v>
      </c>
      <c r="S30" s="19">
        <f>$Q30-Error!$B29</f>
        <v>40330.78739346654</v>
      </c>
      <c r="T30" s="19">
        <f>单位碳足迹!R31*Production!$B30/1000</f>
        <v>32464.099466343687</v>
      </c>
      <c r="U30" s="19">
        <f>$T30+Error!$B29</f>
        <v>46747.279471381808</v>
      </c>
      <c r="V30" s="19">
        <f>$T30-Error!$B29</f>
        <v>18180.919461305566</v>
      </c>
    </row>
    <row r="31" spans="1:22" x14ac:dyDescent="0.3">
      <c r="A31">
        <v>2048</v>
      </c>
      <c r="B31" s="19">
        <f>单位碳足迹!L32*Production!$B31/1000</f>
        <v>153430.88454107556</v>
      </c>
      <c r="C31" s="19">
        <f>$B31+Error!$B30</f>
        <v>168003.62165615743</v>
      </c>
      <c r="D31" s="19">
        <f>$B31-Error!$B30</f>
        <v>138858.14742599369</v>
      </c>
      <c r="E31" s="19">
        <f>单位碳足迹!M32*Production!$B31/1000</f>
        <v>69436.751177288475</v>
      </c>
      <c r="F31" s="19">
        <f>$E31+Error!$B30</f>
        <v>84009.488292370355</v>
      </c>
      <c r="G31" s="19">
        <f>$E31-Error!$B30</f>
        <v>54864.014062206596</v>
      </c>
      <c r="H31" s="19">
        <f>单位碳足迹!N32*Production!$B31/1000</f>
        <v>65520.886732084691</v>
      </c>
      <c r="I31" s="19">
        <f>$H31+Error!$B30</f>
        <v>80093.623847166571</v>
      </c>
      <c r="J31" s="19">
        <f>$H31-Error!$B30</f>
        <v>50948.149617002811</v>
      </c>
      <c r="K31" s="19">
        <f>单位碳足迹!O32*Production!$B31/1000</f>
        <v>98770.866867598044</v>
      </c>
      <c r="L31" s="19">
        <f>$K31+Error!$B30</f>
        <v>113343.60398267992</v>
      </c>
      <c r="M31" s="19">
        <f>$K31-Error!$B30</f>
        <v>84198.129752516164</v>
      </c>
      <c r="N31" s="19">
        <f>单位碳足迹!P32*Production!$B31/1000</f>
        <v>86801.987554525593</v>
      </c>
      <c r="O31" s="19">
        <f>$N31+Error!$B30</f>
        <v>101374.72466960747</v>
      </c>
      <c r="P31" s="19">
        <f>$N31-Error!$B30</f>
        <v>72229.250439443713</v>
      </c>
      <c r="Q31" s="19">
        <f>单位碳足迹!Q32*Production!$B31/1000</f>
        <v>55050.642675101619</v>
      </c>
      <c r="R31" s="19">
        <f>$Q31+Error!$B30</f>
        <v>69623.379790183506</v>
      </c>
      <c r="S31" s="19">
        <f>$Q31-Error!$B30</f>
        <v>40477.905560019739</v>
      </c>
      <c r="T31" s="19">
        <f>单位碳足迹!R32*Production!$B31/1000</f>
        <v>32188.874380556972</v>
      </c>
      <c r="U31" s="19">
        <f>$T31+Error!$B30</f>
        <v>46761.611495638848</v>
      </c>
      <c r="V31" s="19">
        <f>$T31-Error!$B30</f>
        <v>17616.137265475092</v>
      </c>
    </row>
    <row r="32" spans="1:22" x14ac:dyDescent="0.3">
      <c r="A32">
        <v>2049</v>
      </c>
      <c r="B32" s="19">
        <f>单位碳足迹!L33*Production!$B32/1000</f>
        <v>163432.14467142129</v>
      </c>
      <c r="C32" s="19">
        <f>$B32+Error!$B31</f>
        <v>178294.43889654693</v>
      </c>
      <c r="D32" s="19">
        <f>$B32-Error!$B31</f>
        <v>148569.85044629566</v>
      </c>
      <c r="E32" s="19">
        <f>单位碳足迹!M33*Production!$B32/1000</f>
        <v>71220.846408374156</v>
      </c>
      <c r="F32" s="19">
        <f>$E32+Error!$B31</f>
        <v>86083.140633499788</v>
      </c>
      <c r="G32" s="19">
        <f>$E32-Error!$B31</f>
        <v>56358.552183248525</v>
      </c>
      <c r="H32" s="19">
        <f>单位碳足迹!N33*Production!$B32/1000</f>
        <v>68077.818110199747</v>
      </c>
      <c r="I32" s="19">
        <f>$H32+Error!$B31</f>
        <v>82940.112335325379</v>
      </c>
      <c r="J32" s="19">
        <f>$H32-Error!$B31</f>
        <v>53215.523885074115</v>
      </c>
      <c r="K32" s="19">
        <f>单位碳足迹!O33*Production!$B32/1000</f>
        <v>103855.22360455568</v>
      </c>
      <c r="L32" s="19">
        <f>$K32+Error!$B31</f>
        <v>118717.51782968131</v>
      </c>
      <c r="M32" s="19">
        <f>$K32-Error!$B31</f>
        <v>88992.929379430047</v>
      </c>
      <c r="N32" s="19">
        <f>单位碳足迹!P33*Production!$B32/1000</f>
        <v>90765.769731791748</v>
      </c>
      <c r="O32" s="19">
        <f>$N32+Error!$B31</f>
        <v>105628.06395691738</v>
      </c>
      <c r="P32" s="19">
        <f>$N32-Error!$B31</f>
        <v>75903.475506666116</v>
      </c>
      <c r="Q32" s="19">
        <f>单位碳足迹!Q33*Production!$B32/1000</f>
        <v>55332.120609903104</v>
      </c>
      <c r="R32" s="19">
        <f>$Q32+Error!$B31</f>
        <v>70194.414835028729</v>
      </c>
      <c r="S32" s="19">
        <f>$Q32-Error!$B31</f>
        <v>40469.826384777472</v>
      </c>
      <c r="T32" s="19">
        <f>单位碳足迹!R33*Production!$B32/1000</f>
        <v>31843.586583843186</v>
      </c>
      <c r="U32" s="19">
        <f>$T32+Error!$B31</f>
        <v>46705.880808968817</v>
      </c>
      <c r="V32" s="19">
        <f>$T32-Error!$B31</f>
        <v>16981.292358717554</v>
      </c>
    </row>
    <row r="33" spans="1:22" x14ac:dyDescent="0.3">
      <c r="A33">
        <v>2050</v>
      </c>
      <c r="B33" s="19">
        <f>单位碳足迹!L34*Production!$B33/1000</f>
        <v>174034.71133724783</v>
      </c>
      <c r="C33" s="19">
        <f>$B33+Error!$B32</f>
        <v>189186.5626724172</v>
      </c>
      <c r="D33" s="19">
        <f>$B33-Error!$B32</f>
        <v>158882.86000207847</v>
      </c>
      <c r="E33" s="19">
        <f>单位碳足迹!M34*Production!$B33/1000</f>
        <v>72989.159336695666</v>
      </c>
      <c r="F33" s="19">
        <f>$E33+Error!$B32</f>
        <v>88141.01067186505</v>
      </c>
      <c r="G33" s="19">
        <f>$E33-Error!$B32</f>
        <v>57837.308001526282</v>
      </c>
      <c r="H33" s="19">
        <f>单位碳足迹!N34*Production!$B33/1000</f>
        <v>70734.110464270256</v>
      </c>
      <c r="I33" s="19">
        <f>$H33+Error!$B32</f>
        <v>85885.961799439639</v>
      </c>
      <c r="J33" s="19">
        <f>$H33-Error!$B32</f>
        <v>55582.259129100872</v>
      </c>
      <c r="K33" s="19">
        <f>单位碳足迹!O34*Production!$B33/1000</f>
        <v>109185.18441259669</v>
      </c>
      <c r="L33" s="19">
        <f>$K33+Error!$B32</f>
        <v>124337.03574776607</v>
      </c>
      <c r="M33" s="19">
        <f>$K33-Error!$B32</f>
        <v>94033.333077427305</v>
      </c>
      <c r="N33" s="19">
        <f>单位碳足迹!P34*Production!$B33/1000</f>
        <v>94890.856072791124</v>
      </c>
      <c r="O33" s="19">
        <f>$N33+Error!$B32</f>
        <v>110042.70740796051</v>
      </c>
      <c r="P33" s="19">
        <f>$N33-Error!$B32</f>
        <v>79739.004737621741</v>
      </c>
      <c r="Q33" s="19">
        <f>单位碳足迹!Q34*Production!$B33/1000</f>
        <v>55438.182808208039</v>
      </c>
      <c r="R33" s="19">
        <f>$Q33+Error!$B32</f>
        <v>70590.034143377416</v>
      </c>
      <c r="S33" s="19">
        <f>$Q33-Error!$B32</f>
        <v>40286.331473038663</v>
      </c>
      <c r="T33" s="19">
        <f>单位碳足迹!R34*Production!$B33/1000</f>
        <v>31423.317149498209</v>
      </c>
      <c r="U33" s="19">
        <f>$T33+Error!$B32</f>
        <v>46575.168484667593</v>
      </c>
      <c r="V33" s="19">
        <f>$T33-Error!$B32</f>
        <v>16271.465814328829</v>
      </c>
    </row>
    <row r="34" spans="1:22" x14ac:dyDescent="0.3">
      <c r="T34" s="17"/>
    </row>
    <row r="35" spans="1:22" x14ac:dyDescent="0.3">
      <c r="N35" s="17"/>
      <c r="O35" s="17"/>
      <c r="T35" s="17"/>
      <c r="V35" s="17"/>
    </row>
    <row r="36" spans="1:22" x14ac:dyDescent="0.3">
      <c r="C36" s="17"/>
      <c r="R36" s="17"/>
      <c r="T36" s="17"/>
    </row>
    <row r="37" spans="1:22" x14ac:dyDescent="0.3">
      <c r="C37" s="17"/>
    </row>
    <row r="38" spans="1:22" x14ac:dyDescent="0.3">
      <c r="C38" s="17"/>
    </row>
    <row r="39" spans="1:22" x14ac:dyDescent="0.3">
      <c r="C39" s="17"/>
    </row>
    <row r="40" spans="1:22" x14ac:dyDescent="0.3">
      <c r="C40" s="17"/>
    </row>
  </sheetData>
  <mergeCells count="7">
    <mergeCell ref="T1:V1"/>
    <mergeCell ref="Q1:S1"/>
    <mergeCell ref="B1:D1"/>
    <mergeCell ref="E1:G1"/>
    <mergeCell ref="H1:J1"/>
    <mergeCell ref="K1:M1"/>
    <mergeCell ref="N1:P1"/>
  </mergeCells>
  <phoneticPr fontId="1" type="noConversion"/>
  <conditionalFormatting sqref="B3:V33">
    <cfRule type="cellIs" dxfId="3" priority="1" operator="lessThan">
      <formula>0</formula>
    </cfRule>
    <cfRule type="cellIs" dxfId="2" priority="4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A3D7F-72D3-4EA7-8D69-4B1E7B70199F}">
  <dimension ref="A1:V262"/>
  <sheetViews>
    <sheetView topLeftCell="A7" workbookViewId="0">
      <selection activeCell="B57" sqref="B57"/>
    </sheetView>
  </sheetViews>
  <sheetFormatPr defaultColWidth="8.83203125" defaultRowHeight="14" x14ac:dyDescent="0.3"/>
  <cols>
    <col min="1" max="1" width="5.1640625" bestFit="1" customWidth="1"/>
    <col min="2" max="2" width="9.6640625" bestFit="1" customWidth="1"/>
    <col min="3" max="3" width="8.6640625" bestFit="1" customWidth="1"/>
    <col min="4" max="5" width="9.6640625" bestFit="1" customWidth="1"/>
    <col min="6" max="6" width="8.6640625" bestFit="1" customWidth="1"/>
    <col min="7" max="8" width="9.6640625" bestFit="1" customWidth="1"/>
    <col min="9" max="9" width="8.6640625" bestFit="1" customWidth="1"/>
    <col min="10" max="10" width="9.6640625" bestFit="1" customWidth="1"/>
    <col min="11" max="13" width="9.6640625" customWidth="1"/>
    <col min="14" max="17" width="9.6640625" bestFit="1" customWidth="1"/>
    <col min="18" max="18" width="8.6640625" bestFit="1" customWidth="1"/>
    <col min="19" max="19" width="9.6640625" bestFit="1" customWidth="1"/>
  </cols>
  <sheetData>
    <row r="1" spans="1:22" x14ac:dyDescent="0.3">
      <c r="B1" s="47" t="s">
        <v>40</v>
      </c>
      <c r="C1" s="48"/>
      <c r="D1" s="49"/>
      <c r="E1" s="50" t="s">
        <v>41</v>
      </c>
      <c r="F1" s="51"/>
      <c r="G1" s="52"/>
      <c r="H1" s="42" t="s">
        <v>42</v>
      </c>
      <c r="I1" s="42"/>
      <c r="J1" s="42"/>
      <c r="K1" s="44" t="s">
        <v>80</v>
      </c>
      <c r="L1" s="45"/>
      <c r="M1" s="46"/>
      <c r="N1" s="42" t="s">
        <v>43</v>
      </c>
      <c r="O1" s="42"/>
      <c r="P1" s="42"/>
      <c r="Q1" s="44" t="s">
        <v>86</v>
      </c>
      <c r="R1" s="45"/>
      <c r="S1" s="46"/>
      <c r="T1" s="41" t="s">
        <v>87</v>
      </c>
      <c r="U1" s="42"/>
      <c r="V1" s="43"/>
    </row>
    <row r="2" spans="1:22" x14ac:dyDescent="0.3">
      <c r="B2" s="18" t="s">
        <v>1</v>
      </c>
      <c r="C2" s="14" t="s">
        <v>2</v>
      </c>
      <c r="D2" s="20" t="s">
        <v>3</v>
      </c>
      <c r="E2" s="21" t="s">
        <v>1</v>
      </c>
      <c r="F2" s="21" t="s">
        <v>2</v>
      </c>
      <c r="G2" s="21" t="s">
        <v>3</v>
      </c>
      <c r="H2" s="18" t="s">
        <v>1</v>
      </c>
      <c r="I2" s="14" t="s">
        <v>2</v>
      </c>
      <c r="J2" s="20" t="s">
        <v>3</v>
      </c>
      <c r="K2" s="21" t="s">
        <v>1</v>
      </c>
      <c r="L2" s="21" t="s">
        <v>2</v>
      </c>
      <c r="M2" s="21" t="s">
        <v>3</v>
      </c>
      <c r="N2" s="18" t="s">
        <v>1</v>
      </c>
      <c r="O2" s="14" t="s">
        <v>2</v>
      </c>
      <c r="P2" s="20" t="s">
        <v>3</v>
      </c>
      <c r="Q2" s="21" t="s">
        <v>1</v>
      </c>
      <c r="R2" s="21" t="s">
        <v>2</v>
      </c>
      <c r="S2" s="21" t="s">
        <v>3</v>
      </c>
      <c r="T2" s="14" t="s">
        <v>1</v>
      </c>
      <c r="U2" s="14" t="s">
        <v>2</v>
      </c>
      <c r="V2" s="14" t="s">
        <v>3</v>
      </c>
    </row>
    <row r="3" spans="1:22" x14ac:dyDescent="0.3">
      <c r="A3">
        <v>2020</v>
      </c>
      <c r="B3" s="19">
        <f>产业碳足迹!B3</f>
        <v>21935.487763876492</v>
      </c>
      <c r="C3" s="19">
        <f>产业碳足迹!C3</f>
        <v>26231.231613765143</v>
      </c>
      <c r="D3" s="19">
        <f>产业碳足迹!D3</f>
        <v>17639.743913987841</v>
      </c>
      <c r="E3" s="19">
        <f>产业碳足迹!E3</f>
        <v>21935.487763876492</v>
      </c>
      <c r="F3" s="19">
        <f>产业碳足迹!F3</f>
        <v>26231.231613765143</v>
      </c>
      <c r="G3" s="19">
        <f>产业碳足迹!G3</f>
        <v>17639.743913987841</v>
      </c>
      <c r="H3" s="19">
        <f>产业碳足迹!H3</f>
        <v>21935.487763876492</v>
      </c>
      <c r="I3" s="19">
        <f>产业碳足迹!I3</f>
        <v>26231.231613765143</v>
      </c>
      <c r="J3" s="19">
        <f>产业碳足迹!J3</f>
        <v>17639.743913987841</v>
      </c>
      <c r="K3" s="19">
        <f>产业碳足迹!K3</f>
        <v>21935.487763876492</v>
      </c>
      <c r="L3" s="19">
        <f>产业碳足迹!L3</f>
        <v>26231.231613765143</v>
      </c>
      <c r="M3" s="19">
        <f>产业碳足迹!M3</f>
        <v>17639.743913987841</v>
      </c>
      <c r="N3" s="19">
        <f>产业碳足迹!N3</f>
        <v>21935.487763876492</v>
      </c>
      <c r="O3" s="19">
        <f>产业碳足迹!O3</f>
        <v>26231.231613765143</v>
      </c>
      <c r="P3" s="19">
        <f>产业碳足迹!P3</f>
        <v>17639.743913987841</v>
      </c>
      <c r="Q3" s="19">
        <f>产业碳足迹!Q3</f>
        <v>21935.487763876492</v>
      </c>
      <c r="R3" s="19">
        <f>产业碳足迹!R3</f>
        <v>26231.231613765143</v>
      </c>
      <c r="S3" s="19">
        <f>产业碳足迹!S3</f>
        <v>17639.743913987841</v>
      </c>
      <c r="T3" s="19">
        <f>产业碳足迹!T3</f>
        <v>21935.487763876492</v>
      </c>
      <c r="U3" s="19">
        <f>产业碳足迹!U3</f>
        <v>26231.231613765143</v>
      </c>
      <c r="V3" s="19">
        <f>产业碳足迹!V3</f>
        <v>17639.743913987841</v>
      </c>
    </row>
    <row r="4" spans="1:22" x14ac:dyDescent="0.3">
      <c r="A4">
        <v>2021</v>
      </c>
      <c r="B4" s="19">
        <f>产业碳足迹!B4</f>
        <v>27815.047372760182</v>
      </c>
      <c r="C4" s="19">
        <f>产业碳足迹!C4</f>
        <v>32390.67991092537</v>
      </c>
      <c r="D4" s="19">
        <f>产业碳足迹!D4</f>
        <v>23239.414834594994</v>
      </c>
      <c r="E4" s="19">
        <f>产业碳足迹!E4</f>
        <v>27143.938496139664</v>
      </c>
      <c r="F4" s="19">
        <f>产业碳足迹!F4</f>
        <v>31719.571034304849</v>
      </c>
      <c r="G4" s="19">
        <f>产业碳足迹!G4</f>
        <v>22568.30595797448</v>
      </c>
      <c r="H4" s="19">
        <f>产业碳足迹!H4</f>
        <v>26799.516384758226</v>
      </c>
      <c r="I4" s="19">
        <f>产业碳足迹!I4</f>
        <v>31375.148922923414</v>
      </c>
      <c r="J4" s="19">
        <f>产业碳足迹!J4</f>
        <v>22223.883846593038</v>
      </c>
      <c r="K4" s="19">
        <f>产业碳足迹!K4</f>
        <v>27287.617884901818</v>
      </c>
      <c r="L4" s="19">
        <f>产业碳足迹!L4</f>
        <v>31863.250423067002</v>
      </c>
      <c r="M4" s="19">
        <f>产业碳足迹!M4</f>
        <v>22711.985346736634</v>
      </c>
      <c r="N4" s="19">
        <f>产业碳足迹!N4</f>
        <v>27188.485698142857</v>
      </c>
      <c r="O4" s="19">
        <f>产业碳足迹!O4</f>
        <v>31764.118236308044</v>
      </c>
      <c r="P4" s="19">
        <f>产业碳足迹!P4</f>
        <v>22612.853159977669</v>
      </c>
      <c r="Q4" s="19">
        <f>产业碳足迹!Q4</f>
        <v>26888.050361105816</v>
      </c>
      <c r="R4" s="19">
        <f>产业碳足迹!R4</f>
        <v>31463.682899271</v>
      </c>
      <c r="S4" s="19">
        <f>产业碳足迹!S4</f>
        <v>22312.417822940632</v>
      </c>
      <c r="T4" s="19">
        <f>产业碳足迹!T4</f>
        <v>26417.157564723089</v>
      </c>
      <c r="U4" s="19">
        <f>产业碳足迹!U4</f>
        <v>30992.790102888277</v>
      </c>
      <c r="V4" s="19">
        <f>产业碳足迹!V4</f>
        <v>21841.525026557902</v>
      </c>
    </row>
    <row r="5" spans="1:22" x14ac:dyDescent="0.3">
      <c r="A5">
        <v>2022</v>
      </c>
      <c r="B5" s="19">
        <f>产业碳足迹!B5</f>
        <v>25897.999686042749</v>
      </c>
      <c r="C5" s="19">
        <f>产业碳足迹!C5</f>
        <v>30753.52091248447</v>
      </c>
      <c r="D5" s="19">
        <f>产业碳足迹!D5</f>
        <v>21042.478459601029</v>
      </c>
      <c r="E5" s="19">
        <f>产业碳足迹!E5</f>
        <v>24668.882307930522</v>
      </c>
      <c r="F5" s="19">
        <f>产业碳足迹!F5</f>
        <v>29524.403534372243</v>
      </c>
      <c r="G5" s="19">
        <f>产业碳足迹!G5</f>
        <v>19813.361081488802</v>
      </c>
      <c r="H5" s="19">
        <f>产业碳足迹!H5</f>
        <v>24057.282251049404</v>
      </c>
      <c r="I5" s="19">
        <f>产业碳足迹!I5</f>
        <v>28912.803477491121</v>
      </c>
      <c r="J5" s="19">
        <f>产业碳足迹!J5</f>
        <v>19201.761024607687</v>
      </c>
      <c r="K5" s="19">
        <f>产业碳足迹!K5</f>
        <v>24933.355344055486</v>
      </c>
      <c r="L5" s="19">
        <f>产业碳足迹!L5</f>
        <v>29788.876570497203</v>
      </c>
      <c r="M5" s="19">
        <f>产业碳足迹!M5</f>
        <v>20077.834117613769</v>
      </c>
      <c r="N5" s="19">
        <f>产业碳足迹!N5</f>
        <v>24750.431917281072</v>
      </c>
      <c r="O5" s="19">
        <f>产业碳足迹!O5</f>
        <v>29605.953143722792</v>
      </c>
      <c r="P5" s="19">
        <f>产业碳足迹!P5</f>
        <v>19894.910690839351</v>
      </c>
      <c r="Q5" s="19">
        <f>产业碳足迹!Q5</f>
        <v>24221.282655651536</v>
      </c>
      <c r="R5" s="19">
        <f>产业碳足迹!R5</f>
        <v>29076.803882093256</v>
      </c>
      <c r="S5" s="19">
        <f>产业碳足迹!S5</f>
        <v>19365.761429209815</v>
      </c>
      <c r="T5" s="19">
        <f>产业碳足迹!T5</f>
        <v>23372.177042696458</v>
      </c>
      <c r="U5" s="19">
        <f>产业碳足迹!U5</f>
        <v>28227.698269138178</v>
      </c>
      <c r="V5" s="19">
        <f>产业碳足迹!V5</f>
        <v>18516.655816254737</v>
      </c>
    </row>
    <row r="6" spans="1:22" x14ac:dyDescent="0.3">
      <c r="A6">
        <v>2023</v>
      </c>
      <c r="B6" s="19">
        <f>产业碳足迹!B6</f>
        <v>27524.336500908026</v>
      </c>
      <c r="C6" s="19">
        <f>产业碳足迹!C6</f>
        <v>32659.746415626276</v>
      </c>
      <c r="D6" s="19">
        <f>产业碳足迹!D6</f>
        <v>22388.926586189777</v>
      </c>
      <c r="E6" s="19">
        <f>产业碳足迹!E6</f>
        <v>25596.65371848506</v>
      </c>
      <c r="F6" s="19">
        <f>产业碳足迹!F6</f>
        <v>30732.06363320331</v>
      </c>
      <c r="G6" s="19">
        <f>产业碳足迹!G6</f>
        <v>20461.243803766811</v>
      </c>
      <c r="H6" s="19">
        <f>产业碳足迹!H6</f>
        <v>24666.420645229577</v>
      </c>
      <c r="I6" s="19">
        <f>产业碳足迹!I6</f>
        <v>29801.830559947826</v>
      </c>
      <c r="J6" s="19">
        <f>产业碳足迹!J6</f>
        <v>19531.010730511327</v>
      </c>
      <c r="K6" s="19">
        <f>产业碳足迹!K6</f>
        <v>26013.447055687346</v>
      </c>
      <c r="L6" s="19">
        <f>产业碳足迹!L6</f>
        <v>31148.856970405595</v>
      </c>
      <c r="M6" s="19">
        <f>产业碳足迹!M6</f>
        <v>20878.037140969096</v>
      </c>
      <c r="N6" s="19">
        <f>产业碳足迹!N6</f>
        <v>25724.492883235947</v>
      </c>
      <c r="O6" s="19">
        <f>产业碳足迹!O6</f>
        <v>30859.902797954197</v>
      </c>
      <c r="P6" s="19">
        <f>产业碳足迹!P6</f>
        <v>20589.082968517698</v>
      </c>
      <c r="Q6" s="19">
        <f>产业碳足迹!Q6</f>
        <v>24925.870077232245</v>
      </c>
      <c r="R6" s="19">
        <f>产业碳足迹!R6</f>
        <v>30061.279991950494</v>
      </c>
      <c r="S6" s="19">
        <f>产业碳足迹!S6</f>
        <v>19790.460162513995</v>
      </c>
      <c r="T6" s="19">
        <f>产业碳足迹!T6</f>
        <v>23614.771322660868</v>
      </c>
      <c r="U6" s="19">
        <f>产业碳足迹!U6</f>
        <v>28750.181237379118</v>
      </c>
      <c r="V6" s="19">
        <f>产业碳足迹!V6</f>
        <v>18479.361407942619</v>
      </c>
    </row>
    <row r="7" spans="1:22" x14ac:dyDescent="0.3">
      <c r="A7">
        <v>2024</v>
      </c>
      <c r="B7" s="19">
        <f>产业碳足迹!B7</f>
        <v>29704.227573024236</v>
      </c>
      <c r="C7" s="19">
        <f>产业碳足迹!C7</f>
        <v>35119.526176019019</v>
      </c>
      <c r="D7" s="19">
        <f>产业碳足迹!D7</f>
        <v>24288.92897002945</v>
      </c>
      <c r="E7" s="19">
        <f>产业碳足迹!E7</f>
        <v>26974.692736171302</v>
      </c>
      <c r="F7" s="19">
        <f>产业碳足迹!F7</f>
        <v>32389.991339166088</v>
      </c>
      <c r="G7" s="19">
        <f>产业碳足迹!G7</f>
        <v>21559.394133176516</v>
      </c>
      <c r="H7" s="19">
        <f>产业碳足迹!H7</f>
        <v>25697.002404383322</v>
      </c>
      <c r="I7" s="19">
        <f>产业碳足迹!I7</f>
        <v>31112.301007378108</v>
      </c>
      <c r="J7" s="19">
        <f>产业碳足迹!J7</f>
        <v>20281.703801388536</v>
      </c>
      <c r="K7" s="19">
        <f>产业碳足迹!K7</f>
        <v>27567.599519028954</v>
      </c>
      <c r="L7" s="19">
        <f>产业碳足迹!L7</f>
        <v>32982.89812202374</v>
      </c>
      <c r="M7" s="19">
        <f>产业碳足迹!M7</f>
        <v>22152.300916034168</v>
      </c>
      <c r="N7" s="19">
        <f>产业碳足迹!N7</f>
        <v>27155.624813099559</v>
      </c>
      <c r="O7" s="19">
        <f>产业碳足迹!O7</f>
        <v>32570.923416094345</v>
      </c>
      <c r="P7" s="19">
        <f>产业碳足迹!P7</f>
        <v>21740.326210104773</v>
      </c>
      <c r="Q7" s="19">
        <f>产业碳足迹!Q7</f>
        <v>26066.659428598199</v>
      </c>
      <c r="R7" s="19">
        <f>产业碳足迹!R7</f>
        <v>31481.958031592985</v>
      </c>
      <c r="S7" s="19">
        <f>产业碳足迹!S7</f>
        <v>20651.360825603413</v>
      </c>
      <c r="T7" s="19">
        <f>产业碳足迹!T7</f>
        <v>24238.947099276393</v>
      </c>
      <c r="U7" s="19">
        <f>产业碳足迹!U7</f>
        <v>29654.245702271179</v>
      </c>
      <c r="V7" s="19">
        <f>产业碳足迹!V7</f>
        <v>18823.648496281607</v>
      </c>
    </row>
    <row r="8" spans="1:22" x14ac:dyDescent="0.3">
      <c r="A8">
        <v>2025</v>
      </c>
      <c r="B8" s="19">
        <f>产业碳足迹!B8</f>
        <v>32028.292866707074</v>
      </c>
      <c r="C8" s="19">
        <f>产业碳足迹!C8</f>
        <v>37723.480157978389</v>
      </c>
      <c r="D8" s="19">
        <f>产业碳足迹!D8</f>
        <v>26333.105575435755</v>
      </c>
      <c r="E8" s="19">
        <f>产业碳足迹!E8</f>
        <v>28407.229056705171</v>
      </c>
      <c r="F8" s="19">
        <f>产业碳足迹!F8</f>
        <v>34102.41634797649</v>
      </c>
      <c r="G8" s="19">
        <f>产业碳足迹!G8</f>
        <v>22712.041765433853</v>
      </c>
      <c r="H8" s="19">
        <f>产业碳足迹!H8</f>
        <v>26762.684371341369</v>
      </c>
      <c r="I8" s="19">
        <f>产业碳足迹!I8</f>
        <v>32457.871662612688</v>
      </c>
      <c r="J8" s="19">
        <f>产业碳足迹!J8</f>
        <v>21067.49708007005</v>
      </c>
      <c r="K8" s="19">
        <f>产业碳足迹!K8</f>
        <v>29197.300601484843</v>
      </c>
      <c r="L8" s="19">
        <f>产业碳足迹!L8</f>
        <v>34892.487892756159</v>
      </c>
      <c r="M8" s="19">
        <f>产业碳足迹!M8</f>
        <v>23502.113310213525</v>
      </c>
      <c r="N8" s="19">
        <f>产业碳足迹!N8</f>
        <v>28647.145715459985</v>
      </c>
      <c r="O8" s="19">
        <f>产业碳足迹!O8</f>
        <v>34342.3330067313</v>
      </c>
      <c r="P8" s="19">
        <f>产业碳足迹!P8</f>
        <v>22951.958424188666</v>
      </c>
      <c r="Q8" s="19">
        <f>产业碳足迹!Q8</f>
        <v>27255.005346669521</v>
      </c>
      <c r="R8" s="19">
        <f>产业碳足迹!R8</f>
        <v>32950.19263794084</v>
      </c>
      <c r="S8" s="19">
        <f>产业碳足迹!S8</f>
        <v>21559.818055398202</v>
      </c>
      <c r="T8" s="19">
        <f>产业碳足迹!T8</f>
        <v>24867.972213824476</v>
      </c>
      <c r="U8" s="19">
        <f>产业碳足迹!U8</f>
        <v>30563.159505095795</v>
      </c>
      <c r="V8" s="19">
        <f>产业碳足迹!V8</f>
        <v>19172.784922553157</v>
      </c>
    </row>
    <row r="9" spans="1:22" x14ac:dyDescent="0.3">
      <c r="A9">
        <v>2026</v>
      </c>
      <c r="B9" s="19">
        <f>产业碳足迹!B9</f>
        <v>34505.220031992627</v>
      </c>
      <c r="C9" s="19">
        <f>产业碳足迹!C9</f>
        <v>40571.045960868942</v>
      </c>
      <c r="D9" s="19">
        <f>产业碳足迹!D9</f>
        <v>28439.394103116312</v>
      </c>
      <c r="E9" s="19">
        <f>产业碳足迹!E9</f>
        <v>29896.332564327848</v>
      </c>
      <c r="F9" s="19">
        <f>产业碳足迹!F9</f>
        <v>35962.158493204166</v>
      </c>
      <c r="G9" s="19">
        <f>产业碳足迹!G9</f>
        <v>23830.506635451533</v>
      </c>
      <c r="H9" s="19">
        <f>产业碳足迹!H9</f>
        <v>27865.083203210532</v>
      </c>
      <c r="I9" s="19">
        <f>产业碳足迹!I9</f>
        <v>33930.909132086847</v>
      </c>
      <c r="J9" s="19">
        <f>产业碳足迹!J9</f>
        <v>21799.257274334217</v>
      </c>
      <c r="K9" s="19">
        <f>产业碳足迹!K9</f>
        <v>30906.242976877991</v>
      </c>
      <c r="L9" s="19">
        <f>产业碳足迹!L9</f>
        <v>36972.068905754306</v>
      </c>
      <c r="M9" s="19">
        <f>产业碳足迹!M9</f>
        <v>24840.417048001676</v>
      </c>
      <c r="N9" s="19">
        <f>产业碳足迹!N9</f>
        <v>30201.554925068536</v>
      </c>
      <c r="O9" s="19">
        <f>产业碳足迹!O9</f>
        <v>36267.380853944851</v>
      </c>
      <c r="P9" s="19">
        <f>产业碳足迹!P9</f>
        <v>24135.728996192222</v>
      </c>
      <c r="Q9" s="19">
        <f>产业碳足迹!Q9</f>
        <v>28492.833671472777</v>
      </c>
      <c r="R9" s="19">
        <f>产业碳足迹!R9</f>
        <v>34558.659600349092</v>
      </c>
      <c r="S9" s="19">
        <f>产业碳足迹!S9</f>
        <v>22427.007742596463</v>
      </c>
      <c r="T9" s="19">
        <f>产业碳足迹!T9</f>
        <v>25501.939153030777</v>
      </c>
      <c r="U9" s="19">
        <f>产业碳足迹!U9</f>
        <v>31567.765081907091</v>
      </c>
      <c r="V9" s="19">
        <f>产业碳足迹!V9</f>
        <v>19436.113224154462</v>
      </c>
    </row>
    <row r="10" spans="1:22" x14ac:dyDescent="0.3">
      <c r="A10">
        <v>2027</v>
      </c>
      <c r="B10" s="19">
        <f>产业碳足迹!B10</f>
        <v>37144.200044575489</v>
      </c>
      <c r="C10" s="19">
        <f>产业碳足迹!C10</f>
        <v>43580.664611056804</v>
      </c>
      <c r="D10" s="19">
        <f>产业碳足迹!D10</f>
        <v>30707.735478094175</v>
      </c>
      <c r="E10" s="19">
        <f>产业碳足迹!E10</f>
        <v>31444.142864039211</v>
      </c>
      <c r="F10" s="19">
        <f>产业碳足迹!F10</f>
        <v>37880.607430520526</v>
      </c>
      <c r="G10" s="19">
        <f>产业碳足迹!G10</f>
        <v>25007.678297557897</v>
      </c>
      <c r="H10" s="19">
        <f>产业碳足迹!H10</f>
        <v>29005.868020211881</v>
      </c>
      <c r="I10" s="19">
        <f>产业碳足迹!I10</f>
        <v>35442.332586693199</v>
      </c>
      <c r="J10" s="19">
        <f>产业碳足迹!J10</f>
        <v>22569.403453730567</v>
      </c>
      <c r="K10" s="19">
        <f>产业碳足迹!K10</f>
        <v>32698.295395306341</v>
      </c>
      <c r="L10" s="19">
        <f>产业碳足迹!L10</f>
        <v>39134.759961787655</v>
      </c>
      <c r="M10" s="19">
        <f>产业碳足迹!M10</f>
        <v>26261.830828825026</v>
      </c>
      <c r="N10" s="19">
        <f>产业碳足迹!N10</f>
        <v>31821.449267261967</v>
      </c>
      <c r="O10" s="19">
        <f>产业碳足迹!O10</f>
        <v>38257.913833743281</v>
      </c>
      <c r="P10" s="19">
        <f>产业碳足迹!P10</f>
        <v>25384.984700780653</v>
      </c>
      <c r="Q10" s="19">
        <f>产业碳足迹!Q10</f>
        <v>29782.0853617801</v>
      </c>
      <c r="R10" s="19">
        <f>产业碳足迹!R10</f>
        <v>36218.549928261418</v>
      </c>
      <c r="S10" s="19">
        <f>产业碳足迹!S10</f>
        <v>23345.620795298786</v>
      </c>
      <c r="T10" s="19">
        <f>产业碳足迹!T10</f>
        <v>26140.901288180561</v>
      </c>
      <c r="U10" s="19">
        <f>产业碳足迹!U10</f>
        <v>32577.365854661875</v>
      </c>
      <c r="V10" s="19">
        <f>产业碳足迹!V10</f>
        <v>19704.436721699247</v>
      </c>
    </row>
    <row r="11" spans="1:22" x14ac:dyDescent="0.3">
      <c r="A11">
        <v>2028</v>
      </c>
      <c r="B11" s="19">
        <f>产业碳足迹!B11</f>
        <v>39954.955379857434</v>
      </c>
      <c r="C11" s="19">
        <f>产业碳足迹!C11</f>
        <v>46762.058583943748</v>
      </c>
      <c r="D11" s="19">
        <f>产业碳足迹!D11</f>
        <v>33147.852175771121</v>
      </c>
      <c r="E11" s="19">
        <f>产业碳足迹!E11</f>
        <v>33052.87106357843</v>
      </c>
      <c r="F11" s="19">
        <f>产业碳足迹!F11</f>
        <v>39859.974267664744</v>
      </c>
      <c r="G11" s="19">
        <f>产业碳足迹!G11</f>
        <v>26245.767859492116</v>
      </c>
      <c r="H11" s="19">
        <f>产业碳足迹!H11</f>
        <v>30186.763588575901</v>
      </c>
      <c r="I11" s="19">
        <f>产业碳足迹!I11</f>
        <v>36993.866792662215</v>
      </c>
      <c r="J11" s="19">
        <f>产业碳足迹!J11</f>
        <v>23379.660384489587</v>
      </c>
      <c r="K11" s="19">
        <f>产业碳足迹!K11</f>
        <v>34577.511035804375</v>
      </c>
      <c r="L11" s="19">
        <f>产业碳足迹!L11</f>
        <v>41384.614239890689</v>
      </c>
      <c r="M11" s="19">
        <f>产业碳足迹!M11</f>
        <v>27770.407831718061</v>
      </c>
      <c r="N11" s="19">
        <f>产业碳足迹!N11</f>
        <v>33509.526504110429</v>
      </c>
      <c r="O11" s="19">
        <f>产业碳足迹!O11</f>
        <v>40316.629708196742</v>
      </c>
      <c r="P11" s="19">
        <f>产业碳足迹!P11</f>
        <v>26702.423300024115</v>
      </c>
      <c r="Q11" s="19">
        <f>产业碳足迹!Q11</f>
        <v>31124.714837579169</v>
      </c>
      <c r="R11" s="19">
        <f>产业碳足迹!R11</f>
        <v>37931.81804166548</v>
      </c>
      <c r="S11" s="19">
        <f>产业碳足迹!S11</f>
        <v>24317.611633492859</v>
      </c>
      <c r="T11" s="19">
        <f>产业碳足迹!T11</f>
        <v>26784.872429946237</v>
      </c>
      <c r="U11" s="19">
        <f>产业碳足迹!U11</f>
        <v>33591.975634032548</v>
      </c>
      <c r="V11" s="19">
        <f>产业碳足迹!V11</f>
        <v>19977.769225859927</v>
      </c>
    </row>
    <row r="12" spans="1:22" x14ac:dyDescent="0.3">
      <c r="A12">
        <v>2029</v>
      </c>
      <c r="B12" s="19">
        <f>产业碳足迹!B12</f>
        <v>42947.769708325242</v>
      </c>
      <c r="C12" s="19">
        <f>产业碳足迹!C12</f>
        <v>50125.511550016556</v>
      </c>
      <c r="D12" s="19">
        <f>产业碳足迹!D12</f>
        <v>35770.027866633929</v>
      </c>
      <c r="E12" s="19">
        <f>产业碳足迹!E12</f>
        <v>34724.80155982673</v>
      </c>
      <c r="F12" s="19">
        <f>产业碳足迹!F12</f>
        <v>41902.543401518036</v>
      </c>
      <c r="G12" s="19">
        <f>产业碳足迹!G12</f>
        <v>27547.059718135421</v>
      </c>
      <c r="H12" s="19">
        <f>产业碳足迹!H12</f>
        <v>31409.553525505766</v>
      </c>
      <c r="I12" s="19">
        <f>产业碳足迹!I12</f>
        <v>38587.295367197075</v>
      </c>
      <c r="J12" s="19">
        <f>产业碳足迹!J12</f>
        <v>24231.811683814456</v>
      </c>
      <c r="K12" s="19">
        <f>产业碳足迹!K12</f>
        <v>36548.13623285191</v>
      </c>
      <c r="L12" s="19">
        <f>产业碳足迹!L12</f>
        <v>43725.878074543216</v>
      </c>
      <c r="M12" s="19">
        <f>产业碳足迹!M12</f>
        <v>29370.3943911606</v>
      </c>
      <c r="N12" s="19">
        <f>产业碳足迹!N12</f>
        <v>35268.588878832546</v>
      </c>
      <c r="O12" s="19">
        <f>产业碳足迹!O12</f>
        <v>42446.330720523853</v>
      </c>
      <c r="P12" s="19">
        <f>产业碳足迹!P12</f>
        <v>28090.847037141237</v>
      </c>
      <c r="Q12" s="19">
        <f>产业碳足迹!Q12</f>
        <v>32522.687790071072</v>
      </c>
      <c r="R12" s="19">
        <f>产业碳足迹!R12</f>
        <v>39700.429631762381</v>
      </c>
      <c r="S12" s="19">
        <f>产业碳足迹!S12</f>
        <v>25344.945948379762</v>
      </c>
      <c r="T12" s="19">
        <f>产业碳足迹!T12</f>
        <v>27433.826134528099</v>
      </c>
      <c r="U12" s="19">
        <f>产业碳足迹!U12</f>
        <v>34611.567976219405</v>
      </c>
      <c r="V12" s="19">
        <f>产业碳足迹!V12</f>
        <v>20256.084292836789</v>
      </c>
    </row>
    <row r="13" spans="1:22" x14ac:dyDescent="0.3">
      <c r="A13">
        <v>2030</v>
      </c>
      <c r="B13" s="19">
        <f>产业碳足迹!B13</f>
        <v>46133.519190585015</v>
      </c>
      <c r="C13" s="19">
        <f>产业碳足迹!C13</f>
        <v>53681.899669881321</v>
      </c>
      <c r="D13" s="19">
        <f>产业碳足迹!D13</f>
        <v>38585.13871128871</v>
      </c>
      <c r="E13" s="19">
        <f>产业碳足迹!E13</f>
        <v>36462.293825656277</v>
      </c>
      <c r="F13" s="19">
        <f>产业碳足迹!F13</f>
        <v>44010.674304952583</v>
      </c>
      <c r="G13" s="19">
        <f>产业碳足迹!G13</f>
        <v>28913.913346359968</v>
      </c>
      <c r="H13" s="19">
        <f>产业碳足迹!H13</f>
        <v>32676.083538122861</v>
      </c>
      <c r="I13" s="19">
        <f>产业碳足迹!I13</f>
        <v>40224.464017419166</v>
      </c>
      <c r="J13" s="19">
        <f>产业碳足迹!J13</f>
        <v>25127.703058826552</v>
      </c>
      <c r="K13" s="19">
        <f>产业碳足迹!K13</f>
        <v>38614.619593141404</v>
      </c>
      <c r="L13" s="19">
        <f>产业碳足迹!L13</f>
        <v>46163.00007243771</v>
      </c>
      <c r="M13" s="19">
        <f>产业碳足迹!M13</f>
        <v>31066.239113845095</v>
      </c>
      <c r="N13" s="19">
        <f>产业碳足迹!N13</f>
        <v>37101.546759469333</v>
      </c>
      <c r="O13" s="19">
        <f>产业碳足迹!O13</f>
        <v>44649.927238765638</v>
      </c>
      <c r="P13" s="19">
        <f>产业碳足迹!P13</f>
        <v>29553.166280173024</v>
      </c>
      <c r="Q13" s="19">
        <f>产业碳足迹!Q13</f>
        <v>33977.978437162586</v>
      </c>
      <c r="R13" s="19">
        <f>产业碳足迹!R13</f>
        <v>41526.358916458892</v>
      </c>
      <c r="S13" s="19">
        <f>产业碳足迹!S13</f>
        <v>26429.597957866277</v>
      </c>
      <c r="T13" s="19">
        <f>产业碳足迹!T13</f>
        <v>28087.694772005394</v>
      </c>
      <c r="U13" s="19">
        <f>产业碳足迹!U13</f>
        <v>35636.0752513017</v>
      </c>
      <c r="V13" s="19">
        <f>产业碳足迹!V13</f>
        <v>20539.314292709085</v>
      </c>
    </row>
    <row r="14" spans="1:22" x14ac:dyDescent="0.3">
      <c r="A14">
        <v>2031</v>
      </c>
      <c r="B14" s="19">
        <f>产业碳足迹!B14</f>
        <v>49523.70545446183</v>
      </c>
      <c r="C14" s="19">
        <f>产业碳足迹!C14</f>
        <v>57470.641835570234</v>
      </c>
      <c r="D14" s="19">
        <f>产业碳足迹!D14</f>
        <v>41576.769073353425</v>
      </c>
      <c r="E14" s="19">
        <f>产业碳足迹!E14</f>
        <v>38090.369973584413</v>
      </c>
      <c r="F14" s="19">
        <f>产业碳足迹!F14</f>
        <v>46037.306354692817</v>
      </c>
      <c r="G14" s="19">
        <f>产业碳足迹!G14</f>
        <v>30143.433592476009</v>
      </c>
      <c r="H14" s="19">
        <f>产业碳足迹!H14</f>
        <v>33988.264707512011</v>
      </c>
      <c r="I14" s="19">
        <f>产业碳足迹!I14</f>
        <v>41935.201088620415</v>
      </c>
      <c r="J14" s="19">
        <f>产业碳足迹!J14</f>
        <v>26041.328326403607</v>
      </c>
      <c r="K14" s="19">
        <f>产业碳足迹!K14</f>
        <v>40781.621519848988</v>
      </c>
      <c r="L14" s="19">
        <f>产业碳足迹!L14</f>
        <v>48728.557900957392</v>
      </c>
      <c r="M14" s="19">
        <f>产业碳足迹!M14</f>
        <v>32834.685138740584</v>
      </c>
      <c r="N14" s="19">
        <f>产业碳足迹!N14</f>
        <v>39011.422382933255</v>
      </c>
      <c r="O14" s="19">
        <f>产业碳足迹!O14</f>
        <v>46958.358764041659</v>
      </c>
      <c r="P14" s="19">
        <f>产业碳足迹!P14</f>
        <v>31064.486001824851</v>
      </c>
      <c r="Q14" s="19">
        <f>产业碳足迹!Q14</f>
        <v>35297.094078706104</v>
      </c>
      <c r="R14" s="19">
        <f>产业碳足迹!R14</f>
        <v>43244.030459814509</v>
      </c>
      <c r="S14" s="19">
        <f>产业碳足迹!S14</f>
        <v>27350.1576975977</v>
      </c>
      <c r="T14" s="19">
        <f>产业碳足迹!T14</f>
        <v>28600.946874075515</v>
      </c>
      <c r="U14" s="19">
        <f>产业碳足迹!U14</f>
        <v>36547.883255183915</v>
      </c>
      <c r="V14" s="19">
        <f>产业碳足迹!V14</f>
        <v>20654.010492967111</v>
      </c>
    </row>
    <row r="15" spans="1:22" x14ac:dyDescent="0.3">
      <c r="A15">
        <v>2032</v>
      </c>
      <c r="B15" s="19">
        <f>产业碳足迹!B15</f>
        <v>53130.490339739488</v>
      </c>
      <c r="C15" s="19">
        <f>产业碳足迹!C15</f>
        <v>61475.982622659983</v>
      </c>
      <c r="D15" s="19">
        <f>产业碳足迹!D15</f>
        <v>44784.998056818993</v>
      </c>
      <c r="E15" s="19">
        <f>产业碳足迹!E15</f>
        <v>39768.697386536602</v>
      </c>
      <c r="F15" s="19">
        <f>产业碳足迹!F15</f>
        <v>48114.189669457104</v>
      </c>
      <c r="G15" s="19">
        <f>产业碳足迹!G15</f>
        <v>31423.205103616103</v>
      </c>
      <c r="H15" s="19">
        <f>产业碳足迹!H15</f>
        <v>35348.076827573765</v>
      </c>
      <c r="I15" s="19">
        <f>产业碳足迹!I15</f>
        <v>43693.569110494267</v>
      </c>
      <c r="J15" s="19">
        <f>产业碳足迹!J15</f>
        <v>27002.584544653266</v>
      </c>
      <c r="K15" s="19">
        <f>产业碳足迹!K15</f>
        <v>43054.024161599722</v>
      </c>
      <c r="L15" s="19">
        <f>产业碳足迹!L15</f>
        <v>51399.516444520224</v>
      </c>
      <c r="M15" s="19">
        <f>产业碳足迹!M15</f>
        <v>34708.53187867922</v>
      </c>
      <c r="N15" s="19">
        <f>产业碳足迹!N15</f>
        <v>41001.353699782798</v>
      </c>
      <c r="O15" s="19">
        <f>产业碳足迹!O15</f>
        <v>49346.845982703293</v>
      </c>
      <c r="P15" s="19">
        <f>产业碳足迹!P15</f>
        <v>32655.861416862299</v>
      </c>
      <c r="Q15" s="19">
        <f>产业碳足迹!Q15</f>
        <v>36650.664812861265</v>
      </c>
      <c r="R15" s="19">
        <f>产业碳足迹!R15</f>
        <v>44996.15709578176</v>
      </c>
      <c r="S15" s="19">
        <f>产业碳足迹!S15</f>
        <v>28305.172529940766</v>
      </c>
      <c r="T15" s="19">
        <f>产业碳足迹!T15</f>
        <v>29107.201076984689</v>
      </c>
      <c r="U15" s="19">
        <f>产业碳足迹!U15</f>
        <v>37452.693359905184</v>
      </c>
      <c r="V15" s="19">
        <f>产业碳足迹!V15</f>
        <v>20761.70879406419</v>
      </c>
    </row>
    <row r="16" spans="1:22" x14ac:dyDescent="0.3">
      <c r="A16">
        <v>2033</v>
      </c>
      <c r="B16" s="19">
        <f>产业碳足迹!B16</f>
        <v>56966.732500898557</v>
      </c>
      <c r="C16" s="19">
        <f>产业碳足迹!C16</f>
        <v>65710.780685631151</v>
      </c>
      <c r="D16" s="19">
        <f>产业碳足迹!D16</f>
        <v>48222.684316165964</v>
      </c>
      <c r="E16" s="19">
        <f>产业碳足迹!E16</f>
        <v>41498.366988840135</v>
      </c>
      <c r="F16" s="19">
        <f>产业碳足迹!F16</f>
        <v>50242.415173572728</v>
      </c>
      <c r="G16" s="19">
        <f>产业碳足迹!G16</f>
        <v>32754.318804107541</v>
      </c>
      <c r="H16" s="19">
        <f>产业碳足迹!H16</f>
        <v>36757.571808200286</v>
      </c>
      <c r="I16" s="19">
        <f>产业碳足迹!I16</f>
        <v>45501.61999293288</v>
      </c>
      <c r="J16" s="19">
        <f>产业碳足迹!J16</f>
        <v>28013.523623467692</v>
      </c>
      <c r="K16" s="19">
        <f>产业碳足迹!K16</f>
        <v>45436.94180453413</v>
      </c>
      <c r="L16" s="19">
        <f>产业碳足迹!L16</f>
        <v>54180.989989266724</v>
      </c>
      <c r="M16" s="19">
        <f>产业碳足迹!M16</f>
        <v>36692.893619801536</v>
      </c>
      <c r="N16" s="19">
        <f>产业碳足迹!N16</f>
        <v>43074.598320497549</v>
      </c>
      <c r="O16" s="19">
        <f>产业碳足迹!O16</f>
        <v>51818.646505230143</v>
      </c>
      <c r="P16" s="19">
        <f>产业碳足迹!P16</f>
        <v>34330.550135764955</v>
      </c>
      <c r="Q16" s="19">
        <f>产业碳足迹!Q16</f>
        <v>38038.029321670205</v>
      </c>
      <c r="R16" s="19">
        <f>产业碳足迹!R16</f>
        <v>46782.077506402798</v>
      </c>
      <c r="S16" s="19">
        <f>产业碳足迹!S16</f>
        <v>29293.981136937611</v>
      </c>
      <c r="T16" s="19">
        <f>产业碳足迹!T16</f>
        <v>29605.619063773309</v>
      </c>
      <c r="U16" s="19">
        <f>产业碳足迹!U16</f>
        <v>38349.667248505903</v>
      </c>
      <c r="V16" s="19">
        <f>产业碳足迹!V16</f>
        <v>20861.570879040715</v>
      </c>
    </row>
    <row r="17" spans="1:22" x14ac:dyDescent="0.3">
      <c r="A17">
        <v>2034</v>
      </c>
      <c r="B17" s="19">
        <f>产业碳足迹!B17</f>
        <v>61046.025961881242</v>
      </c>
      <c r="C17" s="19">
        <f>产业碳足迹!C17</f>
        <v>70188.630048425926</v>
      </c>
      <c r="D17" s="19">
        <f>产业碳足迹!D17</f>
        <v>51903.421875336549</v>
      </c>
      <c r="E17" s="19">
        <f>产业碳足迹!E17</f>
        <v>43280.453945696871</v>
      </c>
      <c r="F17" s="19">
        <f>产业碳足迹!F17</f>
        <v>52423.058032241563</v>
      </c>
      <c r="G17" s="19">
        <f>产业碳足迹!G17</f>
        <v>34137.849859152178</v>
      </c>
      <c r="H17" s="19">
        <f>产业碳足迹!H17</f>
        <v>38218.877151278299</v>
      </c>
      <c r="I17" s="19">
        <f>产业碳足迹!I17</f>
        <v>47361.481237822991</v>
      </c>
      <c r="J17" s="19">
        <f>产业碳足迹!J17</f>
        <v>29076.273064733607</v>
      </c>
      <c r="K17" s="19">
        <f>产业碳足迹!K17</f>
        <v>47935.731726027036</v>
      </c>
      <c r="L17" s="19">
        <f>产业碳足迹!L17</f>
        <v>57078.335812571728</v>
      </c>
      <c r="M17" s="19">
        <f>产业碳足迹!M17</f>
        <v>38793.127639482344</v>
      </c>
      <c r="N17" s="19">
        <f>产业碳足迹!N17</f>
        <v>45234.537563384256</v>
      </c>
      <c r="O17" s="19">
        <f>产业碳足迹!O17</f>
        <v>54377.141649928948</v>
      </c>
      <c r="P17" s="19">
        <f>产业碳足迹!P17</f>
        <v>36091.933476839564</v>
      </c>
      <c r="Q17" s="19">
        <f>产业碳足迹!Q17</f>
        <v>39458.299578754471</v>
      </c>
      <c r="R17" s="19">
        <f>产业碳足迹!R17</f>
        <v>48600.903665299164</v>
      </c>
      <c r="S17" s="19">
        <f>产业碳足迹!S17</f>
        <v>30315.695492209779</v>
      </c>
      <c r="T17" s="19">
        <f>产业碳足迹!T17</f>
        <v>30095.278839253067</v>
      </c>
      <c r="U17" s="19">
        <f>产业碳足迹!U17</f>
        <v>39237.882925797763</v>
      </c>
      <c r="V17" s="19">
        <f>产业碳足迹!V17</f>
        <v>20952.674752708375</v>
      </c>
    </row>
    <row r="18" spans="1:22" x14ac:dyDescent="0.3">
      <c r="A18">
        <v>2035</v>
      </c>
      <c r="B18" s="19">
        <f>产业碳足迹!B18</f>
        <v>65382.740721471258</v>
      </c>
      <c r="C18" s="19">
        <f>产业碳足迹!C18</f>
        <v>74923.900709828042</v>
      </c>
      <c r="D18" s="19">
        <f>产业碳足迹!D18</f>
        <v>55841.580733114475</v>
      </c>
      <c r="E18" s="19">
        <f>产业碳足迹!E18</f>
        <v>45116.013514259845</v>
      </c>
      <c r="F18" s="19">
        <f>产业碳足迹!F18</f>
        <v>54657.173502616628</v>
      </c>
      <c r="G18" s="19">
        <f>产业碳足迹!G18</f>
        <v>35574.853525903061</v>
      </c>
      <c r="H18" s="19">
        <f>产业碳足迹!H18</f>
        <v>39734.199507643709</v>
      </c>
      <c r="I18" s="19">
        <f>产业碳足迹!I18</f>
        <v>49275.359496000499</v>
      </c>
      <c r="J18" s="19">
        <f>产业碳足迹!J18</f>
        <v>30193.039519286922</v>
      </c>
      <c r="K18" s="19">
        <f>产业碳足迹!K18</f>
        <v>50556.005529393384</v>
      </c>
      <c r="L18" s="19">
        <f>产业碳足迹!L18</f>
        <v>60097.165517750167</v>
      </c>
      <c r="M18" s="19">
        <f>产业碳足迹!M18</f>
        <v>41014.8455410366</v>
      </c>
      <c r="N18" s="19">
        <f>产业碳足迹!N18</f>
        <v>47484.680604179848</v>
      </c>
      <c r="O18" s="19">
        <f>产业碳足迹!O18</f>
        <v>57025.840592536639</v>
      </c>
      <c r="P18" s="19">
        <f>产业碳足迹!P18</f>
        <v>37943.520615823058</v>
      </c>
      <c r="Q18" s="19">
        <f>产业碳足迹!Q18</f>
        <v>40910.339013234552</v>
      </c>
      <c r="R18" s="19">
        <f>产业碳足迹!R18</f>
        <v>50451.499001591335</v>
      </c>
      <c r="S18" s="19">
        <f>产业碳足迹!S18</f>
        <v>31369.179024877765</v>
      </c>
      <c r="T18" s="19">
        <f>产业碳足迹!T18</f>
        <v>30575.170994584478</v>
      </c>
      <c r="U18" s="19">
        <f>产业碳足迹!U18</f>
        <v>40116.330982941261</v>
      </c>
      <c r="V18" s="19">
        <f>产业碳足迹!V18</f>
        <v>21034.011006227691</v>
      </c>
    </row>
    <row r="19" spans="1:22" x14ac:dyDescent="0.3">
      <c r="A19">
        <v>2036</v>
      </c>
      <c r="B19" s="19">
        <f>产业碳足迹!B19</f>
        <v>69992.065512268615</v>
      </c>
      <c r="C19" s="19">
        <f>产业碳足迹!C19</f>
        <v>79979.679910811974</v>
      </c>
      <c r="D19" s="19">
        <f>产业碳足迹!D19</f>
        <v>60004.451113725263</v>
      </c>
      <c r="E19" s="19">
        <f>产业碳足迹!E19</f>
        <v>47006.076533797204</v>
      </c>
      <c r="F19" s="19">
        <f>产业碳足迹!F19</f>
        <v>56993.690932340556</v>
      </c>
      <c r="G19" s="19">
        <f>产业碳足迹!G19</f>
        <v>37018.462135253852</v>
      </c>
      <c r="H19" s="19">
        <f>产业碳足迹!H19</f>
        <v>41305.828322582238</v>
      </c>
      <c r="I19" s="19">
        <f>产业碳足迹!I19</f>
        <v>51293.44272112559</v>
      </c>
      <c r="J19" s="19">
        <f>产业碳足迹!J19</f>
        <v>31318.213924038886</v>
      </c>
      <c r="K19" s="19">
        <f>产业碳足迹!K19</f>
        <v>53303.64097943408</v>
      </c>
      <c r="L19" s="19">
        <f>产业碳足迹!L19</f>
        <v>63291.255377977432</v>
      </c>
      <c r="M19" s="19">
        <f>产业碳足迹!M19</f>
        <v>43316.026580890728</v>
      </c>
      <c r="N19" s="19">
        <f>产业碳足迹!N19</f>
        <v>49828.668727064374</v>
      </c>
      <c r="O19" s="19">
        <f>产业碳足迹!O19</f>
        <v>59816.283125607726</v>
      </c>
      <c r="P19" s="19">
        <f>产业碳足迹!P19</f>
        <v>39841.054328521022</v>
      </c>
      <c r="Q19" s="19">
        <f>产业碳足迹!Q19</f>
        <v>42392.738815427634</v>
      </c>
      <c r="R19" s="19">
        <f>产业碳足迹!R19</f>
        <v>52380.353213970986</v>
      </c>
      <c r="S19" s="19">
        <f>产业碳足迹!S19</f>
        <v>32405.124416884282</v>
      </c>
      <c r="T19" s="19">
        <f>产业碳足迹!T19</f>
        <v>31044.194662417944</v>
      </c>
      <c r="U19" s="19">
        <f>产业碳足迹!U19</f>
        <v>41031.809060961299</v>
      </c>
      <c r="V19" s="19">
        <f>产业碳足迹!V19</f>
        <v>21056.580263874588</v>
      </c>
    </row>
    <row r="20" spans="1:22" x14ac:dyDescent="0.3">
      <c r="A20">
        <v>2037</v>
      </c>
      <c r="B20" s="19">
        <f>产业碳足迹!B20</f>
        <v>74890.05282102045</v>
      </c>
      <c r="C20" s="19">
        <f>产业碳足迹!C20</f>
        <v>85324.121629750371</v>
      </c>
      <c r="D20" s="19">
        <f>产业碳足迹!D20</f>
        <v>64455.98401229053</v>
      </c>
      <c r="E20" s="19">
        <f>产业碳足迹!E20</f>
        <v>48951.644530536978</v>
      </c>
      <c r="F20" s="19">
        <f>产业碳足迹!F20</f>
        <v>59385.713339266898</v>
      </c>
      <c r="G20" s="19">
        <f>产业碳足迹!G20</f>
        <v>38517.575721807058</v>
      </c>
      <c r="H20" s="19">
        <f>产业碳足迹!H20</f>
        <v>42936.139577155285</v>
      </c>
      <c r="I20" s="19">
        <f>产业碳足迹!I20</f>
        <v>53370.208385885206</v>
      </c>
      <c r="J20" s="19">
        <f>产业碳足迹!J20</f>
        <v>32502.070768425365</v>
      </c>
      <c r="K20" s="19">
        <f>产业碳足迹!K20</f>
        <v>56184.794359386309</v>
      </c>
      <c r="L20" s="19">
        <f>产业碳足迹!L20</f>
        <v>66618.863168116222</v>
      </c>
      <c r="M20" s="19">
        <f>产业碳足迹!M20</f>
        <v>45750.725550656389</v>
      </c>
      <c r="N20" s="19">
        <f>产业碳足迹!N20</f>
        <v>52270.279676590028</v>
      </c>
      <c r="O20" s="19">
        <f>产业碳足迹!O20</f>
        <v>62704.348485319948</v>
      </c>
      <c r="P20" s="19">
        <f>产业碳足迹!P20</f>
        <v>41836.210867860107</v>
      </c>
      <c r="Q20" s="19">
        <f>产业碳足迹!Q20</f>
        <v>43903.792265116739</v>
      </c>
      <c r="R20" s="19">
        <f>产业碳足迹!R20</f>
        <v>54337.86107384666</v>
      </c>
      <c r="S20" s="19">
        <f>产业碳足迹!S20</f>
        <v>33469.723456386819</v>
      </c>
      <c r="T20" s="19">
        <f>产业碳足迹!T20</f>
        <v>31501.153158226</v>
      </c>
      <c r="U20" s="19">
        <f>产业碳足迹!U20</f>
        <v>41935.22196695592</v>
      </c>
      <c r="V20" s="19">
        <f>产业碳足迹!V20</f>
        <v>21067.084349496079</v>
      </c>
    </row>
    <row r="21" spans="1:22" x14ac:dyDescent="0.3">
      <c r="A21">
        <v>2038</v>
      </c>
      <c r="B21" s="19">
        <f>产业碳足迹!B21</f>
        <v>80093.666282629027</v>
      </c>
      <c r="C21" s="19">
        <f>产业碳足迹!C21</f>
        <v>90974.189501545523</v>
      </c>
      <c r="D21" s="19">
        <f>产业碳足迹!D21</f>
        <v>69213.14306371253</v>
      </c>
      <c r="E21" s="19">
        <f>产业碳足迹!E21</f>
        <v>50953.68441118583</v>
      </c>
      <c r="F21" s="19">
        <f>产业碳足迹!F21</f>
        <v>61834.207630102319</v>
      </c>
      <c r="G21" s="19">
        <f>产业碳足迹!G21</f>
        <v>40073.161192269341</v>
      </c>
      <c r="H21" s="19">
        <f>产业碳足迹!H21</f>
        <v>44627.59963213763</v>
      </c>
      <c r="I21" s="19">
        <f>产业碳足迹!I21</f>
        <v>55508.122851054119</v>
      </c>
      <c r="J21" s="19">
        <f>产业碳足迹!J21</f>
        <v>33747.076413221141</v>
      </c>
      <c r="K21" s="19">
        <f>产业碳足迹!K21</f>
        <v>59205.913370263472</v>
      </c>
      <c r="L21" s="19">
        <f>产业碳足迹!L21</f>
        <v>70086.436589179968</v>
      </c>
      <c r="M21" s="19">
        <f>产业碳足迹!M21</f>
        <v>48325.390151346983</v>
      </c>
      <c r="N21" s="19">
        <f>产业碳足迹!N21</f>
        <v>54813.432109518173</v>
      </c>
      <c r="O21" s="19">
        <f>产业碳足迹!O21</f>
        <v>65693.955328434662</v>
      </c>
      <c r="P21" s="19">
        <f>产业碳足迹!P21</f>
        <v>43932.908890601684</v>
      </c>
      <c r="Q21" s="19">
        <f>产业碳足迹!Q21</f>
        <v>45441.466954433265</v>
      </c>
      <c r="R21" s="19">
        <f>产业碳足迹!R21</f>
        <v>56321.990173349754</v>
      </c>
      <c r="S21" s="19">
        <f>产业碳足迹!S21</f>
        <v>34560.943735516776</v>
      </c>
      <c r="T21" s="19">
        <f>产业碳足迹!T21</f>
        <v>31944.749301976673</v>
      </c>
      <c r="U21" s="19">
        <f>产业碳足迹!U21</f>
        <v>42825.272520893166</v>
      </c>
      <c r="V21" s="19">
        <f>产业碳足迹!V21</f>
        <v>21064.226083060181</v>
      </c>
    </row>
    <row r="22" spans="1:22" x14ac:dyDescent="0.3">
      <c r="A22">
        <v>2039</v>
      </c>
      <c r="B22" s="19">
        <f>产业碳足迹!B22</f>
        <v>85620.830565470445</v>
      </c>
      <c r="C22" s="19">
        <f>产业碳足迹!C22</f>
        <v>96947.808194573503</v>
      </c>
      <c r="D22" s="19">
        <f>产业碳足迹!D22</f>
        <v>74293.852936367388</v>
      </c>
      <c r="E22" s="19">
        <f>产业碳足迹!E22</f>
        <v>53013.122717849568</v>
      </c>
      <c r="F22" s="19">
        <f>产业碳足迹!F22</f>
        <v>64340.100346952626</v>
      </c>
      <c r="G22" s="19">
        <f>产业碳足迹!G22</f>
        <v>41686.145088746511</v>
      </c>
      <c r="H22" s="19">
        <f>产业碳足迹!H22</f>
        <v>46382.769181266078</v>
      </c>
      <c r="I22" s="19">
        <f>产业碳足迹!I22</f>
        <v>57709.746810369135</v>
      </c>
      <c r="J22" s="19">
        <f>产业碳足迹!J22</f>
        <v>35055.79155216302</v>
      </c>
      <c r="K22" s="19">
        <f>产业碳足迹!K22</f>
        <v>62373.750594451682</v>
      </c>
      <c r="L22" s="19">
        <f>产业碳足迹!L22</f>
        <v>73700.728223554746</v>
      </c>
      <c r="M22" s="19">
        <f>产业碳足迹!M22</f>
        <v>51046.772965348624</v>
      </c>
      <c r="N22" s="19">
        <f>产业碳足迹!N22</f>
        <v>57462.19014543861</v>
      </c>
      <c r="O22" s="19">
        <f>产业碳足迹!O22</f>
        <v>68789.167774541667</v>
      </c>
      <c r="P22" s="19">
        <f>产业碳足迹!P22</f>
        <v>46135.212516335552</v>
      </c>
      <c r="Q22" s="19">
        <f>产业碳足迹!Q22</f>
        <v>47003.374768682232</v>
      </c>
      <c r="R22" s="19">
        <f>产业碳足迹!R22</f>
        <v>58330.352397785289</v>
      </c>
      <c r="S22" s="19">
        <f>产业碳足迹!S22</f>
        <v>35676.397139579174</v>
      </c>
      <c r="T22" s="19">
        <f>产业碳足迹!T22</f>
        <v>32373.580413197629</v>
      </c>
      <c r="U22" s="19">
        <f>产业碳足迹!U22</f>
        <v>43700.55804230069</v>
      </c>
      <c r="V22" s="19">
        <f>产业碳足迹!V22</f>
        <v>21046.602784094568</v>
      </c>
    </row>
    <row r="23" spans="1:22" x14ac:dyDescent="0.3">
      <c r="A23">
        <v>2040</v>
      </c>
      <c r="B23" s="19">
        <f>产业碳足迹!B23</f>
        <v>91490.483870376673</v>
      </c>
      <c r="C23" s="19">
        <f>产业碳足迹!C23</f>
        <v>103263.91590966629</v>
      </c>
      <c r="D23" s="19">
        <f>产业碳足迹!D23</f>
        <v>79717.051831087054</v>
      </c>
      <c r="E23" s="19">
        <f>产业碳足迹!E23</f>
        <v>55130.839415241069</v>
      </c>
      <c r="F23" s="19">
        <f>产业碳足迹!F23</f>
        <v>66904.271454530695</v>
      </c>
      <c r="G23" s="19">
        <f>产业碳足迹!G23</f>
        <v>43357.40737595145</v>
      </c>
      <c r="H23" s="19">
        <f>产业碳足迹!H23</f>
        <v>48204.307320000655</v>
      </c>
      <c r="I23" s="19">
        <f>产业碳足迹!I23</f>
        <v>59977.739359290274</v>
      </c>
      <c r="J23" s="19">
        <f>产业碳足迹!J23</f>
        <v>36430.875280711036</v>
      </c>
      <c r="K23" s="19">
        <f>产业碳足迹!K23</f>
        <v>65695.377545737167</v>
      </c>
      <c r="L23" s="19">
        <f>产业碳足迹!L23</f>
        <v>77468.809585026785</v>
      </c>
      <c r="M23" s="19">
        <f>产业碳足迹!M23</f>
        <v>53921.945506447548</v>
      </c>
      <c r="N23" s="19">
        <f>产业碳足迹!N23</f>
        <v>60220.768014355999</v>
      </c>
      <c r="O23" s="19">
        <f>产业碳足迹!O23</f>
        <v>71994.200053645618</v>
      </c>
      <c r="P23" s="19">
        <f>产业碳足迹!P23</f>
        <v>48447.33597506638</v>
      </c>
      <c r="Q23" s="19">
        <f>产业碳足迹!Q23</f>
        <v>48586.739478907308</v>
      </c>
      <c r="R23" s="19">
        <f>产业碳足迹!R23</f>
        <v>60360.171518196927</v>
      </c>
      <c r="S23" s="19">
        <f>产业碳足迹!S23</f>
        <v>36813.307439617689</v>
      </c>
      <c r="T23" s="19">
        <f>产业碳足迹!T23</f>
        <v>32786.132971129475</v>
      </c>
      <c r="U23" s="19">
        <f>产业碳足迹!U23</f>
        <v>44559.565010419094</v>
      </c>
      <c r="V23" s="19">
        <f>产业碳足迹!V23</f>
        <v>21012.700931839856</v>
      </c>
    </row>
    <row r="24" spans="1:22" x14ac:dyDescent="0.3">
      <c r="A24">
        <v>2041</v>
      </c>
      <c r="B24" s="19">
        <f>产业碳足迹!B24</f>
        <v>97722.633171274603</v>
      </c>
      <c r="C24" s="19">
        <f>产业碳足迹!C24</f>
        <v>109882.19195969643</v>
      </c>
      <c r="D24" s="19">
        <f>产业碳足迹!D24</f>
        <v>85563.074382852777</v>
      </c>
      <c r="E24" s="19">
        <f>产业碳足迹!E24</f>
        <v>56888.631023506983</v>
      </c>
      <c r="F24" s="19">
        <f>产业碳足迹!F24</f>
        <v>69048.189811928809</v>
      </c>
      <c r="G24" s="19">
        <f>产业碳足迹!G24</f>
        <v>44729.072235085165</v>
      </c>
      <c r="H24" s="19">
        <f>产业碳足迹!H24</f>
        <v>50094.975735982436</v>
      </c>
      <c r="I24" s="19">
        <f>产业碳足迹!I24</f>
        <v>62254.534524404255</v>
      </c>
      <c r="J24" s="19">
        <f>产业碳足迹!J24</f>
        <v>37935.416947560618</v>
      </c>
      <c r="K24" s="19">
        <f>产业碳足迹!K24</f>
        <v>69178.199328824994</v>
      </c>
      <c r="L24" s="19">
        <f>产业碳足迹!L24</f>
        <v>81337.75811724682</v>
      </c>
      <c r="M24" s="19">
        <f>产业碳足迹!M24</f>
        <v>57018.640540403176</v>
      </c>
      <c r="N24" s="19">
        <f>产业碳足迹!N24</f>
        <v>63093.534799243607</v>
      </c>
      <c r="O24" s="19">
        <f>产业碳足迹!O24</f>
        <v>75253.093587665426</v>
      </c>
      <c r="P24" s="19">
        <f>产业碳足迹!P24</f>
        <v>50933.976010821789</v>
      </c>
      <c r="Q24" s="19">
        <f>产业碳足迹!Q24</f>
        <v>49670.336806661857</v>
      </c>
      <c r="R24" s="19">
        <f>产业碳足迹!R24</f>
        <v>61829.895595083675</v>
      </c>
      <c r="S24" s="19">
        <f>产业碳足迹!S24</f>
        <v>37510.778018240038</v>
      </c>
      <c r="T24" s="19">
        <f>产业碳足迹!T24</f>
        <v>32885.685271466573</v>
      </c>
      <c r="U24" s="19">
        <f>产业碳足迹!U24</f>
        <v>45045.244059888391</v>
      </c>
      <c r="V24" s="19">
        <f>产业碳足迹!V24</f>
        <v>20726.126483044754</v>
      </c>
    </row>
    <row r="25" spans="1:22" x14ac:dyDescent="0.3">
      <c r="A25">
        <v>2042</v>
      </c>
      <c r="B25" s="19">
        <f>产业碳足迹!B25</f>
        <v>104338.41233054426</v>
      </c>
      <c r="C25" s="19">
        <f>产业碳足迹!C25</f>
        <v>116884.09786809828</v>
      </c>
      <c r="D25" s="19">
        <f>产业碳足迹!D25</f>
        <v>91792.726792990245</v>
      </c>
      <c r="E25" s="19">
        <f>产业碳足迹!E25</f>
        <v>58661.15539346599</v>
      </c>
      <c r="F25" s="19">
        <f>产业碳足迹!F25</f>
        <v>71206.840931020008</v>
      </c>
      <c r="G25" s="19">
        <f>产业碳足迹!G25</f>
        <v>46115.469855911972</v>
      </c>
      <c r="H25" s="19">
        <f>产业碳足迹!H25</f>
        <v>52057.643026965656</v>
      </c>
      <c r="I25" s="19">
        <f>产业碳足迹!I25</f>
        <v>64603.328564519674</v>
      </c>
      <c r="J25" s="19">
        <f>产业碳足迹!J25</f>
        <v>39511.957489411638</v>
      </c>
      <c r="K25" s="19">
        <f>产业碳足迹!K25</f>
        <v>72829.969931747706</v>
      </c>
      <c r="L25" s="19">
        <f>产业碳足迹!L25</f>
        <v>85375.655469301724</v>
      </c>
      <c r="M25" s="19">
        <f>产业碳足迹!M25</f>
        <v>60284.284394193688</v>
      </c>
      <c r="N25" s="19">
        <f>产业碳足迹!N25</f>
        <v>66085.019270837598</v>
      </c>
      <c r="O25" s="19">
        <f>产业碳足迹!O25</f>
        <v>78630.704808391616</v>
      </c>
      <c r="P25" s="19">
        <f>产业碳足迹!P25</f>
        <v>53539.33373328358</v>
      </c>
      <c r="Q25" s="19">
        <f>产业碳足迹!Q25</f>
        <v>50699.499804580417</v>
      </c>
      <c r="R25" s="19">
        <f>产业碳足迹!R25</f>
        <v>63245.185342134435</v>
      </c>
      <c r="S25" s="19">
        <f>产业碳足迹!S25</f>
        <v>38153.814267026399</v>
      </c>
      <c r="T25" s="19">
        <f>产业碳足迹!T25</f>
        <v>32942.427209236303</v>
      </c>
      <c r="U25" s="19">
        <f>产业碳足迹!U25</f>
        <v>45488.112746790321</v>
      </c>
      <c r="V25" s="19">
        <f>产业碳足迹!V25</f>
        <v>20396.741671682285</v>
      </c>
    </row>
    <row r="26" spans="1:22" x14ac:dyDescent="0.3">
      <c r="A26">
        <v>2043</v>
      </c>
      <c r="B26" s="19">
        <f>产业碳足迹!B26</f>
        <v>111360.14322798479</v>
      </c>
      <c r="C26" s="19">
        <f>产业碳足迹!C26</f>
        <v>124291.95551467102</v>
      </c>
      <c r="D26" s="19">
        <f>产业碳足迹!D26</f>
        <v>98428.330941298569</v>
      </c>
      <c r="E26" s="19">
        <f>产业碳足迹!E26</f>
        <v>60445.782322072504</v>
      </c>
      <c r="F26" s="19">
        <f>产业碳足迹!F26</f>
        <v>73377.594608758722</v>
      </c>
      <c r="G26" s="19">
        <f>产业碳足迹!G26</f>
        <v>47513.970035386286</v>
      </c>
      <c r="H26" s="19">
        <f>产业碳足迹!H26</f>
        <v>54095.289151955454</v>
      </c>
      <c r="I26" s="19">
        <f>产业碳足迹!I26</f>
        <v>67027.101438641679</v>
      </c>
      <c r="J26" s="19">
        <f>产业碳足迹!J26</f>
        <v>41163.476865269236</v>
      </c>
      <c r="K26" s="19">
        <f>产业碳足迹!K26</f>
        <v>76658.808175343045</v>
      </c>
      <c r="L26" s="19">
        <f>产业碳足迹!L26</f>
        <v>89590.62046202927</v>
      </c>
      <c r="M26" s="19">
        <f>产业碳足迹!M26</f>
        <v>63726.995888656827</v>
      </c>
      <c r="N26" s="19">
        <f>产业碳足迹!N26</f>
        <v>69199.914811593873</v>
      </c>
      <c r="O26" s="19">
        <f>产业碳足迹!O26</f>
        <v>82131.727098280098</v>
      </c>
      <c r="P26" s="19">
        <f>产业碳足迹!P26</f>
        <v>56268.102524907656</v>
      </c>
      <c r="Q26" s="19">
        <f>产业碳足迹!Q26</f>
        <v>51663.498637993274</v>
      </c>
      <c r="R26" s="19">
        <f>产业碳足迹!R26</f>
        <v>64595.310924679492</v>
      </c>
      <c r="S26" s="19">
        <f>产业碳足迹!S26</f>
        <v>38731.686351307057</v>
      </c>
      <c r="T26" s="19">
        <f>产业碳足迹!T26</f>
        <v>32953.149083792319</v>
      </c>
      <c r="U26" s="19">
        <f>产业碳足迹!U26</f>
        <v>45884.961370478537</v>
      </c>
      <c r="V26" s="19">
        <f>产业碳足迹!V26</f>
        <v>20021.336797106102</v>
      </c>
    </row>
    <row r="27" spans="1:22" x14ac:dyDescent="0.3">
      <c r="A27">
        <v>2044</v>
      </c>
      <c r="B27" s="19">
        <f>产业碳足迹!B27</f>
        <v>118811.40004781605</v>
      </c>
      <c r="C27" s="19">
        <f>产业碳足迹!C27</f>
        <v>132129.33908363446</v>
      </c>
      <c r="D27" s="19">
        <f>产业碳足迹!D27</f>
        <v>105493.46101199763</v>
      </c>
      <c r="E27" s="19">
        <f>产业碳足迹!E27</f>
        <v>62239.590297048984</v>
      </c>
      <c r="F27" s="19">
        <f>产业碳足迹!F27</f>
        <v>75557.529332867402</v>
      </c>
      <c r="G27" s="19">
        <f>产业碳足迹!G27</f>
        <v>48921.651261230567</v>
      </c>
      <c r="H27" s="19">
        <f>产业碳足迹!H27</f>
        <v>56211.010021012487</v>
      </c>
      <c r="I27" s="19">
        <f>产业碳足迹!I27</f>
        <v>69528.949056830912</v>
      </c>
      <c r="J27" s="19">
        <f>产业碳足迹!J27</f>
        <v>42893.07098519407</v>
      </c>
      <c r="K27" s="19">
        <f>产业碳足迹!K27</f>
        <v>80673.214344431035</v>
      </c>
      <c r="L27" s="19">
        <f>产业碳足迹!L27</f>
        <v>93991.153380249452</v>
      </c>
      <c r="M27" s="19">
        <f>产业碳足迹!M27</f>
        <v>67355.275308612618</v>
      </c>
      <c r="N27" s="19">
        <f>产业碳足迹!N27</f>
        <v>72443.084425040593</v>
      </c>
      <c r="O27" s="19">
        <f>产业碳足迹!O27</f>
        <v>85761.023460859011</v>
      </c>
      <c r="P27" s="19">
        <f>产业碳足迹!P27</f>
        <v>59125.145389222176</v>
      </c>
      <c r="Q27" s="19">
        <f>产业碳足迹!Q27</f>
        <v>52550.532786373493</v>
      </c>
      <c r="R27" s="19">
        <f>产业碳足迹!R27</f>
        <v>65868.471822191917</v>
      </c>
      <c r="S27" s="19">
        <f>产业碳足迹!S27</f>
        <v>39232.593750555076</v>
      </c>
      <c r="T27" s="19">
        <f>产业碳足迹!T27</f>
        <v>32914.432258702887</v>
      </c>
      <c r="U27" s="19">
        <f>产业碳足迹!U27</f>
        <v>46232.371294521305</v>
      </c>
      <c r="V27" s="19">
        <f>产业碳足迹!V27</f>
        <v>19596.49322288447</v>
      </c>
    </row>
    <row r="28" spans="1:22" x14ac:dyDescent="0.3">
      <c r="A28">
        <v>2045</v>
      </c>
      <c r="B28" s="19">
        <f>产业碳足迹!B28</f>
        <v>126717.07687405639</v>
      </c>
      <c r="C28" s="19">
        <f>产业碳足迹!C28</f>
        <v>140421.14265900699</v>
      </c>
      <c r="D28" s="19">
        <f>产业碳足迹!D28</f>
        <v>113013.01108910578</v>
      </c>
      <c r="E28" s="19">
        <f>产业碳足迹!E28</f>
        <v>64039.344775466503</v>
      </c>
      <c r="F28" s="19">
        <f>产业碳足迹!F28</f>
        <v>77743.410560417105</v>
      </c>
      <c r="G28" s="19">
        <f>产业碳足迹!G28</f>
        <v>50335.278990515893</v>
      </c>
      <c r="H28" s="19">
        <f>产业碳足迹!H28</f>
        <v>58408.022229053306</v>
      </c>
      <c r="I28" s="19">
        <f>产业碳足迹!I28</f>
        <v>72112.088014003908</v>
      </c>
      <c r="J28" s="19">
        <f>产业碳足迹!J28</f>
        <v>44703.956444102696</v>
      </c>
      <c r="K28" s="19">
        <f>产业碳足迹!K28</f>
        <v>84882.087525926021</v>
      </c>
      <c r="L28" s="19">
        <f>产业碳足迹!L28</f>
        <v>98586.153310876631</v>
      </c>
      <c r="M28" s="19">
        <f>产业碳足迹!M28</f>
        <v>71178.021740975411</v>
      </c>
      <c r="N28" s="19">
        <f>产业碳足迹!N28</f>
        <v>75819.56582618237</v>
      </c>
      <c r="O28" s="19">
        <f>产业碳足迹!O28</f>
        <v>89523.63161113298</v>
      </c>
      <c r="P28" s="19">
        <f>产业碳足迹!P28</f>
        <v>62115.50004123176</v>
      </c>
      <c r="Q28" s="19">
        <f>产业碳足迹!Q28</f>
        <v>53347.646651120165</v>
      </c>
      <c r="R28" s="19">
        <f>产业碳足迹!R28</f>
        <v>67051.712436070782</v>
      </c>
      <c r="S28" s="19">
        <f>产业碳足迹!S28</f>
        <v>39643.580866169556</v>
      </c>
      <c r="T28" s="19">
        <f>产业碳足迹!T28</f>
        <v>32822.63841680812</v>
      </c>
      <c r="U28" s="19">
        <f>产业碳足迹!U28</f>
        <v>46526.70420175873</v>
      </c>
      <c r="V28" s="19">
        <f>产业碳足迹!V28</f>
        <v>19118.572631857511</v>
      </c>
    </row>
    <row r="29" spans="1:22" x14ac:dyDescent="0.3">
      <c r="A29">
        <v>2046</v>
      </c>
      <c r="B29" s="19">
        <f>产业碳足迹!B29</f>
        <v>135103.45875033966</v>
      </c>
      <c r="C29" s="19">
        <f>产业碳足迹!C29</f>
        <v>149097.08164533402</v>
      </c>
      <c r="D29" s="19">
        <f>产业碳足迹!D29</f>
        <v>121109.83585534529</v>
      </c>
      <c r="E29" s="19">
        <f>产业碳足迹!E29</f>
        <v>65841.475090869018</v>
      </c>
      <c r="F29" s="19">
        <f>产业碳足迹!F29</f>
        <v>79835.097985863395</v>
      </c>
      <c r="G29" s="19">
        <f>产业碳足迹!G29</f>
        <v>51847.85219587465</v>
      </c>
      <c r="H29" s="19">
        <f>产业碳足迹!H29</f>
        <v>60689.667938695718</v>
      </c>
      <c r="I29" s="19">
        <f>产业碳足迹!I29</f>
        <v>74683.290833690087</v>
      </c>
      <c r="J29" s="19">
        <f>产业碳足迹!J29</f>
        <v>46696.04504370135</v>
      </c>
      <c r="K29" s="19">
        <f>产业碳足迹!K29</f>
        <v>89294.743679486943</v>
      </c>
      <c r="L29" s="19">
        <f>产业碳足迹!L29</f>
        <v>103288.36657448132</v>
      </c>
      <c r="M29" s="19">
        <f>产业碳足迹!M29</f>
        <v>75301.120784492567</v>
      </c>
      <c r="N29" s="19">
        <f>产业碳足迹!N29</f>
        <v>79334.576607787836</v>
      </c>
      <c r="O29" s="19">
        <f>产业碳足迹!O29</f>
        <v>93328.199502782212</v>
      </c>
      <c r="P29" s="19">
        <f>产业碳足迹!P29</f>
        <v>65340.953712793467</v>
      </c>
      <c r="Q29" s="19">
        <f>产业碳足迹!Q29</f>
        <v>54040.639217219214</v>
      </c>
      <c r="R29" s="19">
        <f>产业碳足迹!R29</f>
        <v>68034.26211221359</v>
      </c>
      <c r="S29" s="19">
        <f>产业碳足迹!S29</f>
        <v>40047.016322224845</v>
      </c>
      <c r="T29" s="19">
        <f>产业碳足迹!T29</f>
        <v>32673.898236266112</v>
      </c>
      <c r="U29" s="19">
        <f>产业碳足迹!U29</f>
        <v>46667.521131260481</v>
      </c>
      <c r="V29" s="19">
        <f>产业碳足迹!V29</f>
        <v>18680.275341271743</v>
      </c>
    </row>
    <row r="30" spans="1:22" x14ac:dyDescent="0.3">
      <c r="A30">
        <v>2047</v>
      </c>
      <c r="B30" s="19">
        <f>产业碳足迹!B30</f>
        <v>143998.29636663906</v>
      </c>
      <c r="C30" s="19">
        <f>产业碳足迹!C30</f>
        <v>158281.47637167718</v>
      </c>
      <c r="D30" s="19">
        <f>产业碳足迹!D30</f>
        <v>129715.11636160093</v>
      </c>
      <c r="E30" s="19">
        <f>产业碳足迹!E30</f>
        <v>67642.049912617033</v>
      </c>
      <c r="F30" s="19">
        <f>产业碳足迹!F30</f>
        <v>81925.229917655146</v>
      </c>
      <c r="G30" s="19">
        <f>产业碳足迹!G30</f>
        <v>53358.869907578912</v>
      </c>
      <c r="H30" s="19">
        <f>产业碳足迹!H30</f>
        <v>63059.419917189589</v>
      </c>
      <c r="I30" s="19">
        <f>产业碳足迹!I30</f>
        <v>77342.599922227702</v>
      </c>
      <c r="J30" s="19">
        <f>产业碳足迹!J30</f>
        <v>48776.239912151468</v>
      </c>
      <c r="K30" s="19">
        <f>产业碳足迹!K30</f>
        <v>93920.934467032479</v>
      </c>
      <c r="L30" s="19">
        <f>产业碳足迹!L30</f>
        <v>108204.11447207059</v>
      </c>
      <c r="M30" s="19">
        <f>产业碳足迹!M30</f>
        <v>79637.754461994366</v>
      </c>
      <c r="N30" s="19">
        <f>产业碳足迹!N30</f>
        <v>82993.519476861649</v>
      </c>
      <c r="O30" s="19">
        <f>产业碳足迹!O30</f>
        <v>97276.699481899763</v>
      </c>
      <c r="P30" s="19">
        <f>产业碳足迹!P30</f>
        <v>68710.339471823536</v>
      </c>
      <c r="Q30" s="19">
        <f>产业碳足迹!Q30</f>
        <v>54613.967398504661</v>
      </c>
      <c r="R30" s="19">
        <f>产业碳足迹!R30</f>
        <v>68897.147403542782</v>
      </c>
      <c r="S30" s="19">
        <f>产业碳足迹!S30</f>
        <v>40330.78739346654</v>
      </c>
      <c r="T30" s="19">
        <f>产业碳足迹!T30</f>
        <v>32464.099466343687</v>
      </c>
      <c r="U30" s="19">
        <f>产业碳足迹!U30</f>
        <v>46747.279471381808</v>
      </c>
      <c r="V30" s="19">
        <f>产业碳足迹!V30</f>
        <v>18180.919461305566</v>
      </c>
    </row>
    <row r="31" spans="1:22" x14ac:dyDescent="0.3">
      <c r="A31">
        <v>2048</v>
      </c>
      <c r="B31" s="19">
        <f>产业碳足迹!B31</f>
        <v>153430.88454107556</v>
      </c>
      <c r="C31" s="19">
        <f>产业碳足迹!C31</f>
        <v>168003.62165615743</v>
      </c>
      <c r="D31" s="19">
        <f>产业碳足迹!D31</f>
        <v>138858.14742599369</v>
      </c>
      <c r="E31" s="19">
        <f>产业碳足迹!E31</f>
        <v>69436.751177288475</v>
      </c>
      <c r="F31" s="19">
        <f>产业碳足迹!F31</f>
        <v>84009.488292370355</v>
      </c>
      <c r="G31" s="19">
        <f>产业碳足迹!G31</f>
        <v>54864.014062206596</v>
      </c>
      <c r="H31" s="19">
        <f>产业碳足迹!H31</f>
        <v>65520.886732084691</v>
      </c>
      <c r="I31" s="19">
        <f>产业碳足迹!I31</f>
        <v>80093.623847166571</v>
      </c>
      <c r="J31" s="19">
        <f>产业碳足迹!J31</f>
        <v>50948.149617002811</v>
      </c>
      <c r="K31" s="19">
        <f>产业碳足迹!K31</f>
        <v>98770.866867598044</v>
      </c>
      <c r="L31" s="19">
        <f>产业碳足迹!L31</f>
        <v>113343.60398267992</v>
      </c>
      <c r="M31" s="19">
        <f>产业碳足迹!M31</f>
        <v>84198.129752516164</v>
      </c>
      <c r="N31" s="19">
        <f>产业碳足迹!N31</f>
        <v>86801.987554525593</v>
      </c>
      <c r="O31" s="19">
        <f>产业碳足迹!O31</f>
        <v>101374.72466960747</v>
      </c>
      <c r="P31" s="19">
        <f>产业碳足迹!P31</f>
        <v>72229.250439443713</v>
      </c>
      <c r="Q31" s="19">
        <f>产业碳足迹!Q31</f>
        <v>55050.642675101619</v>
      </c>
      <c r="R31" s="19">
        <f>产业碳足迹!R31</f>
        <v>69623.379790183506</v>
      </c>
      <c r="S31" s="19">
        <f>产业碳足迹!S31</f>
        <v>40477.905560019739</v>
      </c>
      <c r="T31" s="19">
        <f>产业碳足迹!T31</f>
        <v>32188.874380556972</v>
      </c>
      <c r="U31" s="19">
        <f>产业碳足迹!U31</f>
        <v>46761.611495638848</v>
      </c>
      <c r="V31" s="19">
        <f>产业碳足迹!V31</f>
        <v>17616.137265475092</v>
      </c>
    </row>
    <row r="32" spans="1:22" x14ac:dyDescent="0.3">
      <c r="A32">
        <v>2049</v>
      </c>
      <c r="B32" s="19">
        <f>产业碳足迹!B32</f>
        <v>163432.14467142129</v>
      </c>
      <c r="C32" s="19">
        <f>产业碳足迹!C32</f>
        <v>178294.43889654693</v>
      </c>
      <c r="D32" s="19">
        <f>产业碳足迹!D32</f>
        <v>148569.85044629566</v>
      </c>
      <c r="E32" s="19">
        <f>产业碳足迹!E32</f>
        <v>71220.846408374156</v>
      </c>
      <c r="F32" s="19">
        <f>产业碳足迹!F32</f>
        <v>86083.140633499788</v>
      </c>
      <c r="G32" s="19">
        <f>产业碳足迹!G32</f>
        <v>56358.552183248525</v>
      </c>
      <c r="H32" s="19">
        <f>产业碳足迹!H32</f>
        <v>68077.818110199747</v>
      </c>
      <c r="I32" s="19">
        <f>产业碳足迹!I32</f>
        <v>82940.112335325379</v>
      </c>
      <c r="J32" s="19">
        <f>产业碳足迹!J32</f>
        <v>53215.523885074115</v>
      </c>
      <c r="K32" s="19">
        <f>产业碳足迹!K32</f>
        <v>103855.22360455568</v>
      </c>
      <c r="L32" s="19">
        <f>产业碳足迹!L32</f>
        <v>118717.51782968131</v>
      </c>
      <c r="M32" s="19">
        <f>产业碳足迹!M32</f>
        <v>88992.929379430047</v>
      </c>
      <c r="N32" s="19">
        <f>产业碳足迹!N32</f>
        <v>90765.769731791748</v>
      </c>
      <c r="O32" s="19">
        <f>产业碳足迹!O32</f>
        <v>105628.06395691738</v>
      </c>
      <c r="P32" s="19">
        <f>产业碳足迹!P32</f>
        <v>75903.475506666116</v>
      </c>
      <c r="Q32" s="19">
        <f>产业碳足迹!Q32</f>
        <v>55332.120609903104</v>
      </c>
      <c r="R32" s="19">
        <f>产业碳足迹!R32</f>
        <v>70194.414835028729</v>
      </c>
      <c r="S32" s="19">
        <f>产业碳足迹!S32</f>
        <v>40469.826384777472</v>
      </c>
      <c r="T32" s="19">
        <f>产业碳足迹!T32</f>
        <v>31843.586583843186</v>
      </c>
      <c r="U32" s="19">
        <f>产业碳足迹!U32</f>
        <v>46705.880808968817</v>
      </c>
      <c r="V32" s="19">
        <f>产业碳足迹!V32</f>
        <v>16981.292358717554</v>
      </c>
    </row>
    <row r="33" spans="1:22" x14ac:dyDescent="0.3">
      <c r="A33">
        <v>2050</v>
      </c>
      <c r="B33" s="19">
        <f>产业碳足迹!B33</f>
        <v>174034.71133724783</v>
      </c>
      <c r="C33" s="19">
        <f>产业碳足迹!C33</f>
        <v>189186.5626724172</v>
      </c>
      <c r="D33" s="19">
        <f>产业碳足迹!D33</f>
        <v>158882.86000207847</v>
      </c>
      <c r="E33" s="19">
        <f>产业碳足迹!E33</f>
        <v>72989.159336695666</v>
      </c>
      <c r="F33" s="19">
        <f>产业碳足迹!F33</f>
        <v>88141.01067186505</v>
      </c>
      <c r="G33" s="19">
        <f>产业碳足迹!G33</f>
        <v>57837.308001526282</v>
      </c>
      <c r="H33" s="19">
        <f>产业碳足迹!H33</f>
        <v>70734.110464270256</v>
      </c>
      <c r="I33" s="19">
        <f>产业碳足迹!I33</f>
        <v>85885.961799439639</v>
      </c>
      <c r="J33" s="19">
        <f>产业碳足迹!J33</f>
        <v>55582.259129100872</v>
      </c>
      <c r="K33" s="19">
        <f>产业碳足迹!K33</f>
        <v>109185.18441259669</v>
      </c>
      <c r="L33" s="19">
        <f>产业碳足迹!L33</f>
        <v>124337.03574776607</v>
      </c>
      <c r="M33" s="19">
        <f>产业碳足迹!M33</f>
        <v>94033.333077427305</v>
      </c>
      <c r="N33" s="19">
        <f>产业碳足迹!N33</f>
        <v>94890.856072791124</v>
      </c>
      <c r="O33" s="19">
        <f>产业碳足迹!O33</f>
        <v>110042.70740796051</v>
      </c>
      <c r="P33" s="19">
        <f>产业碳足迹!P33</f>
        <v>79739.004737621741</v>
      </c>
      <c r="Q33" s="19">
        <f>产业碳足迹!Q33</f>
        <v>55438.182808208039</v>
      </c>
      <c r="R33" s="19">
        <f>产业碳足迹!R33</f>
        <v>70590.034143377416</v>
      </c>
      <c r="S33" s="19">
        <f>产业碳足迹!S33</f>
        <v>40286.331473038663</v>
      </c>
      <c r="T33" s="19">
        <f>产业碳足迹!T33</f>
        <v>31423.317149498209</v>
      </c>
      <c r="U33" s="19">
        <f>产业碳足迹!U33</f>
        <v>46575.168484667593</v>
      </c>
      <c r="V33" s="19">
        <f>产业碳足迹!V33</f>
        <v>16271.465814328829</v>
      </c>
    </row>
    <row r="45" spans="1:22" x14ac:dyDescent="0.3">
      <c r="A45" t="s">
        <v>90</v>
      </c>
      <c r="B45" s="18" t="s">
        <v>1</v>
      </c>
      <c r="C45" s="14" t="s">
        <v>2</v>
      </c>
      <c r="D45" s="20" t="s">
        <v>3</v>
      </c>
      <c r="E45" s="33" t="s">
        <v>91</v>
      </c>
    </row>
    <row r="46" spans="1:22" x14ac:dyDescent="0.3">
      <c r="A46">
        <v>2020</v>
      </c>
      <c r="B46" s="19">
        <f>B3</f>
        <v>21935.487763876492</v>
      </c>
      <c r="C46" s="19">
        <f t="shared" ref="C46:D46" si="0">C3</f>
        <v>26231.231613765143</v>
      </c>
      <c r="D46" s="19">
        <f t="shared" si="0"/>
        <v>17639.743913987841</v>
      </c>
      <c r="E46" t="s">
        <v>40</v>
      </c>
    </row>
    <row r="47" spans="1:22" x14ac:dyDescent="0.3">
      <c r="A47">
        <v>2021</v>
      </c>
      <c r="B47" s="19">
        <f t="shared" ref="B47:D76" si="1">B4</f>
        <v>27815.047372760182</v>
      </c>
      <c r="C47" s="19">
        <f t="shared" si="1"/>
        <v>32390.67991092537</v>
      </c>
      <c r="D47" s="19">
        <f t="shared" si="1"/>
        <v>23239.414834594994</v>
      </c>
      <c r="E47" t="s">
        <v>40</v>
      </c>
    </row>
    <row r="48" spans="1:22" x14ac:dyDescent="0.3">
      <c r="A48">
        <v>2022</v>
      </c>
      <c r="B48" s="19">
        <f t="shared" si="1"/>
        <v>25897.999686042749</v>
      </c>
      <c r="C48" s="19">
        <f t="shared" si="1"/>
        <v>30753.52091248447</v>
      </c>
      <c r="D48" s="19">
        <f t="shared" si="1"/>
        <v>21042.478459601029</v>
      </c>
      <c r="E48" t="s">
        <v>40</v>
      </c>
    </row>
    <row r="49" spans="1:5" x14ac:dyDescent="0.3">
      <c r="A49">
        <v>2023</v>
      </c>
      <c r="B49" s="19">
        <f t="shared" si="1"/>
        <v>27524.336500908026</v>
      </c>
      <c r="C49" s="19">
        <f t="shared" si="1"/>
        <v>32659.746415626276</v>
      </c>
      <c r="D49" s="19">
        <f t="shared" si="1"/>
        <v>22388.926586189777</v>
      </c>
      <c r="E49" t="s">
        <v>40</v>
      </c>
    </row>
    <row r="50" spans="1:5" x14ac:dyDescent="0.3">
      <c r="A50">
        <v>2024</v>
      </c>
      <c r="B50" s="19">
        <f t="shared" si="1"/>
        <v>29704.227573024236</v>
      </c>
      <c r="C50" s="19">
        <f t="shared" si="1"/>
        <v>35119.526176019019</v>
      </c>
      <c r="D50" s="19">
        <f t="shared" si="1"/>
        <v>24288.92897002945</v>
      </c>
      <c r="E50" t="s">
        <v>40</v>
      </c>
    </row>
    <row r="51" spans="1:5" x14ac:dyDescent="0.3">
      <c r="A51">
        <v>2025</v>
      </c>
      <c r="B51" s="19">
        <f t="shared" si="1"/>
        <v>32028.292866707074</v>
      </c>
      <c r="C51" s="19">
        <f t="shared" si="1"/>
        <v>37723.480157978389</v>
      </c>
      <c r="D51" s="19">
        <f t="shared" si="1"/>
        <v>26333.105575435755</v>
      </c>
      <c r="E51" t="s">
        <v>40</v>
      </c>
    </row>
    <row r="52" spans="1:5" x14ac:dyDescent="0.3">
      <c r="A52">
        <v>2026</v>
      </c>
      <c r="B52" s="19">
        <f t="shared" si="1"/>
        <v>34505.220031992627</v>
      </c>
      <c r="C52" s="19">
        <f t="shared" si="1"/>
        <v>40571.045960868942</v>
      </c>
      <c r="D52" s="19">
        <f t="shared" si="1"/>
        <v>28439.394103116312</v>
      </c>
      <c r="E52" t="s">
        <v>40</v>
      </c>
    </row>
    <row r="53" spans="1:5" x14ac:dyDescent="0.3">
      <c r="A53">
        <v>2027</v>
      </c>
      <c r="B53" s="19">
        <f t="shared" si="1"/>
        <v>37144.200044575489</v>
      </c>
      <c r="C53" s="19">
        <f t="shared" si="1"/>
        <v>43580.664611056804</v>
      </c>
      <c r="D53" s="19">
        <f t="shared" si="1"/>
        <v>30707.735478094175</v>
      </c>
      <c r="E53" t="s">
        <v>40</v>
      </c>
    </row>
    <row r="54" spans="1:5" x14ac:dyDescent="0.3">
      <c r="A54">
        <v>2028</v>
      </c>
      <c r="B54" s="19">
        <f t="shared" si="1"/>
        <v>39954.955379857434</v>
      </c>
      <c r="C54" s="19">
        <f t="shared" si="1"/>
        <v>46762.058583943748</v>
      </c>
      <c r="D54" s="19">
        <f t="shared" si="1"/>
        <v>33147.852175771121</v>
      </c>
      <c r="E54" t="s">
        <v>40</v>
      </c>
    </row>
    <row r="55" spans="1:5" x14ac:dyDescent="0.3">
      <c r="A55">
        <v>2029</v>
      </c>
      <c r="B55" s="19">
        <f t="shared" si="1"/>
        <v>42947.769708325242</v>
      </c>
      <c r="C55" s="19">
        <f t="shared" si="1"/>
        <v>50125.511550016556</v>
      </c>
      <c r="D55" s="19">
        <f t="shared" si="1"/>
        <v>35770.027866633929</v>
      </c>
      <c r="E55" t="s">
        <v>40</v>
      </c>
    </row>
    <row r="56" spans="1:5" x14ac:dyDescent="0.3">
      <c r="A56">
        <v>2030</v>
      </c>
      <c r="B56" s="19">
        <f t="shared" si="1"/>
        <v>46133.519190585015</v>
      </c>
      <c r="C56" s="19">
        <f t="shared" si="1"/>
        <v>53681.899669881321</v>
      </c>
      <c r="D56" s="19">
        <f t="shared" si="1"/>
        <v>38585.13871128871</v>
      </c>
      <c r="E56" t="s">
        <v>40</v>
      </c>
    </row>
    <row r="57" spans="1:5" x14ac:dyDescent="0.3">
      <c r="A57">
        <v>2031</v>
      </c>
      <c r="B57" s="19">
        <f t="shared" si="1"/>
        <v>49523.70545446183</v>
      </c>
      <c r="C57" s="19">
        <f t="shared" si="1"/>
        <v>57470.641835570234</v>
      </c>
      <c r="D57" s="19">
        <f t="shared" si="1"/>
        <v>41576.769073353425</v>
      </c>
      <c r="E57" t="s">
        <v>40</v>
      </c>
    </row>
    <row r="58" spans="1:5" x14ac:dyDescent="0.3">
      <c r="A58">
        <v>2032</v>
      </c>
      <c r="B58" s="19">
        <f t="shared" si="1"/>
        <v>53130.490339739488</v>
      </c>
      <c r="C58" s="19">
        <f t="shared" si="1"/>
        <v>61475.982622659983</v>
      </c>
      <c r="D58" s="19">
        <f t="shared" si="1"/>
        <v>44784.998056818993</v>
      </c>
      <c r="E58" t="s">
        <v>40</v>
      </c>
    </row>
    <row r="59" spans="1:5" x14ac:dyDescent="0.3">
      <c r="A59">
        <v>2033</v>
      </c>
      <c r="B59" s="19">
        <f t="shared" si="1"/>
        <v>56966.732500898557</v>
      </c>
      <c r="C59" s="19">
        <f t="shared" si="1"/>
        <v>65710.780685631151</v>
      </c>
      <c r="D59" s="19">
        <f t="shared" si="1"/>
        <v>48222.684316165964</v>
      </c>
      <c r="E59" t="s">
        <v>40</v>
      </c>
    </row>
    <row r="60" spans="1:5" x14ac:dyDescent="0.3">
      <c r="A60">
        <v>2034</v>
      </c>
      <c r="B60" s="19">
        <f t="shared" si="1"/>
        <v>61046.025961881242</v>
      </c>
      <c r="C60" s="19">
        <f t="shared" si="1"/>
        <v>70188.630048425926</v>
      </c>
      <c r="D60" s="19">
        <f t="shared" si="1"/>
        <v>51903.421875336549</v>
      </c>
      <c r="E60" t="s">
        <v>40</v>
      </c>
    </row>
    <row r="61" spans="1:5" x14ac:dyDescent="0.3">
      <c r="A61">
        <v>2035</v>
      </c>
      <c r="B61" s="19">
        <f t="shared" si="1"/>
        <v>65382.740721471258</v>
      </c>
      <c r="C61" s="19">
        <f t="shared" si="1"/>
        <v>74923.900709828042</v>
      </c>
      <c r="D61" s="19">
        <f t="shared" si="1"/>
        <v>55841.580733114475</v>
      </c>
      <c r="E61" t="s">
        <v>40</v>
      </c>
    </row>
    <row r="62" spans="1:5" x14ac:dyDescent="0.3">
      <c r="A62">
        <v>2036</v>
      </c>
      <c r="B62" s="19">
        <f t="shared" si="1"/>
        <v>69992.065512268615</v>
      </c>
      <c r="C62" s="19">
        <f t="shared" si="1"/>
        <v>79979.679910811974</v>
      </c>
      <c r="D62" s="19">
        <f t="shared" si="1"/>
        <v>60004.451113725263</v>
      </c>
      <c r="E62" t="s">
        <v>40</v>
      </c>
    </row>
    <row r="63" spans="1:5" x14ac:dyDescent="0.3">
      <c r="A63">
        <v>2037</v>
      </c>
      <c r="B63" s="19">
        <f t="shared" si="1"/>
        <v>74890.05282102045</v>
      </c>
      <c r="C63" s="19">
        <f t="shared" si="1"/>
        <v>85324.121629750371</v>
      </c>
      <c r="D63" s="19">
        <f t="shared" si="1"/>
        <v>64455.98401229053</v>
      </c>
      <c r="E63" t="s">
        <v>40</v>
      </c>
    </row>
    <row r="64" spans="1:5" x14ac:dyDescent="0.3">
      <c r="A64">
        <v>2038</v>
      </c>
      <c r="B64" s="19">
        <f t="shared" si="1"/>
        <v>80093.666282629027</v>
      </c>
      <c r="C64" s="19">
        <f t="shared" si="1"/>
        <v>90974.189501545523</v>
      </c>
      <c r="D64" s="19">
        <f t="shared" si="1"/>
        <v>69213.14306371253</v>
      </c>
      <c r="E64" t="s">
        <v>40</v>
      </c>
    </row>
    <row r="65" spans="1:5" x14ac:dyDescent="0.3">
      <c r="A65">
        <v>2039</v>
      </c>
      <c r="B65" s="19">
        <f t="shared" si="1"/>
        <v>85620.830565470445</v>
      </c>
      <c r="C65" s="19">
        <f t="shared" si="1"/>
        <v>96947.808194573503</v>
      </c>
      <c r="D65" s="19">
        <f t="shared" si="1"/>
        <v>74293.852936367388</v>
      </c>
      <c r="E65" t="s">
        <v>40</v>
      </c>
    </row>
    <row r="66" spans="1:5" x14ac:dyDescent="0.3">
      <c r="A66">
        <v>2040</v>
      </c>
      <c r="B66" s="19">
        <f t="shared" si="1"/>
        <v>91490.483870376673</v>
      </c>
      <c r="C66" s="19">
        <f t="shared" si="1"/>
        <v>103263.91590966629</v>
      </c>
      <c r="D66" s="19">
        <f t="shared" si="1"/>
        <v>79717.051831087054</v>
      </c>
      <c r="E66" t="s">
        <v>40</v>
      </c>
    </row>
    <row r="67" spans="1:5" x14ac:dyDescent="0.3">
      <c r="A67">
        <v>2041</v>
      </c>
      <c r="B67" s="19">
        <f t="shared" si="1"/>
        <v>97722.633171274603</v>
      </c>
      <c r="C67" s="19">
        <f t="shared" si="1"/>
        <v>109882.19195969643</v>
      </c>
      <c r="D67" s="19">
        <f t="shared" si="1"/>
        <v>85563.074382852777</v>
      </c>
      <c r="E67" t="s">
        <v>40</v>
      </c>
    </row>
    <row r="68" spans="1:5" x14ac:dyDescent="0.3">
      <c r="A68">
        <v>2042</v>
      </c>
      <c r="B68" s="19">
        <f t="shared" si="1"/>
        <v>104338.41233054426</v>
      </c>
      <c r="C68" s="19">
        <f t="shared" si="1"/>
        <v>116884.09786809828</v>
      </c>
      <c r="D68" s="19">
        <f t="shared" si="1"/>
        <v>91792.726792990245</v>
      </c>
      <c r="E68" t="s">
        <v>40</v>
      </c>
    </row>
    <row r="69" spans="1:5" x14ac:dyDescent="0.3">
      <c r="A69">
        <v>2043</v>
      </c>
      <c r="B69" s="19">
        <f t="shared" si="1"/>
        <v>111360.14322798479</v>
      </c>
      <c r="C69" s="19">
        <f t="shared" si="1"/>
        <v>124291.95551467102</v>
      </c>
      <c r="D69" s="19">
        <f t="shared" si="1"/>
        <v>98428.330941298569</v>
      </c>
      <c r="E69" t="s">
        <v>40</v>
      </c>
    </row>
    <row r="70" spans="1:5" x14ac:dyDescent="0.3">
      <c r="A70">
        <v>2044</v>
      </c>
      <c r="B70" s="19">
        <f t="shared" si="1"/>
        <v>118811.40004781605</v>
      </c>
      <c r="C70" s="19">
        <f t="shared" si="1"/>
        <v>132129.33908363446</v>
      </c>
      <c r="D70" s="19">
        <f t="shared" si="1"/>
        <v>105493.46101199763</v>
      </c>
      <c r="E70" t="s">
        <v>40</v>
      </c>
    </row>
    <row r="71" spans="1:5" x14ac:dyDescent="0.3">
      <c r="A71">
        <v>2045</v>
      </c>
      <c r="B71" s="19">
        <f t="shared" si="1"/>
        <v>126717.07687405639</v>
      </c>
      <c r="C71" s="19">
        <f t="shared" si="1"/>
        <v>140421.14265900699</v>
      </c>
      <c r="D71" s="19">
        <f t="shared" si="1"/>
        <v>113013.01108910578</v>
      </c>
      <c r="E71" t="s">
        <v>40</v>
      </c>
    </row>
    <row r="72" spans="1:5" x14ac:dyDescent="0.3">
      <c r="A72">
        <v>2046</v>
      </c>
      <c r="B72" s="19">
        <f t="shared" si="1"/>
        <v>135103.45875033966</v>
      </c>
      <c r="C72" s="19">
        <f t="shared" si="1"/>
        <v>149097.08164533402</v>
      </c>
      <c r="D72" s="19">
        <f t="shared" si="1"/>
        <v>121109.83585534529</v>
      </c>
      <c r="E72" t="s">
        <v>40</v>
      </c>
    </row>
    <row r="73" spans="1:5" x14ac:dyDescent="0.3">
      <c r="A73">
        <v>2047</v>
      </c>
      <c r="B73" s="19">
        <f t="shared" si="1"/>
        <v>143998.29636663906</v>
      </c>
      <c r="C73" s="19">
        <f t="shared" si="1"/>
        <v>158281.47637167718</v>
      </c>
      <c r="D73" s="19">
        <f t="shared" si="1"/>
        <v>129715.11636160093</v>
      </c>
      <c r="E73" t="s">
        <v>40</v>
      </c>
    </row>
    <row r="74" spans="1:5" x14ac:dyDescent="0.3">
      <c r="A74">
        <v>2048</v>
      </c>
      <c r="B74" s="19">
        <f t="shared" si="1"/>
        <v>153430.88454107556</v>
      </c>
      <c r="C74" s="19">
        <f t="shared" si="1"/>
        <v>168003.62165615743</v>
      </c>
      <c r="D74" s="19">
        <f t="shared" si="1"/>
        <v>138858.14742599369</v>
      </c>
      <c r="E74" t="s">
        <v>40</v>
      </c>
    </row>
    <row r="75" spans="1:5" x14ac:dyDescent="0.3">
      <c r="A75">
        <v>2049</v>
      </c>
      <c r="B75" s="19">
        <f t="shared" si="1"/>
        <v>163432.14467142129</v>
      </c>
      <c r="C75" s="19">
        <f t="shared" si="1"/>
        <v>178294.43889654693</v>
      </c>
      <c r="D75" s="19">
        <f t="shared" si="1"/>
        <v>148569.85044629566</v>
      </c>
      <c r="E75" t="s">
        <v>40</v>
      </c>
    </row>
    <row r="76" spans="1:5" x14ac:dyDescent="0.3">
      <c r="A76">
        <v>2050</v>
      </c>
      <c r="B76" s="19">
        <f t="shared" si="1"/>
        <v>174034.71133724783</v>
      </c>
      <c r="C76" s="19">
        <f t="shared" si="1"/>
        <v>189186.5626724172</v>
      </c>
      <c r="D76" s="19">
        <f t="shared" si="1"/>
        <v>158882.86000207847</v>
      </c>
      <c r="E76" t="s">
        <v>40</v>
      </c>
    </row>
    <row r="77" spans="1:5" x14ac:dyDescent="0.3">
      <c r="A77">
        <v>2020</v>
      </c>
      <c r="B77" s="19">
        <f>E3</f>
        <v>21935.487763876492</v>
      </c>
      <c r="C77" s="19">
        <f t="shared" ref="C77:D92" si="2">F3</f>
        <v>26231.231613765143</v>
      </c>
      <c r="D77" s="19">
        <f t="shared" si="2"/>
        <v>17639.743913987841</v>
      </c>
      <c r="E77" t="s">
        <v>41</v>
      </c>
    </row>
    <row r="78" spans="1:5" x14ac:dyDescent="0.3">
      <c r="A78">
        <v>2021</v>
      </c>
      <c r="B78" s="19">
        <f t="shared" ref="B78:B107" si="3">E4</f>
        <v>27143.938496139664</v>
      </c>
      <c r="C78" s="19">
        <f t="shared" si="2"/>
        <v>31719.571034304849</v>
      </c>
      <c r="D78" s="19">
        <f t="shared" si="2"/>
        <v>22568.30595797448</v>
      </c>
      <c r="E78" t="s">
        <v>41</v>
      </c>
    </row>
    <row r="79" spans="1:5" x14ac:dyDescent="0.3">
      <c r="A79">
        <v>2022</v>
      </c>
      <c r="B79" s="19">
        <f t="shared" si="3"/>
        <v>24668.882307930522</v>
      </c>
      <c r="C79" s="19">
        <f t="shared" si="2"/>
        <v>29524.403534372243</v>
      </c>
      <c r="D79" s="19">
        <f t="shared" si="2"/>
        <v>19813.361081488802</v>
      </c>
      <c r="E79" t="s">
        <v>41</v>
      </c>
    </row>
    <row r="80" spans="1:5" x14ac:dyDescent="0.3">
      <c r="A80">
        <v>2023</v>
      </c>
      <c r="B80" s="19">
        <f t="shared" si="3"/>
        <v>25596.65371848506</v>
      </c>
      <c r="C80" s="19">
        <f t="shared" si="2"/>
        <v>30732.06363320331</v>
      </c>
      <c r="D80" s="19">
        <f t="shared" si="2"/>
        <v>20461.243803766811</v>
      </c>
      <c r="E80" t="s">
        <v>41</v>
      </c>
    </row>
    <row r="81" spans="1:5" x14ac:dyDescent="0.3">
      <c r="A81">
        <v>2024</v>
      </c>
      <c r="B81" s="19">
        <f t="shared" si="3"/>
        <v>26974.692736171302</v>
      </c>
      <c r="C81" s="19">
        <f t="shared" si="2"/>
        <v>32389.991339166088</v>
      </c>
      <c r="D81" s="19">
        <f t="shared" si="2"/>
        <v>21559.394133176516</v>
      </c>
      <c r="E81" t="s">
        <v>41</v>
      </c>
    </row>
    <row r="82" spans="1:5" x14ac:dyDescent="0.3">
      <c r="A82">
        <v>2025</v>
      </c>
      <c r="B82" s="19">
        <f t="shared" si="3"/>
        <v>28407.229056705171</v>
      </c>
      <c r="C82" s="19">
        <f t="shared" si="2"/>
        <v>34102.41634797649</v>
      </c>
      <c r="D82" s="19">
        <f t="shared" si="2"/>
        <v>22712.041765433853</v>
      </c>
      <c r="E82" t="s">
        <v>41</v>
      </c>
    </row>
    <row r="83" spans="1:5" x14ac:dyDescent="0.3">
      <c r="A83">
        <v>2026</v>
      </c>
      <c r="B83" s="19">
        <f t="shared" si="3"/>
        <v>29896.332564327848</v>
      </c>
      <c r="C83" s="19">
        <f t="shared" si="2"/>
        <v>35962.158493204166</v>
      </c>
      <c r="D83" s="19">
        <f t="shared" si="2"/>
        <v>23830.506635451533</v>
      </c>
      <c r="E83" t="s">
        <v>41</v>
      </c>
    </row>
    <row r="84" spans="1:5" x14ac:dyDescent="0.3">
      <c r="A84">
        <v>2027</v>
      </c>
      <c r="B84" s="19">
        <f t="shared" si="3"/>
        <v>31444.142864039211</v>
      </c>
      <c r="C84" s="19">
        <f t="shared" si="2"/>
        <v>37880.607430520526</v>
      </c>
      <c r="D84" s="19">
        <f t="shared" si="2"/>
        <v>25007.678297557897</v>
      </c>
      <c r="E84" t="s">
        <v>41</v>
      </c>
    </row>
    <row r="85" spans="1:5" x14ac:dyDescent="0.3">
      <c r="A85">
        <v>2028</v>
      </c>
      <c r="B85" s="19">
        <f t="shared" si="3"/>
        <v>33052.87106357843</v>
      </c>
      <c r="C85" s="19">
        <f t="shared" si="2"/>
        <v>39859.974267664744</v>
      </c>
      <c r="D85" s="19">
        <f t="shared" si="2"/>
        <v>26245.767859492116</v>
      </c>
      <c r="E85" t="s">
        <v>41</v>
      </c>
    </row>
    <row r="86" spans="1:5" x14ac:dyDescent="0.3">
      <c r="A86">
        <v>2029</v>
      </c>
      <c r="B86" s="19">
        <f t="shared" si="3"/>
        <v>34724.80155982673</v>
      </c>
      <c r="C86" s="19">
        <f t="shared" si="2"/>
        <v>41902.543401518036</v>
      </c>
      <c r="D86" s="19">
        <f t="shared" si="2"/>
        <v>27547.059718135421</v>
      </c>
      <c r="E86" t="s">
        <v>41</v>
      </c>
    </row>
    <row r="87" spans="1:5" x14ac:dyDescent="0.3">
      <c r="A87">
        <v>2030</v>
      </c>
      <c r="B87" s="19">
        <f t="shared" si="3"/>
        <v>36462.293825656277</v>
      </c>
      <c r="C87" s="19">
        <f t="shared" si="2"/>
        <v>44010.674304952583</v>
      </c>
      <c r="D87" s="19">
        <f t="shared" si="2"/>
        <v>28913.913346359968</v>
      </c>
      <c r="E87" t="s">
        <v>41</v>
      </c>
    </row>
    <row r="88" spans="1:5" x14ac:dyDescent="0.3">
      <c r="A88">
        <v>2031</v>
      </c>
      <c r="B88" s="19">
        <f t="shared" si="3"/>
        <v>38090.369973584413</v>
      </c>
      <c r="C88" s="19">
        <f t="shared" si="2"/>
        <v>46037.306354692817</v>
      </c>
      <c r="D88" s="19">
        <f t="shared" si="2"/>
        <v>30143.433592476009</v>
      </c>
      <c r="E88" t="s">
        <v>41</v>
      </c>
    </row>
    <row r="89" spans="1:5" x14ac:dyDescent="0.3">
      <c r="A89">
        <v>2032</v>
      </c>
      <c r="B89" s="19">
        <f t="shared" si="3"/>
        <v>39768.697386536602</v>
      </c>
      <c r="C89" s="19">
        <f t="shared" si="2"/>
        <v>48114.189669457104</v>
      </c>
      <c r="D89" s="19">
        <f t="shared" si="2"/>
        <v>31423.205103616103</v>
      </c>
      <c r="E89" t="s">
        <v>41</v>
      </c>
    </row>
    <row r="90" spans="1:5" x14ac:dyDescent="0.3">
      <c r="A90">
        <v>2033</v>
      </c>
      <c r="B90" s="19">
        <f t="shared" si="3"/>
        <v>41498.366988840135</v>
      </c>
      <c r="C90" s="19">
        <f t="shared" si="2"/>
        <v>50242.415173572728</v>
      </c>
      <c r="D90" s="19">
        <f t="shared" si="2"/>
        <v>32754.318804107541</v>
      </c>
      <c r="E90" t="s">
        <v>41</v>
      </c>
    </row>
    <row r="91" spans="1:5" x14ac:dyDescent="0.3">
      <c r="A91">
        <v>2034</v>
      </c>
      <c r="B91" s="19">
        <f t="shared" si="3"/>
        <v>43280.453945696871</v>
      </c>
      <c r="C91" s="19">
        <f t="shared" si="2"/>
        <v>52423.058032241563</v>
      </c>
      <c r="D91" s="19">
        <f t="shared" si="2"/>
        <v>34137.849859152178</v>
      </c>
      <c r="E91" t="s">
        <v>41</v>
      </c>
    </row>
    <row r="92" spans="1:5" x14ac:dyDescent="0.3">
      <c r="A92">
        <v>2035</v>
      </c>
      <c r="B92" s="19">
        <f t="shared" si="3"/>
        <v>45116.013514259845</v>
      </c>
      <c r="C92" s="19">
        <f t="shared" si="2"/>
        <v>54657.173502616628</v>
      </c>
      <c r="D92" s="19">
        <f t="shared" si="2"/>
        <v>35574.853525903061</v>
      </c>
      <c r="E92" t="s">
        <v>41</v>
      </c>
    </row>
    <row r="93" spans="1:5" x14ac:dyDescent="0.3">
      <c r="A93">
        <v>2036</v>
      </c>
      <c r="B93" s="19">
        <f t="shared" si="3"/>
        <v>47006.076533797204</v>
      </c>
      <c r="C93" s="19">
        <f t="shared" ref="C93:C107" si="4">F19</f>
        <v>56993.690932340556</v>
      </c>
      <c r="D93" s="19">
        <f t="shared" ref="D93:D107" si="5">G19</f>
        <v>37018.462135253852</v>
      </c>
      <c r="E93" t="s">
        <v>41</v>
      </c>
    </row>
    <row r="94" spans="1:5" x14ac:dyDescent="0.3">
      <c r="A94">
        <v>2037</v>
      </c>
      <c r="B94" s="19">
        <f t="shared" si="3"/>
        <v>48951.644530536978</v>
      </c>
      <c r="C94" s="19">
        <f t="shared" si="4"/>
        <v>59385.713339266898</v>
      </c>
      <c r="D94" s="19">
        <f t="shared" si="5"/>
        <v>38517.575721807058</v>
      </c>
      <c r="E94" t="s">
        <v>41</v>
      </c>
    </row>
    <row r="95" spans="1:5" x14ac:dyDescent="0.3">
      <c r="A95">
        <v>2038</v>
      </c>
      <c r="B95" s="19">
        <f t="shared" si="3"/>
        <v>50953.68441118583</v>
      </c>
      <c r="C95" s="19">
        <f t="shared" si="4"/>
        <v>61834.207630102319</v>
      </c>
      <c r="D95" s="19">
        <f t="shared" si="5"/>
        <v>40073.161192269341</v>
      </c>
      <c r="E95" t="s">
        <v>41</v>
      </c>
    </row>
    <row r="96" spans="1:5" x14ac:dyDescent="0.3">
      <c r="A96">
        <v>2039</v>
      </c>
      <c r="B96" s="19">
        <f t="shared" si="3"/>
        <v>53013.122717849568</v>
      </c>
      <c r="C96" s="19">
        <f t="shared" si="4"/>
        <v>64340.100346952626</v>
      </c>
      <c r="D96" s="19">
        <f t="shared" si="5"/>
        <v>41686.145088746511</v>
      </c>
      <c r="E96" t="s">
        <v>41</v>
      </c>
    </row>
    <row r="97" spans="1:5" x14ac:dyDescent="0.3">
      <c r="A97">
        <v>2040</v>
      </c>
      <c r="B97" s="19">
        <f t="shared" si="3"/>
        <v>55130.839415241069</v>
      </c>
      <c r="C97" s="19">
        <f t="shared" si="4"/>
        <v>66904.271454530695</v>
      </c>
      <c r="D97" s="19">
        <f t="shared" si="5"/>
        <v>43357.40737595145</v>
      </c>
      <c r="E97" t="s">
        <v>41</v>
      </c>
    </row>
    <row r="98" spans="1:5" x14ac:dyDescent="0.3">
      <c r="A98">
        <v>2041</v>
      </c>
      <c r="B98" s="19">
        <f t="shared" si="3"/>
        <v>56888.631023506983</v>
      </c>
      <c r="C98" s="19">
        <f t="shared" si="4"/>
        <v>69048.189811928809</v>
      </c>
      <c r="D98" s="19">
        <f t="shared" si="5"/>
        <v>44729.072235085165</v>
      </c>
      <c r="E98" t="s">
        <v>41</v>
      </c>
    </row>
    <row r="99" spans="1:5" x14ac:dyDescent="0.3">
      <c r="A99">
        <v>2042</v>
      </c>
      <c r="B99" s="19">
        <f t="shared" si="3"/>
        <v>58661.15539346599</v>
      </c>
      <c r="C99" s="19">
        <f t="shared" si="4"/>
        <v>71206.840931020008</v>
      </c>
      <c r="D99" s="19">
        <f t="shared" si="5"/>
        <v>46115.469855911972</v>
      </c>
      <c r="E99" t="s">
        <v>41</v>
      </c>
    </row>
    <row r="100" spans="1:5" x14ac:dyDescent="0.3">
      <c r="A100">
        <v>2043</v>
      </c>
      <c r="B100" s="19">
        <f t="shared" si="3"/>
        <v>60445.782322072504</v>
      </c>
      <c r="C100" s="19">
        <f t="shared" si="4"/>
        <v>73377.594608758722</v>
      </c>
      <c r="D100" s="19">
        <f t="shared" si="5"/>
        <v>47513.970035386286</v>
      </c>
      <c r="E100" t="s">
        <v>41</v>
      </c>
    </row>
    <row r="101" spans="1:5" x14ac:dyDescent="0.3">
      <c r="A101">
        <v>2044</v>
      </c>
      <c r="B101" s="19">
        <f t="shared" si="3"/>
        <v>62239.590297048984</v>
      </c>
      <c r="C101" s="19">
        <f t="shared" si="4"/>
        <v>75557.529332867402</v>
      </c>
      <c r="D101" s="19">
        <f t="shared" si="5"/>
        <v>48921.651261230567</v>
      </c>
      <c r="E101" t="s">
        <v>41</v>
      </c>
    </row>
    <row r="102" spans="1:5" x14ac:dyDescent="0.3">
      <c r="A102">
        <v>2045</v>
      </c>
      <c r="B102" s="19">
        <f t="shared" si="3"/>
        <v>64039.344775466503</v>
      </c>
      <c r="C102" s="19">
        <f t="shared" si="4"/>
        <v>77743.410560417105</v>
      </c>
      <c r="D102" s="19">
        <f t="shared" si="5"/>
        <v>50335.278990515893</v>
      </c>
      <c r="E102" t="s">
        <v>41</v>
      </c>
    </row>
    <row r="103" spans="1:5" x14ac:dyDescent="0.3">
      <c r="A103">
        <v>2046</v>
      </c>
      <c r="B103" s="19">
        <f t="shared" si="3"/>
        <v>65841.475090869018</v>
      </c>
      <c r="C103" s="19">
        <f t="shared" si="4"/>
        <v>79835.097985863395</v>
      </c>
      <c r="D103" s="19">
        <f t="shared" si="5"/>
        <v>51847.85219587465</v>
      </c>
      <c r="E103" t="s">
        <v>41</v>
      </c>
    </row>
    <row r="104" spans="1:5" x14ac:dyDescent="0.3">
      <c r="A104">
        <v>2047</v>
      </c>
      <c r="B104" s="19">
        <f t="shared" si="3"/>
        <v>67642.049912617033</v>
      </c>
      <c r="C104" s="19">
        <f t="shared" si="4"/>
        <v>81925.229917655146</v>
      </c>
      <c r="D104" s="19">
        <f t="shared" si="5"/>
        <v>53358.869907578912</v>
      </c>
      <c r="E104" t="s">
        <v>41</v>
      </c>
    </row>
    <row r="105" spans="1:5" x14ac:dyDescent="0.3">
      <c r="A105">
        <v>2048</v>
      </c>
      <c r="B105" s="19">
        <f t="shared" si="3"/>
        <v>69436.751177288475</v>
      </c>
      <c r="C105" s="19">
        <f t="shared" si="4"/>
        <v>84009.488292370355</v>
      </c>
      <c r="D105" s="19">
        <f t="shared" si="5"/>
        <v>54864.014062206596</v>
      </c>
      <c r="E105" t="s">
        <v>41</v>
      </c>
    </row>
    <row r="106" spans="1:5" x14ac:dyDescent="0.3">
      <c r="A106">
        <v>2049</v>
      </c>
      <c r="B106" s="19">
        <f t="shared" si="3"/>
        <v>71220.846408374156</v>
      </c>
      <c r="C106" s="19">
        <f t="shared" si="4"/>
        <v>86083.140633499788</v>
      </c>
      <c r="D106" s="19">
        <f t="shared" si="5"/>
        <v>56358.552183248525</v>
      </c>
      <c r="E106" t="s">
        <v>41</v>
      </c>
    </row>
    <row r="107" spans="1:5" x14ac:dyDescent="0.3">
      <c r="A107">
        <v>2050</v>
      </c>
      <c r="B107" s="19">
        <f t="shared" si="3"/>
        <v>72989.159336695666</v>
      </c>
      <c r="C107" s="19">
        <f t="shared" si="4"/>
        <v>88141.01067186505</v>
      </c>
      <c r="D107" s="19">
        <f t="shared" si="5"/>
        <v>57837.308001526282</v>
      </c>
      <c r="E107" t="s">
        <v>41</v>
      </c>
    </row>
    <row r="108" spans="1:5" x14ac:dyDescent="0.3">
      <c r="A108">
        <v>2020</v>
      </c>
      <c r="B108" s="19">
        <f>H3</f>
        <v>21935.487763876492</v>
      </c>
      <c r="C108" s="19">
        <f t="shared" ref="C108:D123" si="6">I3</f>
        <v>26231.231613765143</v>
      </c>
      <c r="D108" s="19">
        <f t="shared" si="6"/>
        <v>17639.743913987841</v>
      </c>
      <c r="E108" t="s">
        <v>42</v>
      </c>
    </row>
    <row r="109" spans="1:5" x14ac:dyDescent="0.3">
      <c r="A109">
        <v>2021</v>
      </c>
      <c r="B109" s="19">
        <f t="shared" ref="B109:B138" si="7">H4</f>
        <v>26799.516384758226</v>
      </c>
      <c r="C109" s="19">
        <f t="shared" si="6"/>
        <v>31375.148922923414</v>
      </c>
      <c r="D109" s="19">
        <f t="shared" si="6"/>
        <v>22223.883846593038</v>
      </c>
      <c r="E109" t="s">
        <v>42</v>
      </c>
    </row>
    <row r="110" spans="1:5" x14ac:dyDescent="0.3">
      <c r="A110">
        <v>2022</v>
      </c>
      <c r="B110" s="19">
        <f t="shared" si="7"/>
        <v>24057.282251049404</v>
      </c>
      <c r="C110" s="19">
        <f t="shared" si="6"/>
        <v>28912.803477491121</v>
      </c>
      <c r="D110" s="19">
        <f t="shared" si="6"/>
        <v>19201.761024607687</v>
      </c>
      <c r="E110" t="s">
        <v>42</v>
      </c>
    </row>
    <row r="111" spans="1:5" x14ac:dyDescent="0.3">
      <c r="A111">
        <v>2023</v>
      </c>
      <c r="B111" s="19">
        <f t="shared" si="7"/>
        <v>24666.420645229577</v>
      </c>
      <c r="C111" s="19">
        <f t="shared" si="6"/>
        <v>29801.830559947826</v>
      </c>
      <c r="D111" s="19">
        <f t="shared" si="6"/>
        <v>19531.010730511327</v>
      </c>
      <c r="E111" t="s">
        <v>42</v>
      </c>
    </row>
    <row r="112" spans="1:5" x14ac:dyDescent="0.3">
      <c r="A112">
        <v>2024</v>
      </c>
      <c r="B112" s="19">
        <f t="shared" si="7"/>
        <v>25697.002404383322</v>
      </c>
      <c r="C112" s="19">
        <f t="shared" si="6"/>
        <v>31112.301007378108</v>
      </c>
      <c r="D112" s="19">
        <f t="shared" si="6"/>
        <v>20281.703801388536</v>
      </c>
      <c r="E112" t="s">
        <v>42</v>
      </c>
    </row>
    <row r="113" spans="1:5" x14ac:dyDescent="0.3">
      <c r="A113">
        <v>2025</v>
      </c>
      <c r="B113" s="19">
        <f t="shared" si="7"/>
        <v>26762.684371341369</v>
      </c>
      <c r="C113" s="19">
        <f t="shared" si="6"/>
        <v>32457.871662612688</v>
      </c>
      <c r="D113" s="19">
        <f t="shared" si="6"/>
        <v>21067.49708007005</v>
      </c>
      <c r="E113" t="s">
        <v>42</v>
      </c>
    </row>
    <row r="114" spans="1:5" x14ac:dyDescent="0.3">
      <c r="A114">
        <v>2026</v>
      </c>
      <c r="B114" s="19">
        <f t="shared" si="7"/>
        <v>27865.083203210532</v>
      </c>
      <c r="C114" s="19">
        <f t="shared" si="6"/>
        <v>33930.909132086847</v>
      </c>
      <c r="D114" s="19">
        <f t="shared" si="6"/>
        <v>21799.257274334217</v>
      </c>
      <c r="E114" t="s">
        <v>42</v>
      </c>
    </row>
    <row r="115" spans="1:5" x14ac:dyDescent="0.3">
      <c r="A115">
        <v>2027</v>
      </c>
      <c r="B115" s="19">
        <f t="shared" si="7"/>
        <v>29005.868020211881</v>
      </c>
      <c r="C115" s="19">
        <f t="shared" si="6"/>
        <v>35442.332586693199</v>
      </c>
      <c r="D115" s="19">
        <f t="shared" si="6"/>
        <v>22569.403453730567</v>
      </c>
      <c r="E115" t="s">
        <v>42</v>
      </c>
    </row>
    <row r="116" spans="1:5" x14ac:dyDescent="0.3">
      <c r="A116">
        <v>2028</v>
      </c>
      <c r="B116" s="19">
        <f t="shared" si="7"/>
        <v>30186.763588575901</v>
      </c>
      <c r="C116" s="19">
        <f t="shared" si="6"/>
        <v>36993.866792662215</v>
      </c>
      <c r="D116" s="19">
        <f t="shared" si="6"/>
        <v>23379.660384489587</v>
      </c>
      <c r="E116" t="s">
        <v>42</v>
      </c>
    </row>
    <row r="117" spans="1:5" x14ac:dyDescent="0.3">
      <c r="A117">
        <v>2029</v>
      </c>
      <c r="B117" s="19">
        <f t="shared" si="7"/>
        <v>31409.553525505766</v>
      </c>
      <c r="C117" s="19">
        <f t="shared" si="6"/>
        <v>38587.295367197075</v>
      </c>
      <c r="D117" s="19">
        <f t="shared" si="6"/>
        <v>24231.811683814456</v>
      </c>
      <c r="E117" t="s">
        <v>42</v>
      </c>
    </row>
    <row r="118" spans="1:5" x14ac:dyDescent="0.3">
      <c r="A118">
        <v>2030</v>
      </c>
      <c r="B118" s="19">
        <f t="shared" si="7"/>
        <v>32676.083538122861</v>
      </c>
      <c r="C118" s="19">
        <f t="shared" si="6"/>
        <v>40224.464017419166</v>
      </c>
      <c r="D118" s="19">
        <f t="shared" si="6"/>
        <v>25127.703058826552</v>
      </c>
      <c r="E118" t="s">
        <v>42</v>
      </c>
    </row>
    <row r="119" spans="1:5" x14ac:dyDescent="0.3">
      <c r="A119">
        <v>2031</v>
      </c>
      <c r="B119" s="19">
        <f t="shared" si="7"/>
        <v>33988.264707512011</v>
      </c>
      <c r="C119" s="19">
        <f t="shared" si="6"/>
        <v>41935.201088620415</v>
      </c>
      <c r="D119" s="19">
        <f t="shared" si="6"/>
        <v>26041.328326403607</v>
      </c>
      <c r="E119" t="s">
        <v>42</v>
      </c>
    </row>
    <row r="120" spans="1:5" x14ac:dyDescent="0.3">
      <c r="A120">
        <v>2032</v>
      </c>
      <c r="B120" s="19">
        <f t="shared" si="7"/>
        <v>35348.076827573765</v>
      </c>
      <c r="C120" s="19">
        <f t="shared" si="6"/>
        <v>43693.569110494267</v>
      </c>
      <c r="D120" s="19">
        <f t="shared" si="6"/>
        <v>27002.584544653266</v>
      </c>
      <c r="E120" t="s">
        <v>42</v>
      </c>
    </row>
    <row r="121" spans="1:5" x14ac:dyDescent="0.3">
      <c r="A121">
        <v>2033</v>
      </c>
      <c r="B121" s="19">
        <f t="shared" si="7"/>
        <v>36757.571808200286</v>
      </c>
      <c r="C121" s="19">
        <f t="shared" si="6"/>
        <v>45501.61999293288</v>
      </c>
      <c r="D121" s="19">
        <f t="shared" si="6"/>
        <v>28013.523623467692</v>
      </c>
      <c r="E121" t="s">
        <v>42</v>
      </c>
    </row>
    <row r="122" spans="1:5" x14ac:dyDescent="0.3">
      <c r="A122">
        <v>2034</v>
      </c>
      <c r="B122" s="19">
        <f t="shared" si="7"/>
        <v>38218.877151278299</v>
      </c>
      <c r="C122" s="19">
        <f t="shared" si="6"/>
        <v>47361.481237822991</v>
      </c>
      <c r="D122" s="19">
        <f t="shared" si="6"/>
        <v>29076.273064733607</v>
      </c>
      <c r="E122" t="s">
        <v>42</v>
      </c>
    </row>
    <row r="123" spans="1:5" x14ac:dyDescent="0.3">
      <c r="A123">
        <v>2035</v>
      </c>
      <c r="B123" s="19">
        <f t="shared" si="7"/>
        <v>39734.199507643709</v>
      </c>
      <c r="C123" s="19">
        <f t="shared" si="6"/>
        <v>49275.359496000499</v>
      </c>
      <c r="D123" s="19">
        <f t="shared" si="6"/>
        <v>30193.039519286922</v>
      </c>
      <c r="E123" t="s">
        <v>42</v>
      </c>
    </row>
    <row r="124" spans="1:5" x14ac:dyDescent="0.3">
      <c r="A124">
        <v>2036</v>
      </c>
      <c r="B124" s="19">
        <f t="shared" si="7"/>
        <v>41305.828322582238</v>
      </c>
      <c r="C124" s="19">
        <f t="shared" ref="C124:C138" si="8">I19</f>
        <v>51293.44272112559</v>
      </c>
      <c r="D124" s="19">
        <f t="shared" ref="D124:D138" si="9">J19</f>
        <v>31318.213924038886</v>
      </c>
      <c r="E124" t="s">
        <v>42</v>
      </c>
    </row>
    <row r="125" spans="1:5" x14ac:dyDescent="0.3">
      <c r="A125">
        <v>2037</v>
      </c>
      <c r="B125" s="19">
        <f t="shared" si="7"/>
        <v>42936.139577155285</v>
      </c>
      <c r="C125" s="19">
        <f t="shared" si="8"/>
        <v>53370.208385885206</v>
      </c>
      <c r="D125" s="19">
        <f t="shared" si="9"/>
        <v>32502.070768425365</v>
      </c>
      <c r="E125" t="s">
        <v>42</v>
      </c>
    </row>
    <row r="126" spans="1:5" x14ac:dyDescent="0.3">
      <c r="A126">
        <v>2038</v>
      </c>
      <c r="B126" s="19">
        <f t="shared" si="7"/>
        <v>44627.59963213763</v>
      </c>
      <c r="C126" s="19">
        <f t="shared" si="8"/>
        <v>55508.122851054119</v>
      </c>
      <c r="D126" s="19">
        <f t="shared" si="9"/>
        <v>33747.076413221141</v>
      </c>
      <c r="E126" t="s">
        <v>42</v>
      </c>
    </row>
    <row r="127" spans="1:5" x14ac:dyDescent="0.3">
      <c r="A127">
        <v>2039</v>
      </c>
      <c r="B127" s="19">
        <f t="shared" si="7"/>
        <v>46382.769181266078</v>
      </c>
      <c r="C127" s="19">
        <f t="shared" si="8"/>
        <v>57709.746810369135</v>
      </c>
      <c r="D127" s="19">
        <f t="shared" si="9"/>
        <v>35055.79155216302</v>
      </c>
      <c r="E127" t="s">
        <v>42</v>
      </c>
    </row>
    <row r="128" spans="1:5" x14ac:dyDescent="0.3">
      <c r="A128">
        <v>2040</v>
      </c>
      <c r="B128" s="19">
        <f t="shared" si="7"/>
        <v>48204.307320000655</v>
      </c>
      <c r="C128" s="19">
        <f t="shared" si="8"/>
        <v>59977.739359290274</v>
      </c>
      <c r="D128" s="19">
        <f t="shared" si="9"/>
        <v>36430.875280711036</v>
      </c>
      <c r="E128" t="s">
        <v>42</v>
      </c>
    </row>
    <row r="129" spans="1:5" x14ac:dyDescent="0.3">
      <c r="A129">
        <v>2041</v>
      </c>
      <c r="B129" s="19">
        <f t="shared" si="7"/>
        <v>50094.975735982436</v>
      </c>
      <c r="C129" s="19">
        <f t="shared" si="8"/>
        <v>62254.534524404255</v>
      </c>
      <c r="D129" s="19">
        <f t="shared" si="9"/>
        <v>37935.416947560618</v>
      </c>
      <c r="E129" t="s">
        <v>42</v>
      </c>
    </row>
    <row r="130" spans="1:5" x14ac:dyDescent="0.3">
      <c r="A130">
        <v>2042</v>
      </c>
      <c r="B130" s="19">
        <f t="shared" si="7"/>
        <v>52057.643026965656</v>
      </c>
      <c r="C130" s="19">
        <f t="shared" si="8"/>
        <v>64603.328564519674</v>
      </c>
      <c r="D130" s="19">
        <f t="shared" si="9"/>
        <v>39511.957489411638</v>
      </c>
      <c r="E130" t="s">
        <v>42</v>
      </c>
    </row>
    <row r="131" spans="1:5" x14ac:dyDescent="0.3">
      <c r="A131">
        <v>2043</v>
      </c>
      <c r="B131" s="19">
        <f t="shared" si="7"/>
        <v>54095.289151955454</v>
      </c>
      <c r="C131" s="19">
        <f t="shared" si="8"/>
        <v>67027.101438641679</v>
      </c>
      <c r="D131" s="19">
        <f t="shared" si="9"/>
        <v>41163.476865269236</v>
      </c>
      <c r="E131" t="s">
        <v>42</v>
      </c>
    </row>
    <row r="132" spans="1:5" x14ac:dyDescent="0.3">
      <c r="A132">
        <v>2044</v>
      </c>
      <c r="B132" s="19">
        <f t="shared" si="7"/>
        <v>56211.010021012487</v>
      </c>
      <c r="C132" s="19">
        <f t="shared" si="8"/>
        <v>69528.949056830912</v>
      </c>
      <c r="D132" s="19">
        <f t="shared" si="9"/>
        <v>42893.07098519407</v>
      </c>
      <c r="E132" t="s">
        <v>42</v>
      </c>
    </row>
    <row r="133" spans="1:5" x14ac:dyDescent="0.3">
      <c r="A133">
        <v>2045</v>
      </c>
      <c r="B133" s="19">
        <f t="shared" si="7"/>
        <v>58408.022229053306</v>
      </c>
      <c r="C133" s="19">
        <f t="shared" si="8"/>
        <v>72112.088014003908</v>
      </c>
      <c r="D133" s="19">
        <f t="shared" si="9"/>
        <v>44703.956444102696</v>
      </c>
      <c r="E133" t="s">
        <v>42</v>
      </c>
    </row>
    <row r="134" spans="1:5" x14ac:dyDescent="0.3">
      <c r="A134">
        <v>2046</v>
      </c>
      <c r="B134" s="19">
        <f t="shared" si="7"/>
        <v>60689.667938695718</v>
      </c>
      <c r="C134" s="19">
        <f t="shared" si="8"/>
        <v>74683.290833690087</v>
      </c>
      <c r="D134" s="19">
        <f t="shared" si="9"/>
        <v>46696.04504370135</v>
      </c>
      <c r="E134" t="s">
        <v>42</v>
      </c>
    </row>
    <row r="135" spans="1:5" x14ac:dyDescent="0.3">
      <c r="A135">
        <v>2047</v>
      </c>
      <c r="B135" s="19">
        <f t="shared" si="7"/>
        <v>63059.419917189589</v>
      </c>
      <c r="C135" s="19">
        <f t="shared" si="8"/>
        <v>77342.599922227702</v>
      </c>
      <c r="D135" s="19">
        <f t="shared" si="9"/>
        <v>48776.239912151468</v>
      </c>
      <c r="E135" t="s">
        <v>42</v>
      </c>
    </row>
    <row r="136" spans="1:5" x14ac:dyDescent="0.3">
      <c r="A136">
        <v>2048</v>
      </c>
      <c r="B136" s="19">
        <f t="shared" si="7"/>
        <v>65520.886732084691</v>
      </c>
      <c r="C136" s="19">
        <f t="shared" si="8"/>
        <v>80093.623847166571</v>
      </c>
      <c r="D136" s="19">
        <f t="shared" si="9"/>
        <v>50948.149617002811</v>
      </c>
      <c r="E136" t="s">
        <v>42</v>
      </c>
    </row>
    <row r="137" spans="1:5" x14ac:dyDescent="0.3">
      <c r="A137">
        <v>2049</v>
      </c>
      <c r="B137" s="19">
        <f t="shared" si="7"/>
        <v>68077.818110199747</v>
      </c>
      <c r="C137" s="19">
        <f t="shared" si="8"/>
        <v>82940.112335325379</v>
      </c>
      <c r="D137" s="19">
        <f t="shared" si="9"/>
        <v>53215.523885074115</v>
      </c>
      <c r="E137" t="s">
        <v>42</v>
      </c>
    </row>
    <row r="138" spans="1:5" x14ac:dyDescent="0.3">
      <c r="A138">
        <v>2050</v>
      </c>
      <c r="B138" s="19">
        <f t="shared" si="7"/>
        <v>70734.110464270256</v>
      </c>
      <c r="C138" s="19">
        <f t="shared" si="8"/>
        <v>85885.961799439639</v>
      </c>
      <c r="D138" s="19">
        <f t="shared" si="9"/>
        <v>55582.259129100872</v>
      </c>
      <c r="E138" t="s">
        <v>42</v>
      </c>
    </row>
    <row r="139" spans="1:5" x14ac:dyDescent="0.3">
      <c r="A139">
        <v>2020</v>
      </c>
      <c r="B139" s="19">
        <f>K3</f>
        <v>21935.487763876492</v>
      </c>
      <c r="C139" s="19">
        <f t="shared" ref="C139:D154" si="10">L3</f>
        <v>26231.231613765143</v>
      </c>
      <c r="D139" s="19">
        <f t="shared" si="10"/>
        <v>17639.743913987841</v>
      </c>
      <c r="E139" t="s">
        <v>80</v>
      </c>
    </row>
    <row r="140" spans="1:5" x14ac:dyDescent="0.3">
      <c r="A140">
        <v>2021</v>
      </c>
      <c r="B140" s="19">
        <f t="shared" ref="B140:B169" si="11">K4</f>
        <v>27287.617884901818</v>
      </c>
      <c r="C140" s="19">
        <f t="shared" si="10"/>
        <v>31863.250423067002</v>
      </c>
      <c r="D140" s="19">
        <f t="shared" si="10"/>
        <v>22711.985346736634</v>
      </c>
      <c r="E140" t="s">
        <v>80</v>
      </c>
    </row>
    <row r="141" spans="1:5" x14ac:dyDescent="0.3">
      <c r="A141">
        <v>2022</v>
      </c>
      <c r="B141" s="19">
        <f t="shared" si="11"/>
        <v>24933.355344055486</v>
      </c>
      <c r="C141" s="19">
        <f t="shared" si="10"/>
        <v>29788.876570497203</v>
      </c>
      <c r="D141" s="19">
        <f t="shared" si="10"/>
        <v>20077.834117613769</v>
      </c>
      <c r="E141" t="s">
        <v>80</v>
      </c>
    </row>
    <row r="142" spans="1:5" x14ac:dyDescent="0.3">
      <c r="A142">
        <v>2023</v>
      </c>
      <c r="B142" s="19">
        <f t="shared" si="11"/>
        <v>26013.447055687346</v>
      </c>
      <c r="C142" s="19">
        <f t="shared" si="10"/>
        <v>31148.856970405595</v>
      </c>
      <c r="D142" s="19">
        <f t="shared" si="10"/>
        <v>20878.037140969096</v>
      </c>
      <c r="E142" t="s">
        <v>80</v>
      </c>
    </row>
    <row r="143" spans="1:5" x14ac:dyDescent="0.3">
      <c r="A143">
        <v>2024</v>
      </c>
      <c r="B143" s="19">
        <f t="shared" si="11"/>
        <v>27567.599519028954</v>
      </c>
      <c r="C143" s="19">
        <f t="shared" si="10"/>
        <v>32982.89812202374</v>
      </c>
      <c r="D143" s="19">
        <f t="shared" si="10"/>
        <v>22152.300916034168</v>
      </c>
      <c r="E143" t="s">
        <v>80</v>
      </c>
    </row>
    <row r="144" spans="1:5" x14ac:dyDescent="0.3">
      <c r="A144">
        <v>2025</v>
      </c>
      <c r="B144" s="19">
        <f t="shared" si="11"/>
        <v>29197.300601484843</v>
      </c>
      <c r="C144" s="19">
        <f t="shared" si="10"/>
        <v>34892.487892756159</v>
      </c>
      <c r="D144" s="19">
        <f t="shared" si="10"/>
        <v>23502.113310213525</v>
      </c>
      <c r="E144" t="s">
        <v>80</v>
      </c>
    </row>
    <row r="145" spans="1:5" x14ac:dyDescent="0.3">
      <c r="A145">
        <v>2026</v>
      </c>
      <c r="B145" s="19">
        <f t="shared" si="11"/>
        <v>30906.242976877991</v>
      </c>
      <c r="C145" s="19">
        <f t="shared" si="10"/>
        <v>36972.068905754306</v>
      </c>
      <c r="D145" s="19">
        <f t="shared" si="10"/>
        <v>24840.417048001676</v>
      </c>
      <c r="E145" t="s">
        <v>80</v>
      </c>
    </row>
    <row r="146" spans="1:5" x14ac:dyDescent="0.3">
      <c r="A146">
        <v>2027</v>
      </c>
      <c r="B146" s="19">
        <f t="shared" si="11"/>
        <v>32698.295395306341</v>
      </c>
      <c r="C146" s="19">
        <f t="shared" si="10"/>
        <v>39134.759961787655</v>
      </c>
      <c r="D146" s="19">
        <f t="shared" si="10"/>
        <v>26261.830828825026</v>
      </c>
      <c r="E146" t="s">
        <v>80</v>
      </c>
    </row>
    <row r="147" spans="1:5" x14ac:dyDescent="0.3">
      <c r="A147">
        <v>2028</v>
      </c>
      <c r="B147" s="19">
        <f t="shared" si="11"/>
        <v>34577.511035804375</v>
      </c>
      <c r="C147" s="19">
        <f t="shared" si="10"/>
        <v>41384.614239890689</v>
      </c>
      <c r="D147" s="19">
        <f t="shared" si="10"/>
        <v>27770.407831718061</v>
      </c>
      <c r="E147" t="s">
        <v>80</v>
      </c>
    </row>
    <row r="148" spans="1:5" x14ac:dyDescent="0.3">
      <c r="A148">
        <v>2029</v>
      </c>
      <c r="B148" s="19">
        <f t="shared" si="11"/>
        <v>36548.13623285191</v>
      </c>
      <c r="C148" s="19">
        <f t="shared" si="10"/>
        <v>43725.878074543216</v>
      </c>
      <c r="D148" s="19">
        <f t="shared" si="10"/>
        <v>29370.3943911606</v>
      </c>
      <c r="E148" t="s">
        <v>80</v>
      </c>
    </row>
    <row r="149" spans="1:5" x14ac:dyDescent="0.3">
      <c r="A149">
        <v>2030</v>
      </c>
      <c r="B149" s="19">
        <f t="shared" si="11"/>
        <v>38614.619593141404</v>
      </c>
      <c r="C149" s="19">
        <f t="shared" si="10"/>
        <v>46163.00007243771</v>
      </c>
      <c r="D149" s="19">
        <f t="shared" si="10"/>
        <v>31066.239113845095</v>
      </c>
      <c r="E149" t="s">
        <v>80</v>
      </c>
    </row>
    <row r="150" spans="1:5" x14ac:dyDescent="0.3">
      <c r="A150">
        <v>2031</v>
      </c>
      <c r="B150" s="19">
        <f t="shared" si="11"/>
        <v>40781.621519848988</v>
      </c>
      <c r="C150" s="19">
        <f t="shared" si="10"/>
        <v>48728.557900957392</v>
      </c>
      <c r="D150" s="19">
        <f t="shared" si="10"/>
        <v>32834.685138740584</v>
      </c>
      <c r="E150" t="s">
        <v>80</v>
      </c>
    </row>
    <row r="151" spans="1:5" x14ac:dyDescent="0.3">
      <c r="A151">
        <v>2032</v>
      </c>
      <c r="B151" s="19">
        <f t="shared" si="11"/>
        <v>43054.024161599722</v>
      </c>
      <c r="C151" s="19">
        <f t="shared" si="10"/>
        <v>51399.516444520224</v>
      </c>
      <c r="D151" s="19">
        <f t="shared" si="10"/>
        <v>34708.53187867922</v>
      </c>
      <c r="E151" t="s">
        <v>80</v>
      </c>
    </row>
    <row r="152" spans="1:5" x14ac:dyDescent="0.3">
      <c r="A152">
        <v>2033</v>
      </c>
      <c r="B152" s="19">
        <f t="shared" si="11"/>
        <v>45436.94180453413</v>
      </c>
      <c r="C152" s="19">
        <f t="shared" si="10"/>
        <v>54180.989989266724</v>
      </c>
      <c r="D152" s="19">
        <f t="shared" si="10"/>
        <v>36692.893619801536</v>
      </c>
      <c r="E152" t="s">
        <v>80</v>
      </c>
    </row>
    <row r="153" spans="1:5" x14ac:dyDescent="0.3">
      <c r="A153">
        <v>2034</v>
      </c>
      <c r="B153" s="19">
        <f t="shared" si="11"/>
        <v>47935.731726027036</v>
      </c>
      <c r="C153" s="19">
        <f t="shared" si="10"/>
        <v>57078.335812571728</v>
      </c>
      <c r="D153" s="19">
        <f t="shared" si="10"/>
        <v>38793.127639482344</v>
      </c>
      <c r="E153" t="s">
        <v>80</v>
      </c>
    </row>
    <row r="154" spans="1:5" x14ac:dyDescent="0.3">
      <c r="A154">
        <v>2035</v>
      </c>
      <c r="B154" s="19">
        <f t="shared" si="11"/>
        <v>50556.005529393384</v>
      </c>
      <c r="C154" s="19">
        <f t="shared" si="10"/>
        <v>60097.165517750167</v>
      </c>
      <c r="D154" s="19">
        <f t="shared" si="10"/>
        <v>41014.8455410366</v>
      </c>
      <c r="E154" t="s">
        <v>80</v>
      </c>
    </row>
    <row r="155" spans="1:5" x14ac:dyDescent="0.3">
      <c r="A155">
        <v>2036</v>
      </c>
      <c r="B155" s="19">
        <f t="shared" si="11"/>
        <v>53303.64097943408</v>
      </c>
      <c r="C155" s="19">
        <f t="shared" ref="C155:C169" si="12">L19</f>
        <v>63291.255377977432</v>
      </c>
      <c r="D155" s="19">
        <f t="shared" ref="D155:D169" si="13">M19</f>
        <v>43316.026580890728</v>
      </c>
      <c r="E155" t="s">
        <v>80</v>
      </c>
    </row>
    <row r="156" spans="1:5" x14ac:dyDescent="0.3">
      <c r="A156">
        <v>2037</v>
      </c>
      <c r="B156" s="19">
        <f t="shared" si="11"/>
        <v>56184.794359386309</v>
      </c>
      <c r="C156" s="19">
        <f t="shared" si="12"/>
        <v>66618.863168116222</v>
      </c>
      <c r="D156" s="19">
        <f t="shared" si="13"/>
        <v>45750.725550656389</v>
      </c>
      <c r="E156" t="s">
        <v>80</v>
      </c>
    </row>
    <row r="157" spans="1:5" x14ac:dyDescent="0.3">
      <c r="A157">
        <v>2038</v>
      </c>
      <c r="B157" s="19">
        <f t="shared" si="11"/>
        <v>59205.913370263472</v>
      </c>
      <c r="C157" s="19">
        <f t="shared" si="12"/>
        <v>70086.436589179968</v>
      </c>
      <c r="D157" s="19">
        <f t="shared" si="13"/>
        <v>48325.390151346983</v>
      </c>
      <c r="E157" t="s">
        <v>80</v>
      </c>
    </row>
    <row r="158" spans="1:5" x14ac:dyDescent="0.3">
      <c r="A158">
        <v>2039</v>
      </c>
      <c r="B158" s="19">
        <f t="shared" si="11"/>
        <v>62373.750594451682</v>
      </c>
      <c r="C158" s="19">
        <f t="shared" si="12"/>
        <v>73700.728223554746</v>
      </c>
      <c r="D158" s="19">
        <f t="shared" si="13"/>
        <v>51046.772965348624</v>
      </c>
      <c r="E158" t="s">
        <v>80</v>
      </c>
    </row>
    <row r="159" spans="1:5" x14ac:dyDescent="0.3">
      <c r="A159">
        <v>2040</v>
      </c>
      <c r="B159" s="19">
        <f t="shared" si="11"/>
        <v>65695.377545737167</v>
      </c>
      <c r="C159" s="19">
        <f t="shared" si="12"/>
        <v>77468.809585026785</v>
      </c>
      <c r="D159" s="19">
        <f t="shared" si="13"/>
        <v>53921.945506447548</v>
      </c>
      <c r="E159" t="s">
        <v>80</v>
      </c>
    </row>
    <row r="160" spans="1:5" x14ac:dyDescent="0.3">
      <c r="A160">
        <v>2041</v>
      </c>
      <c r="B160" s="19">
        <f t="shared" si="11"/>
        <v>69178.199328824994</v>
      </c>
      <c r="C160" s="19">
        <f t="shared" si="12"/>
        <v>81337.75811724682</v>
      </c>
      <c r="D160" s="19">
        <f t="shared" si="13"/>
        <v>57018.640540403176</v>
      </c>
      <c r="E160" t="s">
        <v>80</v>
      </c>
    </row>
    <row r="161" spans="1:5" x14ac:dyDescent="0.3">
      <c r="A161">
        <v>2042</v>
      </c>
      <c r="B161" s="19">
        <f t="shared" si="11"/>
        <v>72829.969931747706</v>
      </c>
      <c r="C161" s="19">
        <f t="shared" si="12"/>
        <v>85375.655469301724</v>
      </c>
      <c r="D161" s="19">
        <f t="shared" si="13"/>
        <v>60284.284394193688</v>
      </c>
      <c r="E161" t="s">
        <v>80</v>
      </c>
    </row>
    <row r="162" spans="1:5" x14ac:dyDescent="0.3">
      <c r="A162">
        <v>2043</v>
      </c>
      <c r="B162" s="19">
        <f t="shared" si="11"/>
        <v>76658.808175343045</v>
      </c>
      <c r="C162" s="19">
        <f t="shared" si="12"/>
        <v>89590.62046202927</v>
      </c>
      <c r="D162" s="19">
        <f t="shared" si="13"/>
        <v>63726.995888656827</v>
      </c>
      <c r="E162" t="s">
        <v>80</v>
      </c>
    </row>
    <row r="163" spans="1:5" x14ac:dyDescent="0.3">
      <c r="A163">
        <v>2044</v>
      </c>
      <c r="B163" s="19">
        <f t="shared" si="11"/>
        <v>80673.214344431035</v>
      </c>
      <c r="C163" s="19">
        <f t="shared" si="12"/>
        <v>93991.153380249452</v>
      </c>
      <c r="D163" s="19">
        <f t="shared" si="13"/>
        <v>67355.275308612618</v>
      </c>
      <c r="E163" t="s">
        <v>80</v>
      </c>
    </row>
    <row r="164" spans="1:5" x14ac:dyDescent="0.3">
      <c r="A164">
        <v>2045</v>
      </c>
      <c r="B164" s="19">
        <f t="shared" si="11"/>
        <v>84882.087525926021</v>
      </c>
      <c r="C164" s="19">
        <f t="shared" si="12"/>
        <v>98586.153310876631</v>
      </c>
      <c r="D164" s="19">
        <f t="shared" si="13"/>
        <v>71178.021740975411</v>
      </c>
      <c r="E164" t="s">
        <v>80</v>
      </c>
    </row>
    <row r="165" spans="1:5" x14ac:dyDescent="0.3">
      <c r="A165">
        <v>2046</v>
      </c>
      <c r="B165" s="19">
        <f t="shared" si="11"/>
        <v>89294.743679486943</v>
      </c>
      <c r="C165" s="19">
        <f t="shared" si="12"/>
        <v>103288.36657448132</v>
      </c>
      <c r="D165" s="19">
        <f t="shared" si="13"/>
        <v>75301.120784492567</v>
      </c>
      <c r="E165" t="s">
        <v>80</v>
      </c>
    </row>
    <row r="166" spans="1:5" x14ac:dyDescent="0.3">
      <c r="A166">
        <v>2047</v>
      </c>
      <c r="B166" s="19">
        <f t="shared" si="11"/>
        <v>93920.934467032479</v>
      </c>
      <c r="C166" s="19">
        <f t="shared" si="12"/>
        <v>108204.11447207059</v>
      </c>
      <c r="D166" s="19">
        <f t="shared" si="13"/>
        <v>79637.754461994366</v>
      </c>
      <c r="E166" t="s">
        <v>80</v>
      </c>
    </row>
    <row r="167" spans="1:5" x14ac:dyDescent="0.3">
      <c r="A167">
        <v>2048</v>
      </c>
      <c r="B167" s="19">
        <f t="shared" si="11"/>
        <v>98770.866867598044</v>
      </c>
      <c r="C167" s="19">
        <f t="shared" si="12"/>
        <v>113343.60398267992</v>
      </c>
      <c r="D167" s="19">
        <f t="shared" si="13"/>
        <v>84198.129752516164</v>
      </c>
      <c r="E167" t="s">
        <v>80</v>
      </c>
    </row>
    <row r="168" spans="1:5" x14ac:dyDescent="0.3">
      <c r="A168">
        <v>2049</v>
      </c>
      <c r="B168" s="19">
        <f t="shared" si="11"/>
        <v>103855.22360455568</v>
      </c>
      <c r="C168" s="19">
        <f t="shared" si="12"/>
        <v>118717.51782968131</v>
      </c>
      <c r="D168" s="19">
        <f t="shared" si="13"/>
        <v>88992.929379430047</v>
      </c>
      <c r="E168" t="s">
        <v>80</v>
      </c>
    </row>
    <row r="169" spans="1:5" x14ac:dyDescent="0.3">
      <c r="A169">
        <v>2050</v>
      </c>
      <c r="B169" s="19">
        <f t="shared" si="11"/>
        <v>109185.18441259669</v>
      </c>
      <c r="C169" s="19">
        <f t="shared" si="12"/>
        <v>124337.03574776607</v>
      </c>
      <c r="D169" s="19">
        <f t="shared" si="13"/>
        <v>94033.333077427305</v>
      </c>
      <c r="E169" t="s">
        <v>80</v>
      </c>
    </row>
    <row r="170" spans="1:5" x14ac:dyDescent="0.3">
      <c r="A170">
        <v>2020</v>
      </c>
      <c r="B170" s="19">
        <f>N3</f>
        <v>21935.487763876492</v>
      </c>
      <c r="C170" s="19">
        <f t="shared" ref="C170:D185" si="14">O3</f>
        <v>26231.231613765143</v>
      </c>
      <c r="D170" s="19">
        <f t="shared" si="14"/>
        <v>17639.743913987841</v>
      </c>
      <c r="E170" t="s">
        <v>43</v>
      </c>
    </row>
    <row r="171" spans="1:5" x14ac:dyDescent="0.3">
      <c r="A171">
        <v>2021</v>
      </c>
      <c r="B171" s="19">
        <f t="shared" ref="B171:B200" si="15">N4</f>
        <v>27188.485698142857</v>
      </c>
      <c r="C171" s="19">
        <f t="shared" si="14"/>
        <v>31764.118236308044</v>
      </c>
      <c r="D171" s="19">
        <f t="shared" si="14"/>
        <v>22612.853159977669</v>
      </c>
      <c r="E171" t="s">
        <v>43</v>
      </c>
    </row>
    <row r="172" spans="1:5" x14ac:dyDescent="0.3">
      <c r="A172">
        <v>2022</v>
      </c>
      <c r="B172" s="19">
        <f t="shared" si="15"/>
        <v>24750.431917281072</v>
      </c>
      <c r="C172" s="19">
        <f t="shared" si="14"/>
        <v>29605.953143722792</v>
      </c>
      <c r="D172" s="19">
        <f t="shared" si="14"/>
        <v>19894.910690839351</v>
      </c>
      <c r="E172" t="s">
        <v>43</v>
      </c>
    </row>
    <row r="173" spans="1:5" x14ac:dyDescent="0.3">
      <c r="A173">
        <v>2023</v>
      </c>
      <c r="B173" s="19">
        <f t="shared" si="15"/>
        <v>25724.492883235947</v>
      </c>
      <c r="C173" s="19">
        <f t="shared" si="14"/>
        <v>30859.902797954197</v>
      </c>
      <c r="D173" s="19">
        <f t="shared" si="14"/>
        <v>20589.082968517698</v>
      </c>
      <c r="E173" t="s">
        <v>43</v>
      </c>
    </row>
    <row r="174" spans="1:5" x14ac:dyDescent="0.3">
      <c r="A174">
        <v>2024</v>
      </c>
      <c r="B174" s="19">
        <f t="shared" si="15"/>
        <v>27155.624813099559</v>
      </c>
      <c r="C174" s="19">
        <f t="shared" si="14"/>
        <v>32570.923416094345</v>
      </c>
      <c r="D174" s="19">
        <f t="shared" si="14"/>
        <v>21740.326210104773</v>
      </c>
      <c r="E174" t="s">
        <v>43</v>
      </c>
    </row>
    <row r="175" spans="1:5" x14ac:dyDescent="0.3">
      <c r="A175">
        <v>2025</v>
      </c>
      <c r="B175" s="19">
        <f t="shared" si="15"/>
        <v>28647.145715459985</v>
      </c>
      <c r="C175" s="19">
        <f t="shared" si="14"/>
        <v>34342.3330067313</v>
      </c>
      <c r="D175" s="19">
        <f t="shared" si="14"/>
        <v>22951.958424188666</v>
      </c>
      <c r="E175" t="s">
        <v>43</v>
      </c>
    </row>
    <row r="176" spans="1:5" x14ac:dyDescent="0.3">
      <c r="A176">
        <v>2026</v>
      </c>
      <c r="B176" s="19">
        <f t="shared" si="15"/>
        <v>30201.554925068536</v>
      </c>
      <c r="C176" s="19">
        <f t="shared" si="14"/>
        <v>36267.380853944851</v>
      </c>
      <c r="D176" s="19">
        <f t="shared" si="14"/>
        <v>24135.728996192222</v>
      </c>
      <c r="E176" t="s">
        <v>43</v>
      </c>
    </row>
    <row r="177" spans="1:5" x14ac:dyDescent="0.3">
      <c r="A177">
        <v>2027</v>
      </c>
      <c r="B177" s="19">
        <f t="shared" si="15"/>
        <v>31821.449267261967</v>
      </c>
      <c r="C177" s="19">
        <f t="shared" si="14"/>
        <v>38257.913833743281</v>
      </c>
      <c r="D177" s="19">
        <f t="shared" si="14"/>
        <v>25384.984700780653</v>
      </c>
      <c r="E177" t="s">
        <v>43</v>
      </c>
    </row>
    <row r="178" spans="1:5" x14ac:dyDescent="0.3">
      <c r="A178">
        <v>2028</v>
      </c>
      <c r="B178" s="19">
        <f t="shared" si="15"/>
        <v>33509.526504110429</v>
      </c>
      <c r="C178" s="19">
        <f t="shared" si="14"/>
        <v>40316.629708196742</v>
      </c>
      <c r="D178" s="19">
        <f t="shared" si="14"/>
        <v>26702.423300024115</v>
      </c>
      <c r="E178" t="s">
        <v>43</v>
      </c>
    </row>
    <row r="179" spans="1:5" x14ac:dyDescent="0.3">
      <c r="A179">
        <v>2029</v>
      </c>
      <c r="B179" s="19">
        <f t="shared" si="15"/>
        <v>35268.588878832546</v>
      </c>
      <c r="C179" s="19">
        <f t="shared" si="14"/>
        <v>42446.330720523853</v>
      </c>
      <c r="D179" s="19">
        <f t="shared" si="14"/>
        <v>28090.847037141237</v>
      </c>
      <c r="E179" t="s">
        <v>43</v>
      </c>
    </row>
    <row r="180" spans="1:5" x14ac:dyDescent="0.3">
      <c r="A180">
        <v>2030</v>
      </c>
      <c r="B180" s="19">
        <f t="shared" si="15"/>
        <v>37101.546759469333</v>
      </c>
      <c r="C180" s="19">
        <f t="shared" si="14"/>
        <v>44649.927238765638</v>
      </c>
      <c r="D180" s="19">
        <f t="shared" si="14"/>
        <v>29553.166280173024</v>
      </c>
      <c r="E180" t="s">
        <v>43</v>
      </c>
    </row>
    <row r="181" spans="1:5" x14ac:dyDescent="0.3">
      <c r="A181">
        <v>2031</v>
      </c>
      <c r="B181" s="19">
        <f t="shared" si="15"/>
        <v>39011.422382933255</v>
      </c>
      <c r="C181" s="19">
        <f t="shared" si="14"/>
        <v>46958.358764041659</v>
      </c>
      <c r="D181" s="19">
        <f t="shared" si="14"/>
        <v>31064.486001824851</v>
      </c>
      <c r="E181" t="s">
        <v>43</v>
      </c>
    </row>
    <row r="182" spans="1:5" x14ac:dyDescent="0.3">
      <c r="A182">
        <v>2032</v>
      </c>
      <c r="B182" s="19">
        <f t="shared" si="15"/>
        <v>41001.353699782798</v>
      </c>
      <c r="C182" s="19">
        <f t="shared" si="14"/>
        <v>49346.845982703293</v>
      </c>
      <c r="D182" s="19">
        <f t="shared" si="14"/>
        <v>32655.861416862299</v>
      </c>
      <c r="E182" t="s">
        <v>43</v>
      </c>
    </row>
    <row r="183" spans="1:5" x14ac:dyDescent="0.3">
      <c r="A183">
        <v>2033</v>
      </c>
      <c r="B183" s="19">
        <f t="shared" si="15"/>
        <v>43074.598320497549</v>
      </c>
      <c r="C183" s="19">
        <f t="shared" si="14"/>
        <v>51818.646505230143</v>
      </c>
      <c r="D183" s="19">
        <f t="shared" si="14"/>
        <v>34330.550135764955</v>
      </c>
      <c r="E183" t="s">
        <v>43</v>
      </c>
    </row>
    <row r="184" spans="1:5" x14ac:dyDescent="0.3">
      <c r="A184">
        <v>2034</v>
      </c>
      <c r="B184" s="19">
        <f t="shared" si="15"/>
        <v>45234.537563384256</v>
      </c>
      <c r="C184" s="19">
        <f t="shared" si="14"/>
        <v>54377.141649928948</v>
      </c>
      <c r="D184" s="19">
        <f t="shared" si="14"/>
        <v>36091.933476839564</v>
      </c>
      <c r="E184" t="s">
        <v>43</v>
      </c>
    </row>
    <row r="185" spans="1:5" x14ac:dyDescent="0.3">
      <c r="A185">
        <v>2035</v>
      </c>
      <c r="B185" s="19">
        <f t="shared" si="15"/>
        <v>47484.680604179848</v>
      </c>
      <c r="C185" s="19">
        <f t="shared" si="14"/>
        <v>57025.840592536639</v>
      </c>
      <c r="D185" s="19">
        <f t="shared" si="14"/>
        <v>37943.520615823058</v>
      </c>
      <c r="E185" t="s">
        <v>43</v>
      </c>
    </row>
    <row r="186" spans="1:5" x14ac:dyDescent="0.3">
      <c r="A186">
        <v>2036</v>
      </c>
      <c r="B186" s="19">
        <f t="shared" si="15"/>
        <v>49828.668727064374</v>
      </c>
      <c r="C186" s="19">
        <f t="shared" ref="C186:C200" si="16">O19</f>
        <v>59816.283125607726</v>
      </c>
      <c r="D186" s="19">
        <f t="shared" ref="D186:D200" si="17">P19</f>
        <v>39841.054328521022</v>
      </c>
      <c r="E186" t="s">
        <v>43</v>
      </c>
    </row>
    <row r="187" spans="1:5" x14ac:dyDescent="0.3">
      <c r="A187">
        <v>2037</v>
      </c>
      <c r="B187" s="19">
        <f t="shared" si="15"/>
        <v>52270.279676590028</v>
      </c>
      <c r="C187" s="19">
        <f t="shared" si="16"/>
        <v>62704.348485319948</v>
      </c>
      <c r="D187" s="19">
        <f t="shared" si="17"/>
        <v>41836.210867860107</v>
      </c>
      <c r="E187" t="s">
        <v>43</v>
      </c>
    </row>
    <row r="188" spans="1:5" x14ac:dyDescent="0.3">
      <c r="A188">
        <v>2038</v>
      </c>
      <c r="B188" s="19">
        <f t="shared" si="15"/>
        <v>54813.432109518173</v>
      </c>
      <c r="C188" s="19">
        <f t="shared" si="16"/>
        <v>65693.955328434662</v>
      </c>
      <c r="D188" s="19">
        <f t="shared" si="17"/>
        <v>43932.908890601684</v>
      </c>
      <c r="E188" t="s">
        <v>43</v>
      </c>
    </row>
    <row r="189" spans="1:5" x14ac:dyDescent="0.3">
      <c r="A189">
        <v>2039</v>
      </c>
      <c r="B189" s="19">
        <f t="shared" si="15"/>
        <v>57462.19014543861</v>
      </c>
      <c r="C189" s="19">
        <f t="shared" si="16"/>
        <v>68789.167774541667</v>
      </c>
      <c r="D189" s="19">
        <f t="shared" si="17"/>
        <v>46135.212516335552</v>
      </c>
      <c r="E189" t="s">
        <v>43</v>
      </c>
    </row>
    <row r="190" spans="1:5" x14ac:dyDescent="0.3">
      <c r="A190">
        <v>2040</v>
      </c>
      <c r="B190" s="19">
        <f t="shared" si="15"/>
        <v>60220.768014355999</v>
      </c>
      <c r="C190" s="19">
        <f t="shared" si="16"/>
        <v>71994.200053645618</v>
      </c>
      <c r="D190" s="19">
        <f t="shared" si="17"/>
        <v>48447.33597506638</v>
      </c>
      <c r="E190" t="s">
        <v>43</v>
      </c>
    </row>
    <row r="191" spans="1:5" x14ac:dyDescent="0.3">
      <c r="A191">
        <v>2041</v>
      </c>
      <c r="B191" s="19">
        <f t="shared" si="15"/>
        <v>63093.534799243607</v>
      </c>
      <c r="C191" s="19">
        <f t="shared" si="16"/>
        <v>75253.093587665426</v>
      </c>
      <c r="D191" s="19">
        <f t="shared" si="17"/>
        <v>50933.976010821789</v>
      </c>
      <c r="E191" t="s">
        <v>43</v>
      </c>
    </row>
    <row r="192" spans="1:5" x14ac:dyDescent="0.3">
      <c r="A192">
        <v>2042</v>
      </c>
      <c r="B192" s="19">
        <f t="shared" si="15"/>
        <v>66085.019270837598</v>
      </c>
      <c r="C192" s="19">
        <f t="shared" si="16"/>
        <v>78630.704808391616</v>
      </c>
      <c r="D192" s="19">
        <f t="shared" si="17"/>
        <v>53539.33373328358</v>
      </c>
      <c r="E192" t="s">
        <v>43</v>
      </c>
    </row>
    <row r="193" spans="1:5" x14ac:dyDescent="0.3">
      <c r="A193">
        <v>2043</v>
      </c>
      <c r="B193" s="19">
        <f t="shared" si="15"/>
        <v>69199.914811593873</v>
      </c>
      <c r="C193" s="19">
        <f t="shared" si="16"/>
        <v>82131.727098280098</v>
      </c>
      <c r="D193" s="19">
        <f t="shared" si="17"/>
        <v>56268.102524907656</v>
      </c>
      <c r="E193" t="s">
        <v>43</v>
      </c>
    </row>
    <row r="194" spans="1:5" x14ac:dyDescent="0.3">
      <c r="A194">
        <v>2044</v>
      </c>
      <c r="B194" s="19">
        <f t="shared" si="15"/>
        <v>72443.084425040593</v>
      </c>
      <c r="C194" s="19">
        <f t="shared" si="16"/>
        <v>85761.023460859011</v>
      </c>
      <c r="D194" s="19">
        <f t="shared" si="17"/>
        <v>59125.145389222176</v>
      </c>
      <c r="E194" t="s">
        <v>43</v>
      </c>
    </row>
    <row r="195" spans="1:5" x14ac:dyDescent="0.3">
      <c r="A195">
        <v>2045</v>
      </c>
      <c r="B195" s="19">
        <f t="shared" si="15"/>
        <v>75819.56582618237</v>
      </c>
      <c r="C195" s="19">
        <f t="shared" si="16"/>
        <v>89523.63161113298</v>
      </c>
      <c r="D195" s="19">
        <f t="shared" si="17"/>
        <v>62115.50004123176</v>
      </c>
      <c r="E195" t="s">
        <v>43</v>
      </c>
    </row>
    <row r="196" spans="1:5" x14ac:dyDescent="0.3">
      <c r="A196">
        <v>2046</v>
      </c>
      <c r="B196" s="19">
        <f t="shared" si="15"/>
        <v>79334.576607787836</v>
      </c>
      <c r="C196" s="19">
        <f t="shared" si="16"/>
        <v>93328.199502782212</v>
      </c>
      <c r="D196" s="19">
        <f t="shared" si="17"/>
        <v>65340.953712793467</v>
      </c>
      <c r="E196" t="s">
        <v>43</v>
      </c>
    </row>
    <row r="197" spans="1:5" x14ac:dyDescent="0.3">
      <c r="A197">
        <v>2047</v>
      </c>
      <c r="B197" s="19">
        <f t="shared" si="15"/>
        <v>82993.519476861649</v>
      </c>
      <c r="C197" s="19">
        <f t="shared" si="16"/>
        <v>97276.699481899763</v>
      </c>
      <c r="D197" s="19">
        <f t="shared" si="17"/>
        <v>68710.339471823536</v>
      </c>
      <c r="E197" t="s">
        <v>43</v>
      </c>
    </row>
    <row r="198" spans="1:5" x14ac:dyDescent="0.3">
      <c r="A198">
        <v>2048</v>
      </c>
      <c r="B198" s="19">
        <f t="shared" si="15"/>
        <v>86801.987554525593</v>
      </c>
      <c r="C198" s="19">
        <f t="shared" si="16"/>
        <v>101374.72466960747</v>
      </c>
      <c r="D198" s="19">
        <f t="shared" si="17"/>
        <v>72229.250439443713</v>
      </c>
      <c r="E198" t="s">
        <v>43</v>
      </c>
    </row>
    <row r="199" spans="1:5" x14ac:dyDescent="0.3">
      <c r="A199">
        <v>2049</v>
      </c>
      <c r="B199" s="19">
        <f t="shared" si="15"/>
        <v>90765.769731791748</v>
      </c>
      <c r="C199" s="19">
        <f t="shared" si="16"/>
        <v>105628.06395691738</v>
      </c>
      <c r="D199" s="19">
        <f t="shared" si="17"/>
        <v>75903.475506666116</v>
      </c>
      <c r="E199" t="s">
        <v>43</v>
      </c>
    </row>
    <row r="200" spans="1:5" x14ac:dyDescent="0.3">
      <c r="A200">
        <v>2050</v>
      </c>
      <c r="B200" s="19">
        <f t="shared" si="15"/>
        <v>94890.856072791124</v>
      </c>
      <c r="C200" s="19">
        <f t="shared" si="16"/>
        <v>110042.70740796051</v>
      </c>
      <c r="D200" s="19">
        <f t="shared" si="17"/>
        <v>79739.004737621741</v>
      </c>
      <c r="E200" t="s">
        <v>43</v>
      </c>
    </row>
    <row r="201" spans="1:5" x14ac:dyDescent="0.3">
      <c r="A201">
        <v>2020</v>
      </c>
      <c r="B201" s="19">
        <f>Q3</f>
        <v>21935.487763876492</v>
      </c>
      <c r="C201" s="19">
        <f t="shared" ref="C201:D216" si="18">R3</f>
        <v>26231.231613765143</v>
      </c>
      <c r="D201" s="19">
        <f t="shared" si="18"/>
        <v>17639.743913987841</v>
      </c>
      <c r="E201" t="s">
        <v>89</v>
      </c>
    </row>
    <row r="202" spans="1:5" x14ac:dyDescent="0.3">
      <c r="A202">
        <v>2021</v>
      </c>
      <c r="B202" s="19">
        <f t="shared" ref="B202:B231" si="19">Q4</f>
        <v>26888.050361105816</v>
      </c>
      <c r="C202" s="19">
        <f t="shared" si="18"/>
        <v>31463.682899271</v>
      </c>
      <c r="D202" s="19">
        <f t="shared" si="18"/>
        <v>22312.417822940632</v>
      </c>
      <c r="E202" t="s">
        <v>89</v>
      </c>
    </row>
    <row r="203" spans="1:5" x14ac:dyDescent="0.3">
      <c r="A203">
        <v>2022</v>
      </c>
      <c r="B203" s="19">
        <f t="shared" si="19"/>
        <v>24221.282655651536</v>
      </c>
      <c r="C203" s="19">
        <f t="shared" si="18"/>
        <v>29076.803882093256</v>
      </c>
      <c r="D203" s="19">
        <f t="shared" si="18"/>
        <v>19365.761429209815</v>
      </c>
      <c r="E203" t="s">
        <v>89</v>
      </c>
    </row>
    <row r="204" spans="1:5" x14ac:dyDescent="0.3">
      <c r="A204">
        <v>2023</v>
      </c>
      <c r="B204" s="19">
        <f t="shared" si="19"/>
        <v>24925.870077232245</v>
      </c>
      <c r="C204" s="19">
        <f t="shared" si="18"/>
        <v>30061.279991950494</v>
      </c>
      <c r="D204" s="19">
        <f t="shared" si="18"/>
        <v>19790.460162513995</v>
      </c>
      <c r="E204" t="s">
        <v>89</v>
      </c>
    </row>
    <row r="205" spans="1:5" x14ac:dyDescent="0.3">
      <c r="A205">
        <v>2024</v>
      </c>
      <c r="B205" s="19">
        <f t="shared" si="19"/>
        <v>26066.659428598199</v>
      </c>
      <c r="C205" s="19">
        <f t="shared" si="18"/>
        <v>31481.958031592985</v>
      </c>
      <c r="D205" s="19">
        <f t="shared" si="18"/>
        <v>20651.360825603413</v>
      </c>
      <c r="E205" t="s">
        <v>89</v>
      </c>
    </row>
    <row r="206" spans="1:5" x14ac:dyDescent="0.3">
      <c r="A206">
        <v>2025</v>
      </c>
      <c r="B206" s="19">
        <f t="shared" si="19"/>
        <v>27255.005346669521</v>
      </c>
      <c r="C206" s="19">
        <f t="shared" si="18"/>
        <v>32950.19263794084</v>
      </c>
      <c r="D206" s="19">
        <f t="shared" si="18"/>
        <v>21559.818055398202</v>
      </c>
      <c r="E206" t="s">
        <v>89</v>
      </c>
    </row>
    <row r="207" spans="1:5" x14ac:dyDescent="0.3">
      <c r="A207">
        <v>2026</v>
      </c>
      <c r="B207" s="19">
        <f t="shared" si="19"/>
        <v>28492.833671472777</v>
      </c>
      <c r="C207" s="19">
        <f t="shared" si="18"/>
        <v>34558.659600349092</v>
      </c>
      <c r="D207" s="19">
        <f t="shared" si="18"/>
        <v>22427.007742596463</v>
      </c>
      <c r="E207" t="s">
        <v>89</v>
      </c>
    </row>
    <row r="208" spans="1:5" x14ac:dyDescent="0.3">
      <c r="A208">
        <v>2027</v>
      </c>
      <c r="B208" s="19">
        <f t="shared" si="19"/>
        <v>29782.0853617801</v>
      </c>
      <c r="C208" s="19">
        <f t="shared" si="18"/>
        <v>36218.549928261418</v>
      </c>
      <c r="D208" s="19">
        <f t="shared" si="18"/>
        <v>23345.620795298786</v>
      </c>
      <c r="E208" t="s">
        <v>89</v>
      </c>
    </row>
    <row r="209" spans="1:5" x14ac:dyDescent="0.3">
      <c r="A209">
        <v>2028</v>
      </c>
      <c r="B209" s="19">
        <f t="shared" si="19"/>
        <v>31124.714837579169</v>
      </c>
      <c r="C209" s="19">
        <f t="shared" si="18"/>
        <v>37931.81804166548</v>
      </c>
      <c r="D209" s="19">
        <f t="shared" si="18"/>
        <v>24317.611633492859</v>
      </c>
      <c r="E209" t="s">
        <v>89</v>
      </c>
    </row>
    <row r="210" spans="1:5" x14ac:dyDescent="0.3">
      <c r="A210">
        <v>2029</v>
      </c>
      <c r="B210" s="19">
        <f t="shared" si="19"/>
        <v>32522.687790071072</v>
      </c>
      <c r="C210" s="19">
        <f t="shared" si="18"/>
        <v>39700.429631762381</v>
      </c>
      <c r="D210" s="19">
        <f t="shared" si="18"/>
        <v>25344.945948379762</v>
      </c>
      <c r="E210" t="s">
        <v>89</v>
      </c>
    </row>
    <row r="211" spans="1:5" x14ac:dyDescent="0.3">
      <c r="A211">
        <v>2030</v>
      </c>
      <c r="B211" s="19">
        <f t="shared" si="19"/>
        <v>33977.978437162586</v>
      </c>
      <c r="C211" s="19">
        <f t="shared" si="18"/>
        <v>41526.358916458892</v>
      </c>
      <c r="D211" s="19">
        <f t="shared" si="18"/>
        <v>26429.597957866277</v>
      </c>
      <c r="E211" t="s">
        <v>89</v>
      </c>
    </row>
    <row r="212" spans="1:5" x14ac:dyDescent="0.3">
      <c r="A212">
        <v>2031</v>
      </c>
      <c r="B212" s="19">
        <f t="shared" si="19"/>
        <v>35297.094078706104</v>
      </c>
      <c r="C212" s="19">
        <f t="shared" si="18"/>
        <v>43244.030459814509</v>
      </c>
      <c r="D212" s="19">
        <f t="shared" si="18"/>
        <v>27350.1576975977</v>
      </c>
      <c r="E212" t="s">
        <v>89</v>
      </c>
    </row>
    <row r="213" spans="1:5" x14ac:dyDescent="0.3">
      <c r="A213">
        <v>2032</v>
      </c>
      <c r="B213" s="19">
        <f t="shared" si="19"/>
        <v>36650.664812861265</v>
      </c>
      <c r="C213" s="19">
        <f t="shared" si="18"/>
        <v>44996.15709578176</v>
      </c>
      <c r="D213" s="19">
        <f t="shared" si="18"/>
        <v>28305.172529940766</v>
      </c>
      <c r="E213" t="s">
        <v>89</v>
      </c>
    </row>
    <row r="214" spans="1:5" x14ac:dyDescent="0.3">
      <c r="A214">
        <v>2033</v>
      </c>
      <c r="B214" s="19">
        <f t="shared" si="19"/>
        <v>38038.029321670205</v>
      </c>
      <c r="C214" s="19">
        <f t="shared" si="18"/>
        <v>46782.077506402798</v>
      </c>
      <c r="D214" s="19">
        <f t="shared" si="18"/>
        <v>29293.981136937611</v>
      </c>
      <c r="E214" t="s">
        <v>89</v>
      </c>
    </row>
    <row r="215" spans="1:5" x14ac:dyDescent="0.3">
      <c r="A215">
        <v>2034</v>
      </c>
      <c r="B215" s="19">
        <f t="shared" si="19"/>
        <v>39458.299578754471</v>
      </c>
      <c r="C215" s="19">
        <f t="shared" si="18"/>
        <v>48600.903665299164</v>
      </c>
      <c r="D215" s="19">
        <f t="shared" si="18"/>
        <v>30315.695492209779</v>
      </c>
      <c r="E215" t="s">
        <v>89</v>
      </c>
    </row>
    <row r="216" spans="1:5" x14ac:dyDescent="0.3">
      <c r="A216">
        <v>2035</v>
      </c>
      <c r="B216" s="19">
        <f t="shared" si="19"/>
        <v>40910.339013234552</v>
      </c>
      <c r="C216" s="19">
        <f t="shared" si="18"/>
        <v>50451.499001591335</v>
      </c>
      <c r="D216" s="19">
        <f t="shared" si="18"/>
        <v>31369.179024877765</v>
      </c>
      <c r="E216" t="s">
        <v>89</v>
      </c>
    </row>
    <row r="217" spans="1:5" x14ac:dyDescent="0.3">
      <c r="A217">
        <v>2036</v>
      </c>
      <c r="B217" s="19">
        <f t="shared" si="19"/>
        <v>42392.738815427634</v>
      </c>
      <c r="C217" s="19">
        <f t="shared" ref="C217:C231" si="20">R19</f>
        <v>52380.353213970986</v>
      </c>
      <c r="D217" s="19">
        <f t="shared" ref="D217:D231" si="21">S19</f>
        <v>32405.124416884282</v>
      </c>
      <c r="E217" t="s">
        <v>89</v>
      </c>
    </row>
    <row r="218" spans="1:5" x14ac:dyDescent="0.3">
      <c r="A218">
        <v>2037</v>
      </c>
      <c r="B218" s="19">
        <f t="shared" si="19"/>
        <v>43903.792265116739</v>
      </c>
      <c r="C218" s="19">
        <f t="shared" si="20"/>
        <v>54337.86107384666</v>
      </c>
      <c r="D218" s="19">
        <f t="shared" si="21"/>
        <v>33469.723456386819</v>
      </c>
      <c r="E218" t="s">
        <v>89</v>
      </c>
    </row>
    <row r="219" spans="1:5" x14ac:dyDescent="0.3">
      <c r="A219">
        <v>2038</v>
      </c>
      <c r="B219" s="19">
        <f t="shared" si="19"/>
        <v>45441.466954433265</v>
      </c>
      <c r="C219" s="19">
        <f t="shared" si="20"/>
        <v>56321.990173349754</v>
      </c>
      <c r="D219" s="19">
        <f t="shared" si="21"/>
        <v>34560.943735516776</v>
      </c>
      <c r="E219" t="s">
        <v>89</v>
      </c>
    </row>
    <row r="220" spans="1:5" x14ac:dyDescent="0.3">
      <c r="A220">
        <v>2039</v>
      </c>
      <c r="B220" s="19">
        <f t="shared" si="19"/>
        <v>47003.374768682232</v>
      </c>
      <c r="C220" s="19">
        <f t="shared" si="20"/>
        <v>58330.352397785289</v>
      </c>
      <c r="D220" s="19">
        <f t="shared" si="21"/>
        <v>35676.397139579174</v>
      </c>
      <c r="E220" t="s">
        <v>89</v>
      </c>
    </row>
    <row r="221" spans="1:5" x14ac:dyDescent="0.3">
      <c r="A221">
        <v>2040</v>
      </c>
      <c r="B221" s="19">
        <f t="shared" si="19"/>
        <v>48586.739478907308</v>
      </c>
      <c r="C221" s="19">
        <f t="shared" si="20"/>
        <v>60360.171518196927</v>
      </c>
      <c r="D221" s="19">
        <f t="shared" si="21"/>
        <v>36813.307439617689</v>
      </c>
      <c r="E221" t="s">
        <v>89</v>
      </c>
    </row>
    <row r="222" spans="1:5" x14ac:dyDescent="0.3">
      <c r="A222">
        <v>2041</v>
      </c>
      <c r="B222" s="19">
        <f t="shared" si="19"/>
        <v>49670.336806661857</v>
      </c>
      <c r="C222" s="19">
        <f t="shared" si="20"/>
        <v>61829.895595083675</v>
      </c>
      <c r="D222" s="19">
        <f t="shared" si="21"/>
        <v>37510.778018240038</v>
      </c>
      <c r="E222" t="s">
        <v>89</v>
      </c>
    </row>
    <row r="223" spans="1:5" x14ac:dyDescent="0.3">
      <c r="A223">
        <v>2042</v>
      </c>
      <c r="B223" s="19">
        <f t="shared" si="19"/>
        <v>50699.499804580417</v>
      </c>
      <c r="C223" s="19">
        <f t="shared" si="20"/>
        <v>63245.185342134435</v>
      </c>
      <c r="D223" s="19">
        <f t="shared" si="21"/>
        <v>38153.814267026399</v>
      </c>
      <c r="E223" t="s">
        <v>89</v>
      </c>
    </row>
    <row r="224" spans="1:5" x14ac:dyDescent="0.3">
      <c r="A224">
        <v>2043</v>
      </c>
      <c r="B224" s="19">
        <f t="shared" si="19"/>
        <v>51663.498637993274</v>
      </c>
      <c r="C224" s="19">
        <f t="shared" si="20"/>
        <v>64595.310924679492</v>
      </c>
      <c r="D224" s="19">
        <f t="shared" si="21"/>
        <v>38731.686351307057</v>
      </c>
      <c r="E224" t="s">
        <v>89</v>
      </c>
    </row>
    <row r="225" spans="1:5" x14ac:dyDescent="0.3">
      <c r="A225">
        <v>2044</v>
      </c>
      <c r="B225" s="19">
        <f t="shared" si="19"/>
        <v>52550.532786373493</v>
      </c>
      <c r="C225" s="19">
        <f t="shared" si="20"/>
        <v>65868.471822191917</v>
      </c>
      <c r="D225" s="19">
        <f t="shared" si="21"/>
        <v>39232.593750555076</v>
      </c>
      <c r="E225" t="s">
        <v>89</v>
      </c>
    </row>
    <row r="226" spans="1:5" x14ac:dyDescent="0.3">
      <c r="A226">
        <v>2045</v>
      </c>
      <c r="B226" s="19">
        <f t="shared" si="19"/>
        <v>53347.646651120165</v>
      </c>
      <c r="C226" s="19">
        <f t="shared" si="20"/>
        <v>67051.712436070782</v>
      </c>
      <c r="D226" s="19">
        <f t="shared" si="21"/>
        <v>39643.580866169556</v>
      </c>
      <c r="E226" t="s">
        <v>89</v>
      </c>
    </row>
    <row r="227" spans="1:5" x14ac:dyDescent="0.3">
      <c r="A227">
        <v>2046</v>
      </c>
      <c r="B227" s="19">
        <f t="shared" si="19"/>
        <v>54040.639217219214</v>
      </c>
      <c r="C227" s="19">
        <f t="shared" si="20"/>
        <v>68034.26211221359</v>
      </c>
      <c r="D227" s="19">
        <f t="shared" si="21"/>
        <v>40047.016322224845</v>
      </c>
      <c r="E227" t="s">
        <v>89</v>
      </c>
    </row>
    <row r="228" spans="1:5" x14ac:dyDescent="0.3">
      <c r="A228">
        <v>2047</v>
      </c>
      <c r="B228" s="19">
        <f t="shared" si="19"/>
        <v>54613.967398504661</v>
      </c>
      <c r="C228" s="19">
        <f t="shared" si="20"/>
        <v>68897.147403542782</v>
      </c>
      <c r="D228" s="19">
        <f t="shared" si="21"/>
        <v>40330.78739346654</v>
      </c>
      <c r="E228" t="s">
        <v>89</v>
      </c>
    </row>
    <row r="229" spans="1:5" x14ac:dyDescent="0.3">
      <c r="A229">
        <v>2048</v>
      </c>
      <c r="B229" s="19">
        <f t="shared" si="19"/>
        <v>55050.642675101619</v>
      </c>
      <c r="C229" s="19">
        <f t="shared" si="20"/>
        <v>69623.379790183506</v>
      </c>
      <c r="D229" s="19">
        <f t="shared" si="21"/>
        <v>40477.905560019739</v>
      </c>
      <c r="E229" t="s">
        <v>89</v>
      </c>
    </row>
    <row r="230" spans="1:5" x14ac:dyDescent="0.3">
      <c r="A230">
        <v>2049</v>
      </c>
      <c r="B230" s="19">
        <f t="shared" si="19"/>
        <v>55332.120609903104</v>
      </c>
      <c r="C230" s="19">
        <f t="shared" si="20"/>
        <v>70194.414835028729</v>
      </c>
      <c r="D230" s="19">
        <f t="shared" si="21"/>
        <v>40469.826384777472</v>
      </c>
      <c r="E230" t="s">
        <v>89</v>
      </c>
    </row>
    <row r="231" spans="1:5" x14ac:dyDescent="0.3">
      <c r="A231">
        <v>2050</v>
      </c>
      <c r="B231" s="19">
        <f t="shared" si="19"/>
        <v>55438.182808208039</v>
      </c>
      <c r="C231" s="19">
        <f t="shared" si="20"/>
        <v>70590.034143377416</v>
      </c>
      <c r="D231" s="19">
        <f t="shared" si="21"/>
        <v>40286.331473038663</v>
      </c>
      <c r="E231" t="s">
        <v>89</v>
      </c>
    </row>
    <row r="232" spans="1:5" x14ac:dyDescent="0.3">
      <c r="A232">
        <v>2020</v>
      </c>
      <c r="B232" s="19">
        <f>T3</f>
        <v>21935.487763876492</v>
      </c>
      <c r="C232" s="19">
        <f t="shared" ref="C232:D247" si="22">U3</f>
        <v>26231.231613765143</v>
      </c>
      <c r="D232" s="19">
        <f t="shared" si="22"/>
        <v>17639.743913987841</v>
      </c>
      <c r="E232" t="s">
        <v>88</v>
      </c>
    </row>
    <row r="233" spans="1:5" x14ac:dyDescent="0.3">
      <c r="A233">
        <v>2021</v>
      </c>
      <c r="B233" s="19">
        <f t="shared" ref="B233:B262" si="23">T4</f>
        <v>26417.157564723089</v>
      </c>
      <c r="C233" s="19">
        <f t="shared" si="22"/>
        <v>30992.790102888277</v>
      </c>
      <c r="D233" s="19">
        <f t="shared" si="22"/>
        <v>21841.525026557902</v>
      </c>
      <c r="E233" t="s">
        <v>88</v>
      </c>
    </row>
    <row r="234" spans="1:5" x14ac:dyDescent="0.3">
      <c r="A234">
        <v>2022</v>
      </c>
      <c r="B234" s="19">
        <f t="shared" si="23"/>
        <v>23372.177042696458</v>
      </c>
      <c r="C234" s="19">
        <f t="shared" si="22"/>
        <v>28227.698269138178</v>
      </c>
      <c r="D234" s="19">
        <f t="shared" si="22"/>
        <v>18516.655816254737</v>
      </c>
      <c r="E234" t="s">
        <v>88</v>
      </c>
    </row>
    <row r="235" spans="1:5" x14ac:dyDescent="0.3">
      <c r="A235">
        <v>2023</v>
      </c>
      <c r="B235" s="19">
        <f t="shared" si="23"/>
        <v>23614.771322660868</v>
      </c>
      <c r="C235" s="19">
        <f t="shared" si="22"/>
        <v>28750.181237379118</v>
      </c>
      <c r="D235" s="19">
        <f t="shared" si="22"/>
        <v>18479.361407942619</v>
      </c>
      <c r="E235" t="s">
        <v>88</v>
      </c>
    </row>
    <row r="236" spans="1:5" x14ac:dyDescent="0.3">
      <c r="A236">
        <v>2024</v>
      </c>
      <c r="B236" s="19">
        <f t="shared" si="23"/>
        <v>24238.947099276393</v>
      </c>
      <c r="C236" s="19">
        <f t="shared" si="22"/>
        <v>29654.245702271179</v>
      </c>
      <c r="D236" s="19">
        <f t="shared" si="22"/>
        <v>18823.648496281607</v>
      </c>
      <c r="E236" t="s">
        <v>88</v>
      </c>
    </row>
    <row r="237" spans="1:5" x14ac:dyDescent="0.3">
      <c r="A237">
        <v>2025</v>
      </c>
      <c r="B237" s="19">
        <f t="shared" si="23"/>
        <v>24867.972213824476</v>
      </c>
      <c r="C237" s="19">
        <f t="shared" si="22"/>
        <v>30563.159505095795</v>
      </c>
      <c r="D237" s="19">
        <f t="shared" si="22"/>
        <v>19172.784922553157</v>
      </c>
      <c r="E237" t="s">
        <v>88</v>
      </c>
    </row>
    <row r="238" spans="1:5" x14ac:dyDescent="0.3">
      <c r="A238">
        <v>2026</v>
      </c>
      <c r="B238" s="19">
        <f t="shared" si="23"/>
        <v>25501.939153030777</v>
      </c>
      <c r="C238" s="19">
        <f t="shared" si="22"/>
        <v>31567.765081907091</v>
      </c>
      <c r="D238" s="19">
        <f t="shared" si="22"/>
        <v>19436.113224154462</v>
      </c>
      <c r="E238" t="s">
        <v>88</v>
      </c>
    </row>
    <row r="239" spans="1:5" x14ac:dyDescent="0.3">
      <c r="A239">
        <v>2027</v>
      </c>
      <c r="B239" s="19">
        <f t="shared" si="23"/>
        <v>26140.901288180561</v>
      </c>
      <c r="C239" s="19">
        <f t="shared" si="22"/>
        <v>32577.365854661875</v>
      </c>
      <c r="D239" s="19">
        <f t="shared" si="22"/>
        <v>19704.436721699247</v>
      </c>
      <c r="E239" t="s">
        <v>88</v>
      </c>
    </row>
    <row r="240" spans="1:5" x14ac:dyDescent="0.3">
      <c r="A240">
        <v>2028</v>
      </c>
      <c r="B240" s="19">
        <f t="shared" si="23"/>
        <v>26784.872429946237</v>
      </c>
      <c r="C240" s="19">
        <f t="shared" si="22"/>
        <v>33591.975634032548</v>
      </c>
      <c r="D240" s="19">
        <f t="shared" si="22"/>
        <v>19977.769225859927</v>
      </c>
      <c r="E240" t="s">
        <v>88</v>
      </c>
    </row>
    <row r="241" spans="1:5" x14ac:dyDescent="0.3">
      <c r="A241">
        <v>2029</v>
      </c>
      <c r="B241" s="19">
        <f t="shared" si="23"/>
        <v>27433.826134528099</v>
      </c>
      <c r="C241" s="19">
        <f t="shared" si="22"/>
        <v>34611.567976219405</v>
      </c>
      <c r="D241" s="19">
        <f t="shared" si="22"/>
        <v>20256.084292836789</v>
      </c>
      <c r="E241" t="s">
        <v>88</v>
      </c>
    </row>
    <row r="242" spans="1:5" x14ac:dyDescent="0.3">
      <c r="A242">
        <v>2030</v>
      </c>
      <c r="B242" s="19">
        <f t="shared" si="23"/>
        <v>28087.694772005394</v>
      </c>
      <c r="C242" s="19">
        <f t="shared" si="22"/>
        <v>35636.0752513017</v>
      </c>
      <c r="D242" s="19">
        <f t="shared" si="22"/>
        <v>20539.314292709085</v>
      </c>
      <c r="E242" t="s">
        <v>88</v>
      </c>
    </row>
    <row r="243" spans="1:5" x14ac:dyDescent="0.3">
      <c r="A243">
        <v>2031</v>
      </c>
      <c r="B243" s="19">
        <f t="shared" si="23"/>
        <v>28600.946874075515</v>
      </c>
      <c r="C243" s="19">
        <f t="shared" si="22"/>
        <v>36547.883255183915</v>
      </c>
      <c r="D243" s="19">
        <f t="shared" si="22"/>
        <v>20654.010492967111</v>
      </c>
      <c r="E243" t="s">
        <v>88</v>
      </c>
    </row>
    <row r="244" spans="1:5" x14ac:dyDescent="0.3">
      <c r="A244">
        <v>2032</v>
      </c>
      <c r="B244" s="19">
        <f t="shared" si="23"/>
        <v>29107.201076984689</v>
      </c>
      <c r="C244" s="19">
        <f t="shared" si="22"/>
        <v>37452.693359905184</v>
      </c>
      <c r="D244" s="19">
        <f t="shared" si="22"/>
        <v>20761.70879406419</v>
      </c>
      <c r="E244" t="s">
        <v>88</v>
      </c>
    </row>
    <row r="245" spans="1:5" x14ac:dyDescent="0.3">
      <c r="A245">
        <v>2033</v>
      </c>
      <c r="B245" s="19">
        <f t="shared" si="23"/>
        <v>29605.619063773309</v>
      </c>
      <c r="C245" s="19">
        <f t="shared" si="22"/>
        <v>38349.667248505903</v>
      </c>
      <c r="D245" s="19">
        <f t="shared" si="22"/>
        <v>20861.570879040715</v>
      </c>
      <c r="E245" t="s">
        <v>88</v>
      </c>
    </row>
    <row r="246" spans="1:5" x14ac:dyDescent="0.3">
      <c r="A246">
        <v>2034</v>
      </c>
      <c r="B246" s="19">
        <f t="shared" si="23"/>
        <v>30095.278839253067</v>
      </c>
      <c r="C246" s="19">
        <f t="shared" si="22"/>
        <v>39237.882925797763</v>
      </c>
      <c r="D246" s="19">
        <f t="shared" si="22"/>
        <v>20952.674752708375</v>
      </c>
      <c r="E246" t="s">
        <v>88</v>
      </c>
    </row>
    <row r="247" spans="1:5" x14ac:dyDescent="0.3">
      <c r="A247">
        <v>2035</v>
      </c>
      <c r="B247" s="19">
        <f t="shared" si="23"/>
        <v>30575.170994584478</v>
      </c>
      <c r="C247" s="19">
        <f t="shared" si="22"/>
        <v>40116.330982941261</v>
      </c>
      <c r="D247" s="19">
        <f t="shared" si="22"/>
        <v>21034.011006227691</v>
      </c>
      <c r="E247" t="s">
        <v>88</v>
      </c>
    </row>
    <row r="248" spans="1:5" x14ac:dyDescent="0.3">
      <c r="A248">
        <v>2036</v>
      </c>
      <c r="B248" s="19">
        <f t="shared" si="23"/>
        <v>31044.194662417944</v>
      </c>
      <c r="C248" s="19">
        <f t="shared" ref="C248:C262" si="24">U19</f>
        <v>41031.809060961299</v>
      </c>
      <c r="D248" s="19">
        <f t="shared" ref="D248:D262" si="25">V19</f>
        <v>21056.580263874588</v>
      </c>
      <c r="E248" t="s">
        <v>88</v>
      </c>
    </row>
    <row r="249" spans="1:5" x14ac:dyDescent="0.3">
      <c r="A249">
        <v>2037</v>
      </c>
      <c r="B249" s="19">
        <f t="shared" si="23"/>
        <v>31501.153158226</v>
      </c>
      <c r="C249" s="19">
        <f t="shared" si="24"/>
        <v>41935.22196695592</v>
      </c>
      <c r="D249" s="19">
        <f t="shared" si="25"/>
        <v>21067.084349496079</v>
      </c>
      <c r="E249" t="s">
        <v>88</v>
      </c>
    </row>
    <row r="250" spans="1:5" x14ac:dyDescent="0.3">
      <c r="A250">
        <v>2038</v>
      </c>
      <c r="B250" s="19">
        <f t="shared" si="23"/>
        <v>31944.749301976673</v>
      </c>
      <c r="C250" s="19">
        <f t="shared" si="24"/>
        <v>42825.272520893166</v>
      </c>
      <c r="D250" s="19">
        <f t="shared" si="25"/>
        <v>21064.226083060181</v>
      </c>
      <c r="E250" t="s">
        <v>88</v>
      </c>
    </row>
    <row r="251" spans="1:5" x14ac:dyDescent="0.3">
      <c r="A251">
        <v>2039</v>
      </c>
      <c r="B251" s="19">
        <f t="shared" si="23"/>
        <v>32373.580413197629</v>
      </c>
      <c r="C251" s="19">
        <f t="shared" si="24"/>
        <v>43700.55804230069</v>
      </c>
      <c r="D251" s="19">
        <f t="shared" si="25"/>
        <v>21046.602784094568</v>
      </c>
      <c r="E251" t="s">
        <v>88</v>
      </c>
    </row>
    <row r="252" spans="1:5" x14ac:dyDescent="0.3">
      <c r="A252">
        <v>2040</v>
      </c>
      <c r="B252" s="19">
        <f t="shared" si="23"/>
        <v>32786.132971129475</v>
      </c>
      <c r="C252" s="19">
        <f t="shared" si="24"/>
        <v>44559.565010419094</v>
      </c>
      <c r="D252" s="19">
        <f t="shared" si="25"/>
        <v>21012.700931839856</v>
      </c>
      <c r="E252" t="s">
        <v>88</v>
      </c>
    </row>
    <row r="253" spans="1:5" x14ac:dyDescent="0.3">
      <c r="A253">
        <v>2041</v>
      </c>
      <c r="B253" s="19">
        <f t="shared" si="23"/>
        <v>32885.685271466573</v>
      </c>
      <c r="C253" s="19">
        <f t="shared" si="24"/>
        <v>45045.244059888391</v>
      </c>
      <c r="D253" s="19">
        <f t="shared" si="25"/>
        <v>20726.126483044754</v>
      </c>
      <c r="E253" t="s">
        <v>88</v>
      </c>
    </row>
    <row r="254" spans="1:5" x14ac:dyDescent="0.3">
      <c r="A254">
        <v>2042</v>
      </c>
      <c r="B254" s="19">
        <f t="shared" si="23"/>
        <v>32942.427209236303</v>
      </c>
      <c r="C254" s="19">
        <f t="shared" si="24"/>
        <v>45488.112746790321</v>
      </c>
      <c r="D254" s="19">
        <f t="shared" si="25"/>
        <v>20396.741671682285</v>
      </c>
      <c r="E254" t="s">
        <v>88</v>
      </c>
    </row>
    <row r="255" spans="1:5" x14ac:dyDescent="0.3">
      <c r="A255">
        <v>2043</v>
      </c>
      <c r="B255" s="19">
        <f t="shared" si="23"/>
        <v>32953.149083792319</v>
      </c>
      <c r="C255" s="19">
        <f t="shared" si="24"/>
        <v>45884.961370478537</v>
      </c>
      <c r="D255" s="19">
        <f t="shared" si="25"/>
        <v>20021.336797106102</v>
      </c>
      <c r="E255" t="s">
        <v>88</v>
      </c>
    </row>
    <row r="256" spans="1:5" x14ac:dyDescent="0.3">
      <c r="A256">
        <v>2044</v>
      </c>
      <c r="B256" s="19">
        <f t="shared" si="23"/>
        <v>32914.432258702887</v>
      </c>
      <c r="C256" s="19">
        <f t="shared" si="24"/>
        <v>46232.371294521305</v>
      </c>
      <c r="D256" s="19">
        <f t="shared" si="25"/>
        <v>19596.49322288447</v>
      </c>
      <c r="E256" t="s">
        <v>88</v>
      </c>
    </row>
    <row r="257" spans="1:5" x14ac:dyDescent="0.3">
      <c r="A257">
        <v>2045</v>
      </c>
      <c r="B257" s="19">
        <f t="shared" si="23"/>
        <v>32822.63841680812</v>
      </c>
      <c r="C257" s="19">
        <f t="shared" si="24"/>
        <v>46526.70420175873</v>
      </c>
      <c r="D257" s="19">
        <f t="shared" si="25"/>
        <v>19118.572631857511</v>
      </c>
      <c r="E257" t="s">
        <v>88</v>
      </c>
    </row>
    <row r="258" spans="1:5" x14ac:dyDescent="0.3">
      <c r="A258">
        <v>2046</v>
      </c>
      <c r="B258" s="19">
        <f t="shared" si="23"/>
        <v>32673.898236266112</v>
      </c>
      <c r="C258" s="19">
        <f t="shared" si="24"/>
        <v>46667.521131260481</v>
      </c>
      <c r="D258" s="19">
        <f t="shared" si="25"/>
        <v>18680.275341271743</v>
      </c>
      <c r="E258" t="s">
        <v>88</v>
      </c>
    </row>
    <row r="259" spans="1:5" x14ac:dyDescent="0.3">
      <c r="A259">
        <v>2047</v>
      </c>
      <c r="B259" s="19">
        <f t="shared" si="23"/>
        <v>32464.099466343687</v>
      </c>
      <c r="C259" s="19">
        <f t="shared" si="24"/>
        <v>46747.279471381808</v>
      </c>
      <c r="D259" s="19">
        <f t="shared" si="25"/>
        <v>18180.919461305566</v>
      </c>
      <c r="E259" t="s">
        <v>88</v>
      </c>
    </row>
    <row r="260" spans="1:5" x14ac:dyDescent="0.3">
      <c r="A260">
        <v>2048</v>
      </c>
      <c r="B260" s="19">
        <f t="shared" si="23"/>
        <v>32188.874380556972</v>
      </c>
      <c r="C260" s="19">
        <f t="shared" si="24"/>
        <v>46761.611495638848</v>
      </c>
      <c r="D260" s="19">
        <f t="shared" si="25"/>
        <v>17616.137265475092</v>
      </c>
      <c r="E260" t="s">
        <v>88</v>
      </c>
    </row>
    <row r="261" spans="1:5" x14ac:dyDescent="0.3">
      <c r="A261">
        <v>2049</v>
      </c>
      <c r="B261" s="19">
        <f t="shared" si="23"/>
        <v>31843.586583843186</v>
      </c>
      <c r="C261" s="19">
        <f t="shared" si="24"/>
        <v>46705.880808968817</v>
      </c>
      <c r="D261" s="19">
        <f t="shared" si="25"/>
        <v>16981.292358717554</v>
      </c>
      <c r="E261" t="s">
        <v>88</v>
      </c>
    </row>
    <row r="262" spans="1:5" x14ac:dyDescent="0.3">
      <c r="A262">
        <v>2050</v>
      </c>
      <c r="B262" s="19">
        <f t="shared" si="23"/>
        <v>31423.317149498209</v>
      </c>
      <c r="C262" s="19">
        <f t="shared" si="24"/>
        <v>46575.168484667593</v>
      </c>
      <c r="D262" s="19">
        <f t="shared" si="25"/>
        <v>16271.465814328829</v>
      </c>
      <c r="E262" t="s">
        <v>88</v>
      </c>
    </row>
  </sheetData>
  <mergeCells count="7">
    <mergeCell ref="T1:V1"/>
    <mergeCell ref="B1:D1"/>
    <mergeCell ref="E1:G1"/>
    <mergeCell ref="H1:J1"/>
    <mergeCell ref="N1:P1"/>
    <mergeCell ref="Q1:S1"/>
    <mergeCell ref="K1:M1"/>
  </mergeCells>
  <phoneticPr fontId="1" type="noConversion"/>
  <conditionalFormatting sqref="B3:V33 B46:D262">
    <cfRule type="cellIs" dxfId="1" priority="3" operator="lessThan">
      <formula>0</formula>
    </cfRule>
    <cfRule type="cellIs" dxfId="0" priority="5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BD62E-6AB1-4B84-B0FC-87788F7925C0}">
  <dimension ref="A1:H39"/>
  <sheetViews>
    <sheetView zoomScale="115" zoomScaleNormal="115" workbookViewId="0">
      <selection activeCell="F36" sqref="F36"/>
    </sheetView>
  </sheetViews>
  <sheetFormatPr defaultColWidth="8.83203125" defaultRowHeight="14" x14ac:dyDescent="0.3"/>
  <cols>
    <col min="1" max="1" width="21.83203125" bestFit="1" customWidth="1"/>
    <col min="2" max="5" width="13.33203125" bestFit="1" customWidth="1"/>
    <col min="6" max="8" width="11.1640625" bestFit="1" customWidth="1"/>
  </cols>
  <sheetData>
    <row r="1" spans="1:8" x14ac:dyDescent="0.3">
      <c r="B1">
        <v>2020</v>
      </c>
      <c r="C1">
        <v>2025</v>
      </c>
      <c r="D1">
        <v>2030</v>
      </c>
      <c r="E1">
        <v>2035</v>
      </c>
      <c r="F1">
        <v>2040</v>
      </c>
      <c r="G1">
        <v>2045</v>
      </c>
      <c r="H1">
        <v>2050</v>
      </c>
    </row>
    <row r="2" spans="1:8" x14ac:dyDescent="0.3">
      <c r="A2" s="3" t="s">
        <v>37</v>
      </c>
      <c r="B2" s="17">
        <f>Best!G54*Production!$B$3/1000</f>
        <v>13604.764376733287</v>
      </c>
      <c r="C2" s="17">
        <f>Best!H54*Production!$B$8/1000</f>
        <v>17888.424740201077</v>
      </c>
      <c r="D2" s="17">
        <f>Best!I54*Production!$B$13/1000</f>
        <v>23508.577009172644</v>
      </c>
      <c r="E2" s="17">
        <f>Best!J54*Production!$B$18/1000</f>
        <v>29356.425647147651</v>
      </c>
      <c r="F2" s="17">
        <f>Best!K54*Production!$B$23/1000</f>
        <v>36008.613750716962</v>
      </c>
      <c r="G2" s="17">
        <f>Best!L54*Production!$B$28/1000</f>
        <v>39873.050363216564</v>
      </c>
      <c r="H2" s="17">
        <f>Best!M54*Production!$B$33/1000</f>
        <v>41296.197311291355</v>
      </c>
    </row>
    <row r="3" spans="1:8" x14ac:dyDescent="0.3">
      <c r="A3" s="3" t="s">
        <v>60</v>
      </c>
      <c r="B3" s="17">
        <f>Best!G55*Production!$B$3/1000</f>
        <v>2401.7539919665119</v>
      </c>
      <c r="C3" s="17">
        <f>Best!H55*Production!$B$8/1000</f>
        <v>2751.3365152976407</v>
      </c>
      <c r="D3" s="17">
        <f>Best!I55*Production!$B$13/1000</f>
        <v>3173.7964824467108</v>
      </c>
      <c r="E3" s="17">
        <f>Best!J55*Production!$B$18/1000</f>
        <v>3666.0567346342077</v>
      </c>
      <c r="F3" s="17">
        <f>Best!K55*Production!$B$23/1000</f>
        <v>4244.9678721676319</v>
      </c>
      <c r="G3" s="17">
        <f>Best!L55*Production!$B$28/1000</f>
        <v>4930.071560093671</v>
      </c>
      <c r="H3" s="17">
        <f>Best!M55*Production!$B$33/1000</f>
        <v>5744.4803382720584</v>
      </c>
    </row>
    <row r="4" spans="1:8" x14ac:dyDescent="0.3">
      <c r="A4" s="3" t="s">
        <v>38</v>
      </c>
      <c r="B4" s="17">
        <f>Best!G56*Production!$B$3/1000</f>
        <v>827.67296378386891</v>
      </c>
      <c r="C4" s="17">
        <f>Best!H56*Production!$B$8/1000</f>
        <v>1027.1498505854581</v>
      </c>
      <c r="D4" s="17">
        <f>Best!I56*Production!$B$13/1000</f>
        <v>1276.002702511671</v>
      </c>
      <c r="E4" s="17">
        <f>Best!J56*Production!$B$18/1000</f>
        <v>1579.1837482588464</v>
      </c>
      <c r="F4" s="17">
        <f>Best!K56*Production!$B$23/1000</f>
        <v>1950.4479119479456</v>
      </c>
      <c r="G4" s="17">
        <f>Best!L56*Production!$B$28/1000</f>
        <v>2406.7991643151249</v>
      </c>
      <c r="H4" s="17">
        <f>Best!M56*Production!$B$33/1000</f>
        <v>2969.3316068447352</v>
      </c>
    </row>
    <row r="5" spans="1:8" x14ac:dyDescent="0.3">
      <c r="A5" s="3" t="s">
        <v>49</v>
      </c>
      <c r="B5" s="17">
        <f>Best!G57*Production!$B$3/1000</f>
        <v>5101.2964313928242</v>
      </c>
      <c r="C5" s="17">
        <f>Best!H57*Production!$B$8/1000</f>
        <v>5588.0942405853475</v>
      </c>
      <c r="D5" s="17">
        <f>Best!I57*Production!$B$13/1000</f>
        <v>6019.602243031557</v>
      </c>
      <c r="E5" s="17">
        <f>Best!J57*Production!$B$18/1000</f>
        <v>6308.672883193849</v>
      </c>
      <c r="F5" s="17">
        <f>Best!K57*Production!$B$23/1000</f>
        <v>6382.7099440747743</v>
      </c>
      <c r="G5" s="17">
        <f>Best!L57*Production!$B$28/1000</f>
        <v>6137.7255634947951</v>
      </c>
      <c r="H5" s="17">
        <f>Best!M57*Production!$B$33/1000</f>
        <v>5428.1735517998923</v>
      </c>
    </row>
    <row r="10" spans="1:8" x14ac:dyDescent="0.3">
      <c r="B10" t="s">
        <v>116</v>
      </c>
    </row>
    <row r="11" spans="1:8" x14ac:dyDescent="0.3">
      <c r="A11" t="s">
        <v>92</v>
      </c>
      <c r="B11" t="s">
        <v>115</v>
      </c>
      <c r="C11" t="s">
        <v>90</v>
      </c>
    </row>
    <row r="12" spans="1:8" x14ac:dyDescent="0.3">
      <c r="A12" s="3" t="s">
        <v>37</v>
      </c>
      <c r="B12" s="17">
        <f>B2</f>
        <v>13604.764376733287</v>
      </c>
      <c r="C12">
        <v>2020</v>
      </c>
    </row>
    <row r="13" spans="1:8" x14ac:dyDescent="0.3">
      <c r="A13" s="3" t="s">
        <v>93</v>
      </c>
      <c r="B13" s="17">
        <f t="shared" ref="B13:B15" si="0">B3</f>
        <v>2401.7539919665119</v>
      </c>
      <c r="C13">
        <v>2020</v>
      </c>
    </row>
    <row r="14" spans="1:8" x14ac:dyDescent="0.3">
      <c r="A14" s="3" t="s">
        <v>38</v>
      </c>
      <c r="B14" s="17">
        <f t="shared" si="0"/>
        <v>827.67296378386891</v>
      </c>
      <c r="C14">
        <v>2020</v>
      </c>
    </row>
    <row r="15" spans="1:8" x14ac:dyDescent="0.3">
      <c r="A15" s="3" t="s">
        <v>49</v>
      </c>
      <c r="B15" s="17">
        <f t="shared" si="0"/>
        <v>5101.2964313928242</v>
      </c>
      <c r="C15">
        <v>2020</v>
      </c>
    </row>
    <row r="16" spans="1:8" x14ac:dyDescent="0.3">
      <c r="A16" s="3" t="s">
        <v>37</v>
      </c>
      <c r="B16" s="17">
        <f>C2</f>
        <v>17888.424740201077</v>
      </c>
      <c r="C16">
        <v>2025</v>
      </c>
    </row>
    <row r="17" spans="1:3" x14ac:dyDescent="0.3">
      <c r="A17" s="3" t="s">
        <v>93</v>
      </c>
      <c r="B17" s="17">
        <f t="shared" ref="B17:B19" si="1">C3</f>
        <v>2751.3365152976407</v>
      </c>
      <c r="C17">
        <v>2025</v>
      </c>
    </row>
    <row r="18" spans="1:3" x14ac:dyDescent="0.3">
      <c r="A18" s="3" t="s">
        <v>38</v>
      </c>
      <c r="B18" s="17">
        <f t="shared" si="1"/>
        <v>1027.1498505854581</v>
      </c>
      <c r="C18">
        <v>2025</v>
      </c>
    </row>
    <row r="19" spans="1:3" x14ac:dyDescent="0.3">
      <c r="A19" s="3" t="s">
        <v>49</v>
      </c>
      <c r="B19" s="17">
        <f t="shared" si="1"/>
        <v>5588.0942405853475</v>
      </c>
      <c r="C19">
        <v>2025</v>
      </c>
    </row>
    <row r="20" spans="1:3" x14ac:dyDescent="0.3">
      <c r="A20" s="3" t="s">
        <v>37</v>
      </c>
      <c r="B20" s="17">
        <f>D2</f>
        <v>23508.577009172644</v>
      </c>
      <c r="C20">
        <v>2030</v>
      </c>
    </row>
    <row r="21" spans="1:3" x14ac:dyDescent="0.3">
      <c r="A21" s="3" t="s">
        <v>93</v>
      </c>
      <c r="B21" s="17">
        <f t="shared" ref="B21:B23" si="2">D3</f>
        <v>3173.7964824467108</v>
      </c>
      <c r="C21">
        <v>2030</v>
      </c>
    </row>
    <row r="22" spans="1:3" x14ac:dyDescent="0.3">
      <c r="A22" s="3" t="s">
        <v>38</v>
      </c>
      <c r="B22" s="17">
        <f t="shared" si="2"/>
        <v>1276.002702511671</v>
      </c>
      <c r="C22">
        <v>2030</v>
      </c>
    </row>
    <row r="23" spans="1:3" x14ac:dyDescent="0.3">
      <c r="A23" s="3" t="s">
        <v>49</v>
      </c>
      <c r="B23" s="17">
        <f t="shared" si="2"/>
        <v>6019.602243031557</v>
      </c>
      <c r="C23">
        <v>2030</v>
      </c>
    </row>
    <row r="24" spans="1:3" x14ac:dyDescent="0.3">
      <c r="A24" s="3" t="s">
        <v>37</v>
      </c>
      <c r="B24" s="17">
        <f>E2</f>
        <v>29356.425647147651</v>
      </c>
      <c r="C24">
        <v>2035</v>
      </c>
    </row>
    <row r="25" spans="1:3" x14ac:dyDescent="0.3">
      <c r="A25" s="3" t="s">
        <v>93</v>
      </c>
      <c r="B25" s="17">
        <f t="shared" ref="B25:B27" si="3">E3</f>
        <v>3666.0567346342077</v>
      </c>
      <c r="C25">
        <v>2035</v>
      </c>
    </row>
    <row r="26" spans="1:3" x14ac:dyDescent="0.3">
      <c r="A26" s="3" t="s">
        <v>38</v>
      </c>
      <c r="B26" s="17">
        <f t="shared" si="3"/>
        <v>1579.1837482588464</v>
      </c>
      <c r="C26">
        <v>2035</v>
      </c>
    </row>
    <row r="27" spans="1:3" x14ac:dyDescent="0.3">
      <c r="A27" s="3" t="s">
        <v>49</v>
      </c>
      <c r="B27" s="17">
        <f t="shared" si="3"/>
        <v>6308.672883193849</v>
      </c>
      <c r="C27">
        <v>2035</v>
      </c>
    </row>
    <row r="28" spans="1:3" x14ac:dyDescent="0.3">
      <c r="A28" s="3" t="s">
        <v>37</v>
      </c>
      <c r="B28" s="17">
        <f>F2</f>
        <v>36008.613750716962</v>
      </c>
      <c r="C28">
        <v>2040</v>
      </c>
    </row>
    <row r="29" spans="1:3" x14ac:dyDescent="0.3">
      <c r="A29" s="3" t="s">
        <v>93</v>
      </c>
      <c r="B29" s="17">
        <f t="shared" ref="B29:B31" si="4">F3</f>
        <v>4244.9678721676319</v>
      </c>
      <c r="C29">
        <v>2040</v>
      </c>
    </row>
    <row r="30" spans="1:3" x14ac:dyDescent="0.3">
      <c r="A30" s="3" t="s">
        <v>38</v>
      </c>
      <c r="B30" s="17">
        <f t="shared" si="4"/>
        <v>1950.4479119479456</v>
      </c>
      <c r="C30">
        <v>2040</v>
      </c>
    </row>
    <row r="31" spans="1:3" x14ac:dyDescent="0.3">
      <c r="A31" s="3" t="s">
        <v>49</v>
      </c>
      <c r="B31" s="17">
        <f t="shared" si="4"/>
        <v>6382.7099440747743</v>
      </c>
      <c r="C31">
        <v>2040</v>
      </c>
    </row>
    <row r="32" spans="1:3" x14ac:dyDescent="0.3">
      <c r="A32" s="3" t="s">
        <v>37</v>
      </c>
      <c r="B32" s="17">
        <f>G2</f>
        <v>39873.050363216564</v>
      </c>
      <c r="C32">
        <v>2045</v>
      </c>
    </row>
    <row r="33" spans="1:3" x14ac:dyDescent="0.3">
      <c r="A33" s="3" t="s">
        <v>93</v>
      </c>
      <c r="B33" s="17">
        <f t="shared" ref="B33:B35" si="5">G3</f>
        <v>4930.071560093671</v>
      </c>
      <c r="C33">
        <v>2045</v>
      </c>
    </row>
    <row r="34" spans="1:3" x14ac:dyDescent="0.3">
      <c r="A34" s="3" t="s">
        <v>38</v>
      </c>
      <c r="B34" s="17">
        <f t="shared" si="5"/>
        <v>2406.7991643151249</v>
      </c>
      <c r="C34">
        <v>2045</v>
      </c>
    </row>
    <row r="35" spans="1:3" x14ac:dyDescent="0.3">
      <c r="A35" s="3" t="s">
        <v>49</v>
      </c>
      <c r="B35" s="17">
        <f t="shared" si="5"/>
        <v>6137.7255634947951</v>
      </c>
      <c r="C35">
        <v>2045</v>
      </c>
    </row>
    <row r="36" spans="1:3" x14ac:dyDescent="0.3">
      <c r="A36" s="3" t="s">
        <v>37</v>
      </c>
      <c r="B36" s="17">
        <f>H2</f>
        <v>41296.197311291355</v>
      </c>
      <c r="C36">
        <v>2050</v>
      </c>
    </row>
    <row r="37" spans="1:3" x14ac:dyDescent="0.3">
      <c r="A37" s="3" t="s">
        <v>93</v>
      </c>
      <c r="B37" s="17">
        <f t="shared" ref="B37:B39" si="6">H3</f>
        <v>5744.4803382720584</v>
      </c>
      <c r="C37">
        <v>2050</v>
      </c>
    </row>
    <row r="38" spans="1:3" x14ac:dyDescent="0.3">
      <c r="A38" s="3" t="s">
        <v>38</v>
      </c>
      <c r="B38" s="17">
        <f t="shared" si="6"/>
        <v>2969.3316068447352</v>
      </c>
      <c r="C38">
        <v>2050</v>
      </c>
    </row>
    <row r="39" spans="1:3" x14ac:dyDescent="0.3">
      <c r="A39" s="3" t="s">
        <v>49</v>
      </c>
      <c r="B39" s="17">
        <f t="shared" si="6"/>
        <v>5428.1735517998923</v>
      </c>
      <c r="C39">
        <v>2050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Case</vt:lpstr>
      <vt:lpstr>Temperature</vt:lpstr>
      <vt:lpstr>Baseline</vt:lpstr>
      <vt:lpstr>Elec str</vt:lpstr>
      <vt:lpstr>Speed</vt:lpstr>
      <vt:lpstr>Infrastructure</vt:lpstr>
      <vt:lpstr>Feed</vt:lpstr>
      <vt:lpstr>Best</vt:lpstr>
      <vt:lpstr>单位碳足迹</vt:lpstr>
      <vt:lpstr>Production</vt:lpstr>
      <vt:lpstr>Error</vt:lpstr>
      <vt:lpstr>产业碳足迹</vt:lpstr>
      <vt:lpstr>Fig 4c1</vt:lpstr>
      <vt:lpstr>Fig 4c2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Ting Jiang</cp:lastModifiedBy>
  <dcterms:created xsi:type="dcterms:W3CDTF">2015-06-05T18:19:34Z</dcterms:created>
  <dcterms:modified xsi:type="dcterms:W3CDTF">2025-10-17T06:40:09Z</dcterms:modified>
</cp:coreProperties>
</file>