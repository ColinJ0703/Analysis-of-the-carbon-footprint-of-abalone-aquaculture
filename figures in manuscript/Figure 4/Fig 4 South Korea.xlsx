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鲍鱼小论文\Github\figures in manuscript\Figure 4\"/>
    </mc:Choice>
  </mc:AlternateContent>
  <xr:revisionPtr revIDLastSave="0" documentId="13_ncr:1_{F06DBB8D-CEB3-4057-9AB7-44739FA4F22D}" xr6:coauthVersionLast="47" xr6:coauthVersionMax="47" xr10:uidLastSave="{00000000-0000-0000-0000-000000000000}"/>
  <bookViews>
    <workbookView xWindow="2280" yWindow="2280" windowWidth="6400" windowHeight="3550" tabRatio="889" activeTab="10" xr2:uid="{00000000-000D-0000-FFFF-FFFF00000000}"/>
  </bookViews>
  <sheets>
    <sheet name="Case" sheetId="5" r:id="rId1"/>
    <sheet name="Temperature" sheetId="7" r:id="rId2"/>
    <sheet name="Baseline" sheetId="6" r:id="rId3"/>
    <sheet name="Elec str" sheetId="4" r:id="rId4"/>
    <sheet name="Speed" sheetId="11" r:id="rId5"/>
    <sheet name="Infrastructure" sheetId="12" r:id="rId6"/>
    <sheet name="Best" sheetId="13" r:id="rId7"/>
    <sheet name="Unit carbon footprint" sheetId="1" r:id="rId8"/>
    <sheet name="Production" sheetId="2" r:id="rId9"/>
    <sheet name="Error" sheetId="17" r:id="rId10"/>
    <sheet name="Industrial carbon footprint" sheetId="3" r:id="rId11"/>
    <sheet name="Fig 4b1" sheetId="15" r:id="rId12"/>
    <sheet name="Fig 4b2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3" l="1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M3" i="3"/>
  <c r="L3" i="3"/>
  <c r="I4" i="3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J3" i="3"/>
  <c r="I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D3" i="3"/>
  <c r="C3" i="3"/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L31" i="13" l="1"/>
  <c r="M28" i="13" s="1"/>
  <c r="K29" i="13"/>
  <c r="C71" i="13"/>
  <c r="C41" i="13"/>
  <c r="M24" i="13" l="1"/>
  <c r="M27" i="13"/>
  <c r="L29" i="13"/>
  <c r="L24" i="13" l="1"/>
  <c r="L25" i="13"/>
  <c r="L26" i="13"/>
  <c r="L27" i="13"/>
  <c r="L28" i="13"/>
  <c r="K25" i="13"/>
  <c r="K26" i="13"/>
  <c r="K27" i="13"/>
  <c r="K28" i="13"/>
  <c r="K24" i="13"/>
  <c r="B13" i="5" l="1"/>
  <c r="H33" i="4"/>
  <c r="B11" i="5"/>
  <c r="C11" i="5" s="1"/>
  <c r="H3" i="4"/>
  <c r="J4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K4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L4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M4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N4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I4" i="4"/>
  <c r="B4" i="4" s="1"/>
  <c r="B15" i="13" l="1"/>
  <c r="B35" i="13"/>
  <c r="B71" i="13" s="1"/>
  <c r="M45" i="13" s="1"/>
  <c r="B22" i="13"/>
  <c r="B25" i="13"/>
  <c r="B27" i="13"/>
  <c r="B10" i="13"/>
  <c r="B12" i="13"/>
  <c r="B16" i="13"/>
  <c r="B5" i="13"/>
  <c r="B41" i="13" s="1"/>
  <c r="G45" i="13" s="1"/>
  <c r="G54" i="13" s="1"/>
  <c r="B2" i="16" s="1"/>
  <c r="B12" i="16" s="1"/>
  <c r="B7" i="13"/>
  <c r="B29" i="13"/>
  <c r="B31" i="13"/>
  <c r="B32" i="13"/>
  <c r="B33" i="13"/>
  <c r="B34" i="13"/>
  <c r="B17" i="13"/>
  <c r="B24" i="13"/>
  <c r="B6" i="13"/>
  <c r="B28" i="13"/>
  <c r="B13" i="13"/>
  <c r="B18" i="13"/>
  <c r="B21" i="13"/>
  <c r="B8" i="13"/>
  <c r="B11" i="13"/>
  <c r="B19" i="13"/>
  <c r="B20" i="13"/>
  <c r="B23" i="13"/>
  <c r="B26" i="13"/>
  <c r="B9" i="13"/>
  <c r="B30" i="13"/>
  <c r="B14" i="13"/>
  <c r="C6" i="13"/>
  <c r="C26" i="13"/>
  <c r="C32" i="13"/>
  <c r="C15" i="13"/>
  <c r="C20" i="13"/>
  <c r="C25" i="13"/>
  <c r="C7" i="13"/>
  <c r="C27" i="13"/>
  <c r="C30" i="13"/>
  <c r="C13" i="13"/>
  <c r="C34" i="13"/>
  <c r="C5" i="13"/>
  <c r="C8" i="13"/>
  <c r="C28" i="13"/>
  <c r="C21" i="13"/>
  <c r="C9" i="13"/>
  <c r="C29" i="13"/>
  <c r="C10" i="13"/>
  <c r="C14" i="13"/>
  <c r="C35" i="13"/>
  <c r="C17" i="13"/>
  <c r="C18" i="13"/>
  <c r="C24" i="13"/>
  <c r="C11" i="13"/>
  <c r="C31" i="13"/>
  <c r="C12" i="13"/>
  <c r="C33" i="13"/>
  <c r="C16" i="13"/>
  <c r="C19" i="13"/>
  <c r="C23" i="13"/>
  <c r="C22" i="13"/>
  <c r="H4" i="4"/>
  <c r="B5" i="4"/>
  <c r="M54" i="13" l="1"/>
  <c r="H2" i="16" s="1"/>
  <c r="B36" i="16" s="1"/>
  <c r="B6" i="4"/>
  <c r="H5" i="4"/>
  <c r="B7" i="4" l="1"/>
  <c r="H6" i="4"/>
  <c r="B8" i="4" l="1"/>
  <c r="H7" i="4"/>
  <c r="B9" i="4" l="1"/>
  <c r="H8" i="4"/>
  <c r="B10" i="4" l="1"/>
  <c r="H9" i="4"/>
  <c r="B11" i="4" l="1"/>
  <c r="H10" i="4"/>
  <c r="B12" i="4" l="1"/>
  <c r="H11" i="4"/>
  <c r="B13" i="4" l="1"/>
  <c r="H12" i="4"/>
  <c r="B14" i="4" l="1"/>
  <c r="H13" i="4"/>
  <c r="B15" i="4" l="1"/>
  <c r="H14" i="4"/>
  <c r="B16" i="4" l="1"/>
  <c r="H15" i="4"/>
  <c r="B17" i="4" l="1"/>
  <c r="H16" i="4"/>
  <c r="B18" i="4" l="1"/>
  <c r="H17" i="4"/>
  <c r="B19" i="4" l="1"/>
  <c r="H18" i="4"/>
  <c r="B20" i="4" l="1"/>
  <c r="H19" i="4"/>
  <c r="B21" i="4" l="1"/>
  <c r="H20" i="4"/>
  <c r="B22" i="4" l="1"/>
  <c r="H21" i="4"/>
  <c r="B23" i="4" l="1"/>
  <c r="H22" i="4"/>
  <c r="B24" i="4" l="1"/>
  <c r="H23" i="4"/>
  <c r="B25" i="4" l="1"/>
  <c r="H24" i="4"/>
  <c r="B26" i="4" l="1"/>
  <c r="H25" i="4"/>
  <c r="B27" i="4" l="1"/>
  <c r="H26" i="4"/>
  <c r="B28" i="4" l="1"/>
  <c r="H27" i="4"/>
  <c r="B29" i="4" l="1"/>
  <c r="H28" i="4"/>
  <c r="B30" i="4" l="1"/>
  <c r="H29" i="4"/>
  <c r="B31" i="4" l="1"/>
  <c r="H30" i="4"/>
  <c r="B32" i="4" l="1"/>
  <c r="H32" i="4" s="1"/>
  <c r="H31" i="4"/>
  <c r="B2" i="5" l="1"/>
  <c r="B8" i="5" s="1"/>
  <c r="B3" i="6" l="1"/>
  <c r="B33" i="6"/>
  <c r="B15" i="5"/>
  <c r="F11" i="11"/>
  <c r="F31" i="11"/>
  <c r="F7" i="11"/>
  <c r="F12" i="11"/>
  <c r="F32" i="11"/>
  <c r="F24" i="11"/>
  <c r="B34" i="1"/>
  <c r="F29" i="11"/>
  <c r="F13" i="11"/>
  <c r="F33" i="11"/>
  <c r="K33" i="11" s="1"/>
  <c r="F22" i="11"/>
  <c r="F5" i="11"/>
  <c r="B4" i="1"/>
  <c r="F28" i="11"/>
  <c r="F30" i="11"/>
  <c r="F14" i="11"/>
  <c r="F3" i="11"/>
  <c r="K3" i="11" s="1"/>
  <c r="F23" i="11"/>
  <c r="F27" i="11"/>
  <c r="F10" i="11"/>
  <c r="F15" i="11"/>
  <c r="F16" i="11"/>
  <c r="F21" i="11"/>
  <c r="F4" i="11"/>
  <c r="B12" i="5"/>
  <c r="F9" i="11"/>
  <c r="B14" i="5"/>
  <c r="F17" i="11"/>
  <c r="F19" i="11"/>
  <c r="F6" i="11"/>
  <c r="F18" i="11"/>
  <c r="F20" i="11"/>
  <c r="F25" i="11"/>
  <c r="F26" i="11"/>
  <c r="F8" i="11"/>
  <c r="B3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2"/>
  <c r="B46" i="4" l="1"/>
  <c r="C10" i="1" s="1"/>
  <c r="B54" i="4"/>
  <c r="C18" i="1" s="1"/>
  <c r="B59" i="4"/>
  <c r="C23" i="1" s="1"/>
  <c r="B70" i="4"/>
  <c r="B57" i="4"/>
  <c r="C21" i="1" s="1"/>
  <c r="B58" i="4"/>
  <c r="C22" i="1" s="1"/>
  <c r="B62" i="4"/>
  <c r="C26" i="1" s="1"/>
  <c r="B60" i="4"/>
  <c r="C24" i="1" s="1"/>
  <c r="B69" i="4"/>
  <c r="C33" i="1" s="1"/>
  <c r="B49" i="4"/>
  <c r="C13" i="1" s="1"/>
  <c r="B66" i="4"/>
  <c r="C30" i="1" s="1"/>
  <c r="B64" i="4"/>
  <c r="C28" i="1" s="1"/>
  <c r="B50" i="4"/>
  <c r="C14" i="1" s="1"/>
  <c r="B56" i="4"/>
  <c r="C20" i="1" s="1"/>
  <c r="B47" i="4"/>
  <c r="C11" i="1" s="1"/>
  <c r="B45" i="4"/>
  <c r="C9" i="1" s="1"/>
  <c r="B53" i="4"/>
  <c r="C17" i="1" s="1"/>
  <c r="B51" i="4"/>
  <c r="C15" i="1" s="1"/>
  <c r="B43" i="4"/>
  <c r="C7" i="1" s="1"/>
  <c r="B68" i="4"/>
  <c r="C32" i="1" s="1"/>
  <c r="B65" i="4"/>
  <c r="C29" i="1" s="1"/>
  <c r="B41" i="4"/>
  <c r="C5" i="1" s="1"/>
  <c r="B52" i="4"/>
  <c r="C16" i="1" s="1"/>
  <c r="B48" i="4"/>
  <c r="C12" i="1" s="1"/>
  <c r="B55" i="4"/>
  <c r="C19" i="1" s="1"/>
  <c r="B44" i="4"/>
  <c r="C8" i="1" s="1"/>
  <c r="B61" i="4"/>
  <c r="C25" i="1" s="1"/>
  <c r="B42" i="4"/>
  <c r="C6" i="1" s="1"/>
  <c r="B67" i="4"/>
  <c r="C31" i="1" s="1"/>
  <c r="B63" i="4"/>
  <c r="C27" i="1" s="1"/>
  <c r="B40" i="4"/>
  <c r="E19" i="12"/>
  <c r="E4" i="12"/>
  <c r="I4" i="12" s="1"/>
  <c r="E9" i="12"/>
  <c r="E11" i="12"/>
  <c r="E24" i="12"/>
  <c r="E17" i="12"/>
  <c r="E32" i="12"/>
  <c r="E31" i="12"/>
  <c r="E28" i="12"/>
  <c r="E30" i="12"/>
  <c r="E29" i="12"/>
  <c r="E7" i="12"/>
  <c r="E8" i="12"/>
  <c r="E22" i="12"/>
  <c r="E26" i="12"/>
  <c r="E6" i="12"/>
  <c r="E15" i="12"/>
  <c r="E23" i="12"/>
  <c r="E12" i="12"/>
  <c r="E27" i="12"/>
  <c r="E34" i="12"/>
  <c r="I34" i="12" s="1"/>
  <c r="E14" i="12"/>
  <c r="E16" i="12"/>
  <c r="E18" i="12"/>
  <c r="E10" i="12"/>
  <c r="E13" i="12"/>
  <c r="E25" i="12"/>
  <c r="E21" i="12"/>
  <c r="E5" i="12"/>
  <c r="E20" i="12"/>
  <c r="E33" i="12"/>
  <c r="D22" i="13"/>
  <c r="G22" i="13" s="1"/>
  <c r="H22" i="13" s="1"/>
  <c r="D13" i="13"/>
  <c r="G13" i="13" s="1"/>
  <c r="H13" i="13" s="1"/>
  <c r="D25" i="13"/>
  <c r="D19" i="13"/>
  <c r="G19" i="13" s="1"/>
  <c r="H19" i="13" s="1"/>
  <c r="D28" i="13"/>
  <c r="D31" i="13"/>
  <c r="D24" i="13"/>
  <c r="D8" i="13"/>
  <c r="D34" i="13"/>
  <c r="D17" i="13"/>
  <c r="G17" i="13" s="1"/>
  <c r="H17" i="13" s="1"/>
  <c r="D29" i="13"/>
  <c r="D30" i="13"/>
  <c r="D9" i="13"/>
  <c r="G9" i="13" s="1"/>
  <c r="D21" i="13"/>
  <c r="G21" i="13" s="1"/>
  <c r="H21" i="13" s="1"/>
  <c r="D5" i="13"/>
  <c r="D35" i="13"/>
  <c r="G35" i="13" s="1"/>
  <c r="D15" i="13"/>
  <c r="G15" i="13" s="1"/>
  <c r="H15" i="13" s="1"/>
  <c r="D26" i="13"/>
  <c r="D7" i="13"/>
  <c r="D16" i="13"/>
  <c r="G16" i="13" s="1"/>
  <c r="H16" i="13" s="1"/>
  <c r="D18" i="13"/>
  <c r="G18" i="13" s="1"/>
  <c r="H18" i="13" s="1"/>
  <c r="D33" i="13"/>
  <c r="D23" i="13"/>
  <c r="G23" i="13" s="1"/>
  <c r="H23" i="13" s="1"/>
  <c r="D12" i="13"/>
  <c r="G12" i="13" s="1"/>
  <c r="H12" i="13" s="1"/>
  <c r="D14" i="13"/>
  <c r="G14" i="13" s="1"/>
  <c r="H14" i="13" s="1"/>
  <c r="D20" i="13"/>
  <c r="G20" i="13" s="1"/>
  <c r="H20" i="13" s="1"/>
  <c r="D10" i="13"/>
  <c r="G10" i="13" s="1"/>
  <c r="D6" i="13"/>
  <c r="D27" i="13"/>
  <c r="D32" i="13"/>
  <c r="D11" i="13"/>
  <c r="G11" i="13" s="1"/>
  <c r="H11" i="13" s="1"/>
  <c r="G40" i="4" l="1"/>
  <c r="C4" i="1"/>
  <c r="G70" i="4"/>
  <c r="C34" i="1"/>
  <c r="F34" i="1"/>
  <c r="H35" i="13"/>
  <c r="G34" i="1" s="1"/>
  <c r="D71" i="13"/>
  <c r="G5" i="13"/>
  <c r="C4" i="12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5" i="1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14" i="11"/>
  <c r="B5" i="11"/>
  <c r="B6" i="11" s="1"/>
  <c r="B7" i="11" s="1"/>
  <c r="B8" i="11" s="1"/>
  <c r="B9" i="11" s="1"/>
  <c r="B10" i="11" s="1"/>
  <c r="B11" i="11" s="1"/>
  <c r="B12" i="11" s="1"/>
  <c r="B4" i="11"/>
  <c r="D2" i="7"/>
  <c r="B3" i="7" s="1"/>
  <c r="G41" i="4" s="1"/>
  <c r="H5" i="13" l="1"/>
  <c r="G4" i="1" s="1"/>
  <c r="O4" i="1" s="1"/>
  <c r="Q3" i="3" s="1"/>
  <c r="D41" i="13"/>
  <c r="I5" i="12"/>
  <c r="G6" i="13"/>
  <c r="M47" i="13"/>
  <c r="M48" i="13"/>
  <c r="M46" i="13"/>
  <c r="M55" i="13" s="1"/>
  <c r="O34" i="1"/>
  <c r="Q33" i="3" s="1"/>
  <c r="F5" i="1"/>
  <c r="H6" i="13"/>
  <c r="G5" i="1" s="1"/>
  <c r="C42" i="13"/>
  <c r="B42" i="13"/>
  <c r="B4" i="6"/>
  <c r="B5" i="1"/>
  <c r="J5" i="1" s="1"/>
  <c r="B4" i="3" s="1"/>
  <c r="B4" i="15" s="1"/>
  <c r="B46" i="15" s="1"/>
  <c r="K4" i="11"/>
  <c r="F4" i="1"/>
  <c r="B4" i="7"/>
  <c r="B19" i="12"/>
  <c r="Q33" i="15" l="1"/>
  <c r="B230" i="15" s="1"/>
  <c r="R33" i="3"/>
  <c r="R33" i="15" s="1"/>
  <c r="C230" i="15" s="1"/>
  <c r="S33" i="3"/>
  <c r="S33" i="15" s="1"/>
  <c r="D230" i="15" s="1"/>
  <c r="M57" i="13"/>
  <c r="H5" i="16" s="1"/>
  <c r="B39" i="16" s="1"/>
  <c r="M56" i="13"/>
  <c r="H4" i="16" s="1"/>
  <c r="B38" i="16" s="1"/>
  <c r="G47" i="13"/>
  <c r="G56" i="13" s="1"/>
  <c r="B4" i="16" s="1"/>
  <c r="B14" i="16" s="1"/>
  <c r="G48" i="13"/>
  <c r="G57" i="13" s="1"/>
  <c r="B5" i="16" s="1"/>
  <c r="B15" i="16" s="1"/>
  <c r="G46" i="13"/>
  <c r="G55" i="13" s="1"/>
  <c r="B3" i="16" s="1"/>
  <c r="B13" i="16" s="1"/>
  <c r="Q3" i="15"/>
  <c r="B200" i="15" s="1"/>
  <c r="S3" i="3"/>
  <c r="S3" i="15" s="1"/>
  <c r="D200" i="15" s="1"/>
  <c r="R3" i="3"/>
  <c r="R3" i="15" s="1"/>
  <c r="C200" i="15" s="1"/>
  <c r="D42" i="13"/>
  <c r="O5" i="1"/>
  <c r="Q4" i="3" s="1"/>
  <c r="M50" i="13"/>
  <c r="H3" i="16"/>
  <c r="B37" i="16" s="1"/>
  <c r="C43" i="13"/>
  <c r="B43" i="13"/>
  <c r="B6" i="1"/>
  <c r="J6" i="1" s="1"/>
  <c r="B5" i="3" s="1"/>
  <c r="B5" i="15" s="1"/>
  <c r="B47" i="15" s="1"/>
  <c r="B5" i="6"/>
  <c r="K5" i="11"/>
  <c r="G42" i="4"/>
  <c r="G7" i="13"/>
  <c r="I6" i="12"/>
  <c r="B5" i="7"/>
  <c r="D3" i="15"/>
  <c r="D45" i="15" s="1"/>
  <c r="J3" i="15"/>
  <c r="D107" i="15" s="1"/>
  <c r="M5" i="1"/>
  <c r="K4" i="3" s="1"/>
  <c r="K4" i="15" s="1"/>
  <c r="B139" i="15" s="1"/>
  <c r="L3" i="15"/>
  <c r="C138" i="15" s="1"/>
  <c r="B20" i="12"/>
  <c r="G50" i="13" l="1"/>
  <c r="Q4" i="15"/>
  <c r="B201" i="15" s="1"/>
  <c r="R4" i="3"/>
  <c r="R4" i="15" s="1"/>
  <c r="C201" i="15" s="1"/>
  <c r="S4" i="3"/>
  <c r="S4" i="15" s="1"/>
  <c r="D201" i="15" s="1"/>
  <c r="F6" i="1"/>
  <c r="H7" i="13"/>
  <c r="G6" i="1" s="1"/>
  <c r="D43" i="13"/>
  <c r="C5" i="15"/>
  <c r="C47" i="15" s="1"/>
  <c r="C44" i="13"/>
  <c r="B44" i="13"/>
  <c r="B6" i="6"/>
  <c r="B7" i="1"/>
  <c r="K6" i="11"/>
  <c r="I7" i="12"/>
  <c r="G43" i="4"/>
  <c r="G8" i="13"/>
  <c r="L33" i="15"/>
  <c r="C168" i="15" s="1"/>
  <c r="M33" i="15"/>
  <c r="D168" i="15" s="1"/>
  <c r="B6" i="7"/>
  <c r="J7" i="1"/>
  <c r="B6" i="3" s="1"/>
  <c r="B6" i="15" s="1"/>
  <c r="B48" i="15" s="1"/>
  <c r="N34" i="1"/>
  <c r="N33" i="3" s="1"/>
  <c r="M6" i="1"/>
  <c r="K5" i="3" s="1"/>
  <c r="K5" i="15" s="1"/>
  <c r="B140" i="15" s="1"/>
  <c r="C4" i="15"/>
  <c r="C46" i="15" s="1"/>
  <c r="J34" i="1"/>
  <c r="B33" i="3" s="1"/>
  <c r="B33" i="15" s="1"/>
  <c r="B75" i="15" s="1"/>
  <c r="I3" i="15"/>
  <c r="C107" i="15" s="1"/>
  <c r="C3" i="15"/>
  <c r="C45" i="15" s="1"/>
  <c r="J4" i="1"/>
  <c r="B3" i="3" s="1"/>
  <c r="B3" i="15" s="1"/>
  <c r="B45" i="15" s="1"/>
  <c r="L4" i="1"/>
  <c r="H3" i="3" s="1"/>
  <c r="H3" i="15" s="1"/>
  <c r="B107" i="15" s="1"/>
  <c r="M3" i="15"/>
  <c r="D138" i="15" s="1"/>
  <c r="L5" i="15"/>
  <c r="C140" i="15" s="1"/>
  <c r="L6" i="15"/>
  <c r="C141" i="15" s="1"/>
  <c r="L4" i="15"/>
  <c r="C139" i="15" s="1"/>
  <c r="M5" i="15"/>
  <c r="D140" i="15" s="1"/>
  <c r="M4" i="15"/>
  <c r="D139" i="15" s="1"/>
  <c r="M4" i="1"/>
  <c r="K3" i="3" s="1"/>
  <c r="K3" i="15" s="1"/>
  <c r="B138" i="15" s="1"/>
  <c r="M34" i="1"/>
  <c r="K33" i="3" s="1"/>
  <c r="K33" i="15" s="1"/>
  <c r="B168" i="15" s="1"/>
  <c r="B21" i="12"/>
  <c r="N33" i="15" l="1"/>
  <c r="B199" i="15" s="1"/>
  <c r="O33" i="3"/>
  <c r="O33" i="15" s="1"/>
  <c r="C199" i="15" s="1"/>
  <c r="P33" i="3"/>
  <c r="P33" i="15" s="1"/>
  <c r="D199" i="15" s="1"/>
  <c r="C45" i="13"/>
  <c r="B45" i="13"/>
  <c r="B7" i="6"/>
  <c r="B8" i="1"/>
  <c r="K7" i="11"/>
  <c r="G44" i="4"/>
  <c r="I8" i="12"/>
  <c r="F7" i="1"/>
  <c r="H8" i="13"/>
  <c r="G7" i="1" s="1"/>
  <c r="D44" i="13"/>
  <c r="O6" i="1"/>
  <c r="Q5" i="3" s="1"/>
  <c r="K4" i="1"/>
  <c r="E3" i="3" s="1"/>
  <c r="K7" i="1"/>
  <c r="E6" i="3" s="1"/>
  <c r="M7" i="1"/>
  <c r="K6" i="3" s="1"/>
  <c r="K6" i="15" s="1"/>
  <c r="B141" i="15" s="1"/>
  <c r="M6" i="15"/>
  <c r="D141" i="15" s="1"/>
  <c r="B7" i="7"/>
  <c r="M8" i="1"/>
  <c r="K7" i="3" s="1"/>
  <c r="K7" i="15" s="1"/>
  <c r="B142" i="15" s="1"/>
  <c r="K34" i="1"/>
  <c r="E33" i="3" s="1"/>
  <c r="K5" i="1"/>
  <c r="E4" i="3" s="1"/>
  <c r="K6" i="1"/>
  <c r="E5" i="3" s="1"/>
  <c r="N4" i="1"/>
  <c r="N3" i="3" s="1"/>
  <c r="D4" i="15"/>
  <c r="D46" i="15" s="1"/>
  <c r="C6" i="15"/>
  <c r="C48" i="15" s="1"/>
  <c r="B22" i="12"/>
  <c r="Q5" i="15" l="1"/>
  <c r="B202" i="15" s="1"/>
  <c r="R5" i="3"/>
  <c r="R5" i="15" s="1"/>
  <c r="C202" i="15" s="1"/>
  <c r="S5" i="3"/>
  <c r="S5" i="15" s="1"/>
  <c r="D202" i="15" s="1"/>
  <c r="E5" i="15"/>
  <c r="B78" i="15" s="1"/>
  <c r="F5" i="3"/>
  <c r="F5" i="15" s="1"/>
  <c r="C78" i="15" s="1"/>
  <c r="G5" i="3"/>
  <c r="G5" i="15" s="1"/>
  <c r="D78" i="15" s="1"/>
  <c r="E4" i="15"/>
  <c r="B77" i="15" s="1"/>
  <c r="F4" i="3"/>
  <c r="F4" i="15" s="1"/>
  <c r="C77" i="15" s="1"/>
  <c r="G4" i="3"/>
  <c r="G4" i="15" s="1"/>
  <c r="D77" i="15" s="1"/>
  <c r="E33" i="15"/>
  <c r="B106" i="15" s="1"/>
  <c r="F33" i="3"/>
  <c r="F33" i="15" s="1"/>
  <c r="C106" i="15" s="1"/>
  <c r="G33" i="3"/>
  <c r="G33" i="15" s="1"/>
  <c r="D106" i="15" s="1"/>
  <c r="E3" i="15"/>
  <c r="B76" i="15" s="1"/>
  <c r="G3" i="3"/>
  <c r="G3" i="15" s="1"/>
  <c r="D76" i="15" s="1"/>
  <c r="F3" i="3"/>
  <c r="F3" i="15" s="1"/>
  <c r="C76" i="15" s="1"/>
  <c r="N3" i="15"/>
  <c r="B169" i="15" s="1"/>
  <c r="P3" i="3"/>
  <c r="P3" i="15" s="1"/>
  <c r="D169" i="15" s="1"/>
  <c r="O3" i="3"/>
  <c r="O3" i="15" s="1"/>
  <c r="C169" i="15" s="1"/>
  <c r="E6" i="15"/>
  <c r="B79" i="15" s="1"/>
  <c r="F6" i="3"/>
  <c r="F6" i="15" s="1"/>
  <c r="C79" i="15" s="1"/>
  <c r="G6" i="3"/>
  <c r="G6" i="15" s="1"/>
  <c r="D79" i="15" s="1"/>
  <c r="O7" i="1"/>
  <c r="Q6" i="3" s="1"/>
  <c r="F8" i="1"/>
  <c r="H9" i="13"/>
  <c r="G8" i="1" s="1"/>
  <c r="D45" i="13"/>
  <c r="C46" i="13"/>
  <c r="B46" i="13"/>
  <c r="H45" i="13" s="1"/>
  <c r="B9" i="1"/>
  <c r="B8" i="6"/>
  <c r="K8" i="11"/>
  <c r="G45" i="4"/>
  <c r="I9" i="12"/>
  <c r="C7" i="15"/>
  <c r="C49" i="15" s="1"/>
  <c r="J8" i="1"/>
  <c r="B7" i="3" s="1"/>
  <c r="B7" i="15" s="1"/>
  <c r="B49" i="15" s="1"/>
  <c r="M7" i="15"/>
  <c r="D142" i="15" s="1"/>
  <c r="L7" i="15"/>
  <c r="C142" i="15" s="1"/>
  <c r="K8" i="1"/>
  <c r="E7" i="3" s="1"/>
  <c r="B8" i="7"/>
  <c r="K9" i="1"/>
  <c r="E8" i="3" s="1"/>
  <c r="C33" i="15"/>
  <c r="C75" i="15" s="1"/>
  <c r="D5" i="15"/>
  <c r="D47" i="15" s="1"/>
  <c r="B23" i="12"/>
  <c r="E7" i="15" l="1"/>
  <c r="B80" i="15" s="1"/>
  <c r="F7" i="3"/>
  <c r="F7" i="15" s="1"/>
  <c r="C80" i="15" s="1"/>
  <c r="G7" i="3"/>
  <c r="G7" i="15" s="1"/>
  <c r="D80" i="15" s="1"/>
  <c r="H54" i="13"/>
  <c r="C2" i="16" s="1"/>
  <c r="B16" i="16" s="1"/>
  <c r="E8" i="15"/>
  <c r="B81" i="15" s="1"/>
  <c r="F8" i="3"/>
  <c r="F8" i="15" s="1"/>
  <c r="C81" i="15" s="1"/>
  <c r="G8" i="3"/>
  <c r="G8" i="15" s="1"/>
  <c r="D81" i="15" s="1"/>
  <c r="Q6" i="15"/>
  <c r="B203" i="15" s="1"/>
  <c r="R6" i="3"/>
  <c r="R6" i="15" s="1"/>
  <c r="C203" i="15" s="1"/>
  <c r="S6" i="3"/>
  <c r="S6" i="15" s="1"/>
  <c r="D203" i="15" s="1"/>
  <c r="O8" i="1"/>
  <c r="Q7" i="3" s="1"/>
  <c r="F9" i="1"/>
  <c r="H10" i="13"/>
  <c r="G9" i="1" s="1"/>
  <c r="D46" i="13"/>
  <c r="B47" i="13"/>
  <c r="C47" i="13"/>
  <c r="B9" i="6"/>
  <c r="B10" i="1"/>
  <c r="K9" i="11"/>
  <c r="I10" i="12"/>
  <c r="G46" i="4"/>
  <c r="M8" i="15"/>
  <c r="D143" i="15" s="1"/>
  <c r="M9" i="1"/>
  <c r="K8" i="3" s="1"/>
  <c r="K8" i="15" s="1"/>
  <c r="B143" i="15" s="1"/>
  <c r="J9" i="1"/>
  <c r="B8" i="3" s="1"/>
  <c r="B8" i="15" s="1"/>
  <c r="B50" i="15" s="1"/>
  <c r="L8" i="15"/>
  <c r="C143" i="15" s="1"/>
  <c r="B9" i="7"/>
  <c r="C8" i="15"/>
  <c r="C50" i="15" s="1"/>
  <c r="D6" i="15"/>
  <c r="D48" i="15" s="1"/>
  <c r="D7" i="15"/>
  <c r="D49" i="15" s="1"/>
  <c r="B24" i="12"/>
  <c r="Q7" i="15" l="1"/>
  <c r="B204" i="15" s="1"/>
  <c r="R7" i="3"/>
  <c r="R7" i="15" s="1"/>
  <c r="C204" i="15" s="1"/>
  <c r="S7" i="3"/>
  <c r="S7" i="15" s="1"/>
  <c r="D204" i="15" s="1"/>
  <c r="H47" i="13"/>
  <c r="H48" i="13"/>
  <c r="B48" i="13"/>
  <c r="C48" i="13"/>
  <c r="B11" i="1"/>
  <c r="B10" i="6"/>
  <c r="K10" i="11"/>
  <c r="I11" i="12"/>
  <c r="G47" i="4"/>
  <c r="D9" i="15"/>
  <c r="D51" i="15" s="1"/>
  <c r="C9" i="15"/>
  <c r="C51" i="15" s="1"/>
  <c r="H46" i="13"/>
  <c r="H55" i="13" s="1"/>
  <c r="F10" i="1"/>
  <c r="G10" i="1"/>
  <c r="D47" i="13"/>
  <c r="O9" i="1"/>
  <c r="Q8" i="3" s="1"/>
  <c r="L9" i="15"/>
  <c r="C144" i="15" s="1"/>
  <c r="J10" i="1"/>
  <c r="B9" i="3" s="1"/>
  <c r="B9" i="15" s="1"/>
  <c r="B51" i="15" s="1"/>
  <c r="M9" i="15"/>
  <c r="D144" i="15" s="1"/>
  <c r="M10" i="1"/>
  <c r="K9" i="3" s="1"/>
  <c r="K9" i="15" s="1"/>
  <c r="B144" i="15" s="1"/>
  <c r="K10" i="1"/>
  <c r="E9" i="3" s="1"/>
  <c r="B10" i="7"/>
  <c r="D8" i="15"/>
  <c r="D50" i="15" s="1"/>
  <c r="D33" i="15"/>
  <c r="D75" i="15" s="1"/>
  <c r="B25" i="12"/>
  <c r="Q8" i="15" l="1"/>
  <c r="B205" i="15" s="1"/>
  <c r="S8" i="3"/>
  <c r="S8" i="15" s="1"/>
  <c r="D205" i="15" s="1"/>
  <c r="R8" i="3"/>
  <c r="R8" i="15" s="1"/>
  <c r="C205" i="15" s="1"/>
  <c r="E9" i="15"/>
  <c r="B82" i="15" s="1"/>
  <c r="G9" i="3"/>
  <c r="G9" i="15" s="1"/>
  <c r="D82" i="15" s="1"/>
  <c r="F9" i="3"/>
  <c r="F9" i="15" s="1"/>
  <c r="C82" i="15" s="1"/>
  <c r="H57" i="13"/>
  <c r="C5" i="16" s="1"/>
  <c r="B19" i="16" s="1"/>
  <c r="H56" i="13"/>
  <c r="C4" i="16" s="1"/>
  <c r="B18" i="16" s="1"/>
  <c r="O10" i="1"/>
  <c r="Q9" i="3" s="1"/>
  <c r="F11" i="1"/>
  <c r="G11" i="1"/>
  <c r="D48" i="13"/>
  <c r="H50" i="13"/>
  <c r="C3" i="16"/>
  <c r="B17" i="16" s="1"/>
  <c r="C49" i="13"/>
  <c r="B49" i="13"/>
  <c r="B12" i="1"/>
  <c r="B11" i="6"/>
  <c r="K11" i="11"/>
  <c r="I12" i="12"/>
  <c r="G48" i="4"/>
  <c r="C10" i="15"/>
  <c r="C52" i="15" s="1"/>
  <c r="D10" i="15"/>
  <c r="D52" i="15" s="1"/>
  <c r="J11" i="1"/>
  <c r="B10" i="3" s="1"/>
  <c r="B10" i="15" s="1"/>
  <c r="B52" i="15" s="1"/>
  <c r="M11" i="1"/>
  <c r="K10" i="3" s="1"/>
  <c r="K10" i="15" s="1"/>
  <c r="B145" i="15" s="1"/>
  <c r="M10" i="15"/>
  <c r="D145" i="15" s="1"/>
  <c r="K11" i="1"/>
  <c r="E10" i="3" s="1"/>
  <c r="L10" i="15"/>
  <c r="C145" i="15" s="1"/>
  <c r="B11" i="7"/>
  <c r="B26" i="12"/>
  <c r="E10" i="15" l="1"/>
  <c r="B83" i="15" s="1"/>
  <c r="F10" i="3"/>
  <c r="F10" i="15" s="1"/>
  <c r="C83" i="15" s="1"/>
  <c r="G10" i="3"/>
  <c r="G10" i="15" s="1"/>
  <c r="D83" i="15" s="1"/>
  <c r="Q9" i="15"/>
  <c r="B206" i="15" s="1"/>
  <c r="S9" i="3"/>
  <c r="S9" i="15" s="1"/>
  <c r="D206" i="15" s="1"/>
  <c r="R9" i="3"/>
  <c r="R9" i="15" s="1"/>
  <c r="C206" i="15" s="1"/>
  <c r="F12" i="1"/>
  <c r="G12" i="1"/>
  <c r="D49" i="13"/>
  <c r="C50" i="13"/>
  <c r="B50" i="13"/>
  <c r="B13" i="1"/>
  <c r="B12" i="6"/>
  <c r="K12" i="11"/>
  <c r="I13" i="12"/>
  <c r="G49" i="4"/>
  <c r="O11" i="1"/>
  <c r="Q10" i="3" s="1"/>
  <c r="M11" i="15"/>
  <c r="D146" i="15" s="1"/>
  <c r="J12" i="1"/>
  <c r="B11" i="3" s="1"/>
  <c r="B11" i="15" s="1"/>
  <c r="B53" i="15" s="1"/>
  <c r="L11" i="15"/>
  <c r="C146" i="15" s="1"/>
  <c r="M12" i="1"/>
  <c r="K11" i="3" s="1"/>
  <c r="K11" i="15" s="1"/>
  <c r="B146" i="15" s="1"/>
  <c r="K12" i="1"/>
  <c r="E11" i="3" s="1"/>
  <c r="C11" i="15"/>
  <c r="C53" i="15" s="1"/>
  <c r="D11" i="15"/>
  <c r="D53" i="15" s="1"/>
  <c r="B12" i="7"/>
  <c r="B27" i="12"/>
  <c r="Q10" i="15" l="1"/>
  <c r="B207" i="15" s="1"/>
  <c r="R10" i="3"/>
  <c r="R10" i="15" s="1"/>
  <c r="C207" i="15" s="1"/>
  <c r="S10" i="3"/>
  <c r="S10" i="15" s="1"/>
  <c r="D207" i="15" s="1"/>
  <c r="E11" i="15"/>
  <c r="B84" i="15" s="1"/>
  <c r="F11" i="3"/>
  <c r="F11" i="15" s="1"/>
  <c r="C84" i="15" s="1"/>
  <c r="G11" i="3"/>
  <c r="G11" i="15" s="1"/>
  <c r="D84" i="15" s="1"/>
  <c r="F13" i="1"/>
  <c r="G13" i="1"/>
  <c r="D50" i="13"/>
  <c r="B51" i="13"/>
  <c r="I45" i="13" s="1"/>
  <c r="C51" i="13"/>
  <c r="B14" i="1"/>
  <c r="B13" i="6"/>
  <c r="K13" i="11"/>
  <c r="I14" i="12"/>
  <c r="G50" i="4"/>
  <c r="O12" i="1"/>
  <c r="Q11" i="3" s="1"/>
  <c r="M13" i="1"/>
  <c r="K12" i="3" s="1"/>
  <c r="K12" i="15" s="1"/>
  <c r="B147" i="15" s="1"/>
  <c r="J13" i="1"/>
  <c r="B12" i="3" s="1"/>
  <c r="B12" i="15" s="1"/>
  <c r="B54" i="15" s="1"/>
  <c r="M12" i="15"/>
  <c r="D147" i="15" s="1"/>
  <c r="K13" i="1"/>
  <c r="E12" i="3" s="1"/>
  <c r="L12" i="15"/>
  <c r="C147" i="15" s="1"/>
  <c r="C12" i="15"/>
  <c r="C54" i="15" s="1"/>
  <c r="D12" i="15"/>
  <c r="D54" i="15" s="1"/>
  <c r="B13" i="7"/>
  <c r="B28" i="12"/>
  <c r="Q11" i="15" l="1"/>
  <c r="B208" i="15" s="1"/>
  <c r="R11" i="3"/>
  <c r="R11" i="15" s="1"/>
  <c r="C208" i="15" s="1"/>
  <c r="S11" i="3"/>
  <c r="S11" i="15" s="1"/>
  <c r="D208" i="15" s="1"/>
  <c r="I54" i="13"/>
  <c r="D2" i="16" s="1"/>
  <c r="B20" i="16" s="1"/>
  <c r="E12" i="15"/>
  <c r="B85" i="15" s="1"/>
  <c r="F12" i="3"/>
  <c r="F12" i="15" s="1"/>
  <c r="C85" i="15" s="1"/>
  <c r="G12" i="3"/>
  <c r="G12" i="15" s="1"/>
  <c r="D85" i="15" s="1"/>
  <c r="F14" i="1"/>
  <c r="G14" i="1"/>
  <c r="D51" i="13"/>
  <c r="B52" i="13"/>
  <c r="C52" i="13"/>
  <c r="B14" i="6"/>
  <c r="B15" i="1"/>
  <c r="K14" i="11"/>
  <c r="I15" i="12"/>
  <c r="G51" i="4"/>
  <c r="I46" i="13"/>
  <c r="I55" i="13" s="1"/>
  <c r="O13" i="1"/>
  <c r="Q12" i="3" s="1"/>
  <c r="B14" i="7"/>
  <c r="J14" i="1"/>
  <c r="B13" i="3" s="1"/>
  <c r="B13" i="15" s="1"/>
  <c r="B55" i="15" s="1"/>
  <c r="L13" i="15"/>
  <c r="C148" i="15" s="1"/>
  <c r="K14" i="1"/>
  <c r="E13" i="3" s="1"/>
  <c r="M14" i="1"/>
  <c r="K13" i="3" s="1"/>
  <c r="K13" i="15" s="1"/>
  <c r="B148" i="15" s="1"/>
  <c r="M13" i="15"/>
  <c r="D148" i="15" s="1"/>
  <c r="C13" i="15"/>
  <c r="C55" i="15" s="1"/>
  <c r="D13" i="15"/>
  <c r="D55" i="15" s="1"/>
  <c r="B29" i="12"/>
  <c r="E13" i="15" l="1"/>
  <c r="B86" i="15" s="1"/>
  <c r="F13" i="3"/>
  <c r="F13" i="15" s="1"/>
  <c r="C86" i="15" s="1"/>
  <c r="G13" i="3"/>
  <c r="G13" i="15" s="1"/>
  <c r="D86" i="15" s="1"/>
  <c r="Q12" i="15"/>
  <c r="B209" i="15" s="1"/>
  <c r="R12" i="3"/>
  <c r="R12" i="15" s="1"/>
  <c r="C209" i="15" s="1"/>
  <c r="S12" i="3"/>
  <c r="S12" i="15" s="1"/>
  <c r="D209" i="15" s="1"/>
  <c r="F15" i="1"/>
  <c r="G15" i="1"/>
  <c r="D52" i="13"/>
  <c r="I47" i="13"/>
  <c r="I48" i="13"/>
  <c r="C53" i="13"/>
  <c r="B53" i="13"/>
  <c r="B16" i="1"/>
  <c r="B15" i="6"/>
  <c r="K15" i="11"/>
  <c r="G52" i="4"/>
  <c r="I16" i="12"/>
  <c r="I50" i="13"/>
  <c r="D3" i="16"/>
  <c r="B21" i="16" s="1"/>
  <c r="O14" i="1"/>
  <c r="Q13" i="3" s="1"/>
  <c r="D14" i="15"/>
  <c r="D56" i="15" s="1"/>
  <c r="C14" i="15"/>
  <c r="C56" i="15" s="1"/>
  <c r="J15" i="1"/>
  <c r="B14" i="3" s="1"/>
  <c r="B14" i="15" s="1"/>
  <c r="B56" i="15" s="1"/>
  <c r="M14" i="15"/>
  <c r="D149" i="15" s="1"/>
  <c r="L14" i="15"/>
  <c r="C149" i="15" s="1"/>
  <c r="K15" i="1"/>
  <c r="E14" i="3" s="1"/>
  <c r="M15" i="1"/>
  <c r="K14" i="3" s="1"/>
  <c r="K14" i="15" s="1"/>
  <c r="B149" i="15" s="1"/>
  <c r="B15" i="7"/>
  <c r="B30" i="12"/>
  <c r="E14" i="15" l="1"/>
  <c r="B87" i="15" s="1"/>
  <c r="F14" i="3"/>
  <c r="F14" i="15" s="1"/>
  <c r="C87" i="15" s="1"/>
  <c r="G14" i="3"/>
  <c r="G14" i="15" s="1"/>
  <c r="D87" i="15" s="1"/>
  <c r="Q13" i="15"/>
  <c r="B210" i="15" s="1"/>
  <c r="R13" i="3"/>
  <c r="R13" i="15" s="1"/>
  <c r="C210" i="15" s="1"/>
  <c r="S13" i="3"/>
  <c r="S13" i="15" s="1"/>
  <c r="D210" i="15" s="1"/>
  <c r="I57" i="13"/>
  <c r="D5" i="16" s="1"/>
  <c r="B23" i="16" s="1"/>
  <c r="I56" i="13"/>
  <c r="D4" i="16" s="1"/>
  <c r="B22" i="16" s="1"/>
  <c r="F16" i="1"/>
  <c r="G16" i="1"/>
  <c r="D53" i="13"/>
  <c r="C54" i="13"/>
  <c r="B54" i="13"/>
  <c r="B16" i="6"/>
  <c r="B17" i="1"/>
  <c r="K16" i="11"/>
  <c r="G53" i="4"/>
  <c r="I17" i="12"/>
  <c r="D15" i="15"/>
  <c r="D57" i="15" s="1"/>
  <c r="C15" i="15"/>
  <c r="C57" i="15" s="1"/>
  <c r="O15" i="1"/>
  <c r="Q14" i="3" s="1"/>
  <c r="J16" i="1"/>
  <c r="B15" i="3" s="1"/>
  <c r="B15" i="15" s="1"/>
  <c r="B57" i="15" s="1"/>
  <c r="M15" i="15"/>
  <c r="D150" i="15" s="1"/>
  <c r="L15" i="15"/>
  <c r="C150" i="15" s="1"/>
  <c r="M16" i="1"/>
  <c r="K15" i="3" s="1"/>
  <c r="K15" i="15" s="1"/>
  <c r="B150" i="15" s="1"/>
  <c r="K16" i="1"/>
  <c r="E15" i="3" s="1"/>
  <c r="B16" i="7"/>
  <c r="B31" i="12"/>
  <c r="E15" i="15" l="1"/>
  <c r="B88" i="15" s="1"/>
  <c r="G15" i="3"/>
  <c r="G15" i="15" s="1"/>
  <c r="D88" i="15" s="1"/>
  <c r="F15" i="3"/>
  <c r="F15" i="15" s="1"/>
  <c r="C88" i="15" s="1"/>
  <c r="Q14" i="15"/>
  <c r="B211" i="15" s="1"/>
  <c r="R14" i="3"/>
  <c r="R14" i="15" s="1"/>
  <c r="C211" i="15" s="1"/>
  <c r="S14" i="3"/>
  <c r="S14" i="15" s="1"/>
  <c r="D211" i="15" s="1"/>
  <c r="F17" i="1"/>
  <c r="G17" i="1"/>
  <c r="D54" i="13"/>
  <c r="B55" i="13"/>
  <c r="C55" i="13"/>
  <c r="B17" i="6"/>
  <c r="B18" i="1"/>
  <c r="K17" i="11"/>
  <c r="I18" i="12"/>
  <c r="G54" i="4"/>
  <c r="O16" i="1"/>
  <c r="Q15" i="3" s="1"/>
  <c r="B17" i="7"/>
  <c r="J17" i="1"/>
  <c r="B16" i="3" s="1"/>
  <c r="B16" i="15" s="1"/>
  <c r="B58" i="15" s="1"/>
  <c r="M17" i="1"/>
  <c r="K16" i="3" s="1"/>
  <c r="K16" i="15" s="1"/>
  <c r="B151" i="15" s="1"/>
  <c r="M16" i="15"/>
  <c r="D151" i="15" s="1"/>
  <c r="K17" i="1"/>
  <c r="E16" i="3" s="1"/>
  <c r="L16" i="15"/>
  <c r="C151" i="15" s="1"/>
  <c r="C16" i="15"/>
  <c r="C58" i="15" s="1"/>
  <c r="D16" i="15"/>
  <c r="D58" i="15" s="1"/>
  <c r="B32" i="12"/>
  <c r="Q15" i="15" l="1"/>
  <c r="B212" i="15" s="1"/>
  <c r="R15" i="3"/>
  <c r="R15" i="15" s="1"/>
  <c r="C212" i="15" s="1"/>
  <c r="S15" i="3"/>
  <c r="S15" i="15" s="1"/>
  <c r="D212" i="15" s="1"/>
  <c r="E16" i="15"/>
  <c r="B89" i="15" s="1"/>
  <c r="F16" i="3"/>
  <c r="F16" i="15" s="1"/>
  <c r="C89" i="15" s="1"/>
  <c r="G16" i="3"/>
  <c r="G16" i="15" s="1"/>
  <c r="D89" i="15" s="1"/>
  <c r="F18" i="1"/>
  <c r="G18" i="1"/>
  <c r="D55" i="13"/>
  <c r="C56" i="13"/>
  <c r="B56" i="13"/>
  <c r="J45" i="13" s="1"/>
  <c r="B19" i="1"/>
  <c r="B18" i="6"/>
  <c r="K18" i="11"/>
  <c r="I19" i="12"/>
  <c r="G55" i="4"/>
  <c r="D17" i="15"/>
  <c r="D59" i="15" s="1"/>
  <c r="C17" i="15"/>
  <c r="C59" i="15" s="1"/>
  <c r="O17" i="1"/>
  <c r="Q16" i="3" s="1"/>
  <c r="J18" i="1"/>
  <c r="B17" i="3" s="1"/>
  <c r="B17" i="15" s="1"/>
  <c r="B59" i="15" s="1"/>
  <c r="K18" i="1"/>
  <c r="E17" i="3" s="1"/>
  <c r="L17" i="15"/>
  <c r="C152" i="15" s="1"/>
  <c r="M17" i="15"/>
  <c r="D152" i="15" s="1"/>
  <c r="M18" i="1"/>
  <c r="K17" i="3" s="1"/>
  <c r="K17" i="15" s="1"/>
  <c r="B152" i="15" s="1"/>
  <c r="B18" i="7"/>
  <c r="B33" i="12"/>
  <c r="Q16" i="15" l="1"/>
  <c r="B213" i="15" s="1"/>
  <c r="R16" i="3"/>
  <c r="R16" i="15" s="1"/>
  <c r="C213" i="15" s="1"/>
  <c r="S16" i="3"/>
  <c r="S16" i="15" s="1"/>
  <c r="D213" i="15" s="1"/>
  <c r="J54" i="13"/>
  <c r="E2" i="16" s="1"/>
  <c r="B24" i="16" s="1"/>
  <c r="E17" i="15"/>
  <c r="B90" i="15" s="1"/>
  <c r="F17" i="3"/>
  <c r="F17" i="15" s="1"/>
  <c r="C90" i="15" s="1"/>
  <c r="G17" i="3"/>
  <c r="G17" i="15" s="1"/>
  <c r="D90" i="15" s="1"/>
  <c r="F19" i="1"/>
  <c r="G19" i="1"/>
  <c r="D56" i="13"/>
  <c r="B57" i="13"/>
  <c r="C57" i="13"/>
  <c r="B20" i="1"/>
  <c r="B19" i="6"/>
  <c r="K19" i="11"/>
  <c r="I20" i="12"/>
  <c r="G56" i="4"/>
  <c r="J46" i="13"/>
  <c r="J55" i="13" s="1"/>
  <c r="O18" i="1"/>
  <c r="Q17" i="3" s="1"/>
  <c r="D18" i="15"/>
  <c r="D60" i="15" s="1"/>
  <c r="C18" i="15"/>
  <c r="C60" i="15" s="1"/>
  <c r="J19" i="1"/>
  <c r="B18" i="3" s="1"/>
  <c r="B18" i="15" s="1"/>
  <c r="B60" i="15" s="1"/>
  <c r="M18" i="15"/>
  <c r="D153" i="15" s="1"/>
  <c r="L18" i="15"/>
  <c r="C153" i="15" s="1"/>
  <c r="M19" i="1"/>
  <c r="K18" i="3" s="1"/>
  <c r="K18" i="15" s="1"/>
  <c r="B153" i="15" s="1"/>
  <c r="K19" i="1"/>
  <c r="E18" i="3" s="1"/>
  <c r="B19" i="7"/>
  <c r="E18" i="15" l="1"/>
  <c r="B91" i="15" s="1"/>
  <c r="G18" i="3"/>
  <c r="G18" i="15" s="1"/>
  <c r="D91" i="15" s="1"/>
  <c r="F18" i="3"/>
  <c r="F18" i="15" s="1"/>
  <c r="C91" i="15" s="1"/>
  <c r="Q17" i="15"/>
  <c r="B214" i="15" s="1"/>
  <c r="R17" i="3"/>
  <c r="R17" i="15" s="1"/>
  <c r="C214" i="15" s="1"/>
  <c r="S17" i="3"/>
  <c r="S17" i="15" s="1"/>
  <c r="D214" i="15" s="1"/>
  <c r="E3" i="16"/>
  <c r="B25" i="16" s="1"/>
  <c r="B58" i="13"/>
  <c r="C58" i="13"/>
  <c r="B21" i="1"/>
  <c r="B20" i="6"/>
  <c r="K20" i="11"/>
  <c r="I21" i="12"/>
  <c r="G57" i="4"/>
  <c r="F20" i="1"/>
  <c r="G20" i="1"/>
  <c r="D57" i="13"/>
  <c r="D19" i="15"/>
  <c r="D61" i="15" s="1"/>
  <c r="C19" i="15"/>
  <c r="C61" i="15" s="1"/>
  <c r="J47" i="13"/>
  <c r="J48" i="13"/>
  <c r="O19" i="1"/>
  <c r="Q18" i="3" s="1"/>
  <c r="B20" i="7"/>
  <c r="M19" i="15"/>
  <c r="D154" i="15" s="1"/>
  <c r="J20" i="1"/>
  <c r="B19" i="3" s="1"/>
  <c r="B19" i="15" s="1"/>
  <c r="B61" i="15" s="1"/>
  <c r="K20" i="1"/>
  <c r="E19" i="3" s="1"/>
  <c r="L19" i="15"/>
  <c r="C154" i="15" s="1"/>
  <c r="M20" i="1"/>
  <c r="K19" i="3" s="1"/>
  <c r="K19" i="15" s="1"/>
  <c r="B154" i="15" s="1"/>
  <c r="E19" i="15" l="1"/>
  <c r="B92" i="15" s="1"/>
  <c r="F19" i="3"/>
  <c r="F19" i="15" s="1"/>
  <c r="C92" i="15" s="1"/>
  <c r="G19" i="3"/>
  <c r="G19" i="15" s="1"/>
  <c r="D92" i="15" s="1"/>
  <c r="Q18" i="15"/>
  <c r="B215" i="15" s="1"/>
  <c r="S18" i="3"/>
  <c r="S18" i="15" s="1"/>
  <c r="D215" i="15" s="1"/>
  <c r="R18" i="3"/>
  <c r="R18" i="15" s="1"/>
  <c r="C215" i="15" s="1"/>
  <c r="J56" i="13"/>
  <c r="E4" i="16" s="1"/>
  <c r="B26" i="16" s="1"/>
  <c r="J57" i="13"/>
  <c r="E5" i="16" s="1"/>
  <c r="B27" i="16" s="1"/>
  <c r="O20" i="1"/>
  <c r="Q19" i="3" s="1"/>
  <c r="C20" i="15"/>
  <c r="C62" i="15" s="1"/>
  <c r="F21" i="1"/>
  <c r="G21" i="1"/>
  <c r="D58" i="13"/>
  <c r="B59" i="13"/>
  <c r="C59" i="13"/>
  <c r="B22" i="1"/>
  <c r="B21" i="6"/>
  <c r="K21" i="11"/>
  <c r="G58" i="4"/>
  <c r="I22" i="12"/>
  <c r="J50" i="13"/>
  <c r="M20" i="15"/>
  <c r="D155" i="15" s="1"/>
  <c r="J21" i="1"/>
  <c r="B20" i="3" s="1"/>
  <c r="B20" i="15" s="1"/>
  <c r="B62" i="15" s="1"/>
  <c r="L20" i="15"/>
  <c r="C155" i="15" s="1"/>
  <c r="K21" i="1"/>
  <c r="E20" i="3" s="1"/>
  <c r="M21" i="1"/>
  <c r="K20" i="3" s="1"/>
  <c r="K20" i="15" s="1"/>
  <c r="B155" i="15" s="1"/>
  <c r="D20" i="15"/>
  <c r="D62" i="15" s="1"/>
  <c r="B21" i="7"/>
  <c r="E20" i="15" l="1"/>
  <c r="B93" i="15" s="1"/>
  <c r="F20" i="3"/>
  <c r="F20" i="15" s="1"/>
  <c r="C93" i="15" s="1"/>
  <c r="G20" i="3"/>
  <c r="G20" i="15" s="1"/>
  <c r="D93" i="15" s="1"/>
  <c r="Q19" i="15"/>
  <c r="B216" i="15" s="1"/>
  <c r="S19" i="3"/>
  <c r="S19" i="15" s="1"/>
  <c r="D216" i="15" s="1"/>
  <c r="R19" i="3"/>
  <c r="R19" i="15" s="1"/>
  <c r="C216" i="15" s="1"/>
  <c r="C60" i="13"/>
  <c r="B60" i="13"/>
  <c r="B22" i="6"/>
  <c r="B23" i="1"/>
  <c r="K22" i="11"/>
  <c r="G59" i="4"/>
  <c r="I23" i="12"/>
  <c r="G24" i="13"/>
  <c r="H24" i="13" s="1"/>
  <c r="F22" i="1"/>
  <c r="G22" i="1"/>
  <c r="D59" i="13"/>
  <c r="D21" i="15"/>
  <c r="D63" i="15" s="1"/>
  <c r="C21" i="15"/>
  <c r="C63" i="15" s="1"/>
  <c r="O21" i="1"/>
  <c r="Q20" i="3" s="1"/>
  <c r="B22" i="7"/>
  <c r="J22" i="1"/>
  <c r="B21" i="3" s="1"/>
  <c r="B21" i="15" s="1"/>
  <c r="B63" i="15" s="1"/>
  <c r="L21" i="15"/>
  <c r="C156" i="15" s="1"/>
  <c r="M21" i="15"/>
  <c r="D156" i="15" s="1"/>
  <c r="K22" i="1"/>
  <c r="E21" i="3" s="1"/>
  <c r="M22" i="1"/>
  <c r="K21" i="3" s="1"/>
  <c r="K21" i="15" s="1"/>
  <c r="B156" i="15" s="1"/>
  <c r="E21" i="15" l="1"/>
  <c r="B94" i="15" s="1"/>
  <c r="F21" i="3"/>
  <c r="F21" i="15" s="1"/>
  <c r="C94" i="15" s="1"/>
  <c r="G21" i="3"/>
  <c r="G21" i="15" s="1"/>
  <c r="D94" i="15" s="1"/>
  <c r="Q20" i="15"/>
  <c r="B217" i="15" s="1"/>
  <c r="S20" i="3"/>
  <c r="S20" i="15" s="1"/>
  <c r="D217" i="15" s="1"/>
  <c r="R20" i="3"/>
  <c r="R20" i="15" s="1"/>
  <c r="C217" i="15" s="1"/>
  <c r="B61" i="13"/>
  <c r="K45" i="13" s="1"/>
  <c r="C61" i="13"/>
  <c r="B24" i="1"/>
  <c r="B23" i="6"/>
  <c r="K23" i="11"/>
  <c r="I24" i="12"/>
  <c r="G60" i="4"/>
  <c r="G25" i="13"/>
  <c r="H25" i="13" s="1"/>
  <c r="O22" i="1"/>
  <c r="Q21" i="3" s="1"/>
  <c r="F23" i="1"/>
  <c r="G23" i="1"/>
  <c r="D60" i="13"/>
  <c r="C22" i="15"/>
  <c r="C64" i="15" s="1"/>
  <c r="D22" i="15"/>
  <c r="D64" i="15" s="1"/>
  <c r="J23" i="1"/>
  <c r="B22" i="3" s="1"/>
  <c r="B22" i="15" s="1"/>
  <c r="B64" i="15" s="1"/>
  <c r="L22" i="15"/>
  <c r="C157" i="15" s="1"/>
  <c r="M22" i="15"/>
  <c r="D157" i="15" s="1"/>
  <c r="K23" i="1"/>
  <c r="E22" i="3" s="1"/>
  <c r="M23" i="1"/>
  <c r="K22" i="3" s="1"/>
  <c r="K22" i="15" s="1"/>
  <c r="B157" i="15" s="1"/>
  <c r="B23" i="7"/>
  <c r="E22" i="15" l="1"/>
  <c r="B95" i="15" s="1"/>
  <c r="F22" i="3"/>
  <c r="F22" i="15" s="1"/>
  <c r="C95" i="15" s="1"/>
  <c r="G22" i="3"/>
  <c r="G22" i="15" s="1"/>
  <c r="D95" i="15" s="1"/>
  <c r="Q21" i="15"/>
  <c r="B218" i="15" s="1"/>
  <c r="R21" i="3"/>
  <c r="R21" i="15" s="1"/>
  <c r="C218" i="15" s="1"/>
  <c r="S21" i="3"/>
  <c r="S21" i="15" s="1"/>
  <c r="D218" i="15" s="1"/>
  <c r="K54" i="13"/>
  <c r="F2" i="16" s="1"/>
  <c r="B28" i="16" s="1"/>
  <c r="C62" i="13"/>
  <c r="B62" i="13"/>
  <c r="B25" i="1"/>
  <c r="B24" i="6"/>
  <c r="K24" i="11"/>
  <c r="G26" i="13"/>
  <c r="H26" i="13" s="1"/>
  <c r="G61" i="4"/>
  <c r="I25" i="12"/>
  <c r="O23" i="1"/>
  <c r="Q22" i="3" s="1"/>
  <c r="F24" i="1"/>
  <c r="G24" i="1"/>
  <c r="D61" i="13"/>
  <c r="K46" i="13" s="1"/>
  <c r="K55" i="13" s="1"/>
  <c r="D23" i="15"/>
  <c r="D65" i="15" s="1"/>
  <c r="C23" i="15"/>
  <c r="C65" i="15" s="1"/>
  <c r="B24" i="7"/>
  <c r="L23" i="15"/>
  <c r="C158" i="15" s="1"/>
  <c r="J24" i="1"/>
  <c r="B23" i="3" s="1"/>
  <c r="B23" i="15" s="1"/>
  <c r="B65" i="15" s="1"/>
  <c r="M23" i="15"/>
  <c r="D158" i="15" s="1"/>
  <c r="K24" i="1"/>
  <c r="E23" i="3" s="1"/>
  <c r="M24" i="1"/>
  <c r="K23" i="3" s="1"/>
  <c r="K23" i="15" s="1"/>
  <c r="B158" i="15" s="1"/>
  <c r="Q22" i="15" l="1"/>
  <c r="B219" i="15" s="1"/>
  <c r="R22" i="3"/>
  <c r="R22" i="15" s="1"/>
  <c r="C219" i="15" s="1"/>
  <c r="S22" i="3"/>
  <c r="S22" i="15" s="1"/>
  <c r="D219" i="15" s="1"/>
  <c r="E23" i="15"/>
  <c r="B96" i="15" s="1"/>
  <c r="F23" i="3"/>
  <c r="F23" i="15" s="1"/>
  <c r="C96" i="15" s="1"/>
  <c r="G23" i="3"/>
  <c r="G23" i="15" s="1"/>
  <c r="D96" i="15" s="1"/>
  <c r="K47" i="13"/>
  <c r="K48" i="13"/>
  <c r="K50" i="13"/>
  <c r="F3" i="16"/>
  <c r="B29" i="16" s="1"/>
  <c r="C63" i="13"/>
  <c r="B63" i="13"/>
  <c r="B25" i="6"/>
  <c r="B26" i="1"/>
  <c r="K25" i="11"/>
  <c r="G62" i="4"/>
  <c r="G27" i="13"/>
  <c r="H27" i="13" s="1"/>
  <c r="I26" i="12"/>
  <c r="O24" i="1"/>
  <c r="Q23" i="3" s="1"/>
  <c r="F25" i="1"/>
  <c r="G25" i="1"/>
  <c r="D62" i="13"/>
  <c r="J25" i="1"/>
  <c r="B24" i="3" s="1"/>
  <c r="B24" i="15" s="1"/>
  <c r="B66" i="15" s="1"/>
  <c r="M24" i="15"/>
  <c r="D159" i="15" s="1"/>
  <c r="L24" i="15"/>
  <c r="C159" i="15" s="1"/>
  <c r="K25" i="1"/>
  <c r="E24" i="3" s="1"/>
  <c r="C24" i="15"/>
  <c r="C66" i="15" s="1"/>
  <c r="D24" i="15"/>
  <c r="D66" i="15" s="1"/>
  <c r="M25" i="1"/>
  <c r="K24" i="3" s="1"/>
  <c r="K24" i="15" s="1"/>
  <c r="B159" i="15" s="1"/>
  <c r="B25" i="7"/>
  <c r="K56" i="13" l="1"/>
  <c r="F4" i="16" s="1"/>
  <c r="B30" i="16" s="1"/>
  <c r="E24" i="15"/>
  <c r="B97" i="15" s="1"/>
  <c r="G24" i="3"/>
  <c r="G24" i="15" s="1"/>
  <c r="D97" i="15" s="1"/>
  <c r="F24" i="3"/>
  <c r="F24" i="15" s="1"/>
  <c r="C97" i="15" s="1"/>
  <c r="K57" i="13"/>
  <c r="F5" i="16" s="1"/>
  <c r="B31" i="16" s="1"/>
  <c r="Q23" i="15"/>
  <c r="B220" i="15" s="1"/>
  <c r="R23" i="3"/>
  <c r="R23" i="15" s="1"/>
  <c r="C220" i="15" s="1"/>
  <c r="S23" i="3"/>
  <c r="S23" i="15" s="1"/>
  <c r="D220" i="15" s="1"/>
  <c r="O25" i="1"/>
  <c r="Q24" i="3" s="1"/>
  <c r="C64" i="13"/>
  <c r="B64" i="13"/>
  <c r="B27" i="1"/>
  <c r="B26" i="6"/>
  <c r="K26" i="11"/>
  <c r="G63" i="4"/>
  <c r="G28" i="13"/>
  <c r="H28" i="13" s="1"/>
  <c r="I27" i="12"/>
  <c r="F26" i="1"/>
  <c r="G26" i="1"/>
  <c r="D63" i="13"/>
  <c r="C25" i="15"/>
  <c r="C67" i="15" s="1"/>
  <c r="D25" i="15"/>
  <c r="D67" i="15" s="1"/>
  <c r="B26" i="7"/>
  <c r="J26" i="1"/>
  <c r="B25" i="3" s="1"/>
  <c r="B25" i="15" s="1"/>
  <c r="B67" i="15" s="1"/>
  <c r="M25" i="15"/>
  <c r="D160" i="15" s="1"/>
  <c r="K26" i="1"/>
  <c r="E25" i="3" s="1"/>
  <c r="L25" i="15"/>
  <c r="C160" i="15" s="1"/>
  <c r="M26" i="1"/>
  <c r="K25" i="3" s="1"/>
  <c r="K25" i="15" s="1"/>
  <c r="B160" i="15" s="1"/>
  <c r="Q24" i="15" l="1"/>
  <c r="B221" i="15" s="1"/>
  <c r="R24" i="3"/>
  <c r="R24" i="15" s="1"/>
  <c r="C221" i="15" s="1"/>
  <c r="S24" i="3"/>
  <c r="S24" i="15" s="1"/>
  <c r="D221" i="15" s="1"/>
  <c r="E25" i="15"/>
  <c r="B98" i="15" s="1"/>
  <c r="G25" i="3"/>
  <c r="G25" i="15" s="1"/>
  <c r="D98" i="15" s="1"/>
  <c r="F25" i="3"/>
  <c r="F25" i="15" s="1"/>
  <c r="C98" i="15" s="1"/>
  <c r="C65" i="13"/>
  <c r="B65" i="13"/>
  <c r="B27" i="6"/>
  <c r="B28" i="1"/>
  <c r="K27" i="11"/>
  <c r="G64" i="4"/>
  <c r="G29" i="13"/>
  <c r="H29" i="13" s="1"/>
  <c r="I28" i="12"/>
  <c r="F27" i="1"/>
  <c r="G27" i="1"/>
  <c r="D64" i="13"/>
  <c r="C26" i="15"/>
  <c r="C68" i="15" s="1"/>
  <c r="D26" i="15"/>
  <c r="D68" i="15" s="1"/>
  <c r="O26" i="1"/>
  <c r="Q25" i="3" s="1"/>
  <c r="J27" i="1"/>
  <c r="B26" i="3" s="1"/>
  <c r="B26" i="15" s="1"/>
  <c r="B68" i="15" s="1"/>
  <c r="M26" i="15"/>
  <c r="D161" i="15" s="1"/>
  <c r="L26" i="15"/>
  <c r="C161" i="15" s="1"/>
  <c r="K27" i="1"/>
  <c r="E26" i="3" s="1"/>
  <c r="M27" i="1"/>
  <c r="K26" i="3" s="1"/>
  <c r="K26" i="15" s="1"/>
  <c r="B161" i="15" s="1"/>
  <c r="B27" i="7"/>
  <c r="E26" i="15" l="1"/>
  <c r="B99" i="15" s="1"/>
  <c r="G26" i="3"/>
  <c r="G26" i="15" s="1"/>
  <c r="D99" i="15" s="1"/>
  <c r="F26" i="3"/>
  <c r="F26" i="15" s="1"/>
  <c r="C99" i="15" s="1"/>
  <c r="Q25" i="15"/>
  <c r="B222" i="15" s="1"/>
  <c r="R25" i="3"/>
  <c r="R25" i="15" s="1"/>
  <c r="C222" i="15" s="1"/>
  <c r="S25" i="3"/>
  <c r="S25" i="15" s="1"/>
  <c r="D222" i="15" s="1"/>
  <c r="O27" i="1"/>
  <c r="Q26" i="3" s="1"/>
  <c r="C66" i="13"/>
  <c r="B66" i="13"/>
  <c r="L45" i="13" s="1"/>
  <c r="B28" i="6"/>
  <c r="B29" i="1"/>
  <c r="K28" i="11"/>
  <c r="I29" i="12"/>
  <c r="G65" i="4"/>
  <c r="G30" i="13"/>
  <c r="H30" i="13" s="1"/>
  <c r="F28" i="1"/>
  <c r="G28" i="1"/>
  <c r="D65" i="13"/>
  <c r="D27" i="15"/>
  <c r="D69" i="15" s="1"/>
  <c r="C27" i="15"/>
  <c r="C69" i="15" s="1"/>
  <c r="B28" i="7"/>
  <c r="L27" i="15"/>
  <c r="C162" i="15" s="1"/>
  <c r="J28" i="1"/>
  <c r="B27" i="3" s="1"/>
  <c r="B27" i="15" s="1"/>
  <c r="B69" i="15" s="1"/>
  <c r="M27" i="15"/>
  <c r="D162" i="15" s="1"/>
  <c r="K28" i="1"/>
  <c r="E27" i="3" s="1"/>
  <c r="M28" i="1"/>
  <c r="K27" i="3" s="1"/>
  <c r="K27" i="15" s="1"/>
  <c r="B162" i="15" s="1"/>
  <c r="L54" i="13" l="1"/>
  <c r="G2" i="16" s="1"/>
  <c r="B32" i="16" s="1"/>
  <c r="Q26" i="15"/>
  <c r="B223" i="15" s="1"/>
  <c r="R26" i="3"/>
  <c r="R26" i="15" s="1"/>
  <c r="C223" i="15" s="1"/>
  <c r="S26" i="3"/>
  <c r="S26" i="15" s="1"/>
  <c r="D223" i="15" s="1"/>
  <c r="E27" i="15"/>
  <c r="B100" i="15" s="1"/>
  <c r="G27" i="3"/>
  <c r="G27" i="15" s="1"/>
  <c r="D100" i="15" s="1"/>
  <c r="F27" i="3"/>
  <c r="F27" i="15" s="1"/>
  <c r="C100" i="15" s="1"/>
  <c r="B67" i="13"/>
  <c r="C67" i="13"/>
  <c r="B30" i="1"/>
  <c r="B29" i="6"/>
  <c r="K29" i="11"/>
  <c r="G66" i="4"/>
  <c r="I30" i="12"/>
  <c r="G31" i="13"/>
  <c r="H31" i="13" s="1"/>
  <c r="O28" i="1"/>
  <c r="Q27" i="3" s="1"/>
  <c r="C28" i="15"/>
  <c r="C70" i="15" s="1"/>
  <c r="D28" i="15"/>
  <c r="D70" i="15" s="1"/>
  <c r="F29" i="1"/>
  <c r="G29" i="1"/>
  <c r="D66" i="13"/>
  <c r="J29" i="1"/>
  <c r="B28" i="3" s="1"/>
  <c r="B28" i="15" s="1"/>
  <c r="B70" i="15" s="1"/>
  <c r="L28" i="15"/>
  <c r="C163" i="15" s="1"/>
  <c r="M28" i="15"/>
  <c r="D163" i="15" s="1"/>
  <c r="K29" i="1"/>
  <c r="E28" i="3" s="1"/>
  <c r="M29" i="1"/>
  <c r="K28" i="3" s="1"/>
  <c r="K28" i="15" s="1"/>
  <c r="B163" i="15" s="1"/>
  <c r="B29" i="7"/>
  <c r="Q27" i="15" l="1"/>
  <c r="B224" i="15" s="1"/>
  <c r="R27" i="3"/>
  <c r="R27" i="15" s="1"/>
  <c r="C224" i="15" s="1"/>
  <c r="S27" i="3"/>
  <c r="S27" i="15" s="1"/>
  <c r="D224" i="15" s="1"/>
  <c r="E28" i="15"/>
  <c r="B101" i="15" s="1"/>
  <c r="G28" i="3"/>
  <c r="G28" i="15" s="1"/>
  <c r="D101" i="15" s="1"/>
  <c r="F28" i="3"/>
  <c r="F28" i="15" s="1"/>
  <c r="C101" i="15" s="1"/>
  <c r="L47" i="13"/>
  <c r="L48" i="13"/>
  <c r="C68" i="13"/>
  <c r="B68" i="13"/>
  <c r="B30" i="6"/>
  <c r="B31" i="1"/>
  <c r="K30" i="11"/>
  <c r="G67" i="4"/>
  <c r="I31" i="12"/>
  <c r="G32" i="13"/>
  <c r="O29" i="1"/>
  <c r="Q28" i="3" s="1"/>
  <c r="L46" i="13"/>
  <c r="L55" i="13" s="1"/>
  <c r="F30" i="1"/>
  <c r="G30" i="1"/>
  <c r="D67" i="13"/>
  <c r="D29" i="15"/>
  <c r="D71" i="15" s="1"/>
  <c r="C29" i="15"/>
  <c r="C71" i="15" s="1"/>
  <c r="L29" i="15"/>
  <c r="C164" i="15" s="1"/>
  <c r="J30" i="1"/>
  <c r="B29" i="3" s="1"/>
  <c r="B29" i="15" s="1"/>
  <c r="B71" i="15" s="1"/>
  <c r="M29" i="15"/>
  <c r="D164" i="15" s="1"/>
  <c r="K30" i="1"/>
  <c r="E29" i="3" s="1"/>
  <c r="M30" i="1"/>
  <c r="K29" i="3" s="1"/>
  <c r="K29" i="15" s="1"/>
  <c r="B164" i="15" s="1"/>
  <c r="B30" i="7"/>
  <c r="I13" i="15"/>
  <c r="C117" i="15" s="1"/>
  <c r="J13" i="15"/>
  <c r="D117" i="15" s="1"/>
  <c r="L14" i="1"/>
  <c r="H13" i="3" s="1"/>
  <c r="H13" i="15" s="1"/>
  <c r="B117" i="15" s="1"/>
  <c r="C3" i="11"/>
  <c r="E29" i="15" l="1"/>
  <c r="B102" i="15" s="1"/>
  <c r="G29" i="3"/>
  <c r="G29" i="15" s="1"/>
  <c r="D102" i="15" s="1"/>
  <c r="F29" i="3"/>
  <c r="F29" i="15" s="1"/>
  <c r="C102" i="15" s="1"/>
  <c r="Q28" i="15"/>
  <c r="B225" i="15" s="1"/>
  <c r="S28" i="3"/>
  <c r="S28" i="15" s="1"/>
  <c r="D225" i="15" s="1"/>
  <c r="R28" i="3"/>
  <c r="R28" i="15" s="1"/>
  <c r="C225" i="15" s="1"/>
  <c r="L57" i="13"/>
  <c r="G5" i="16" s="1"/>
  <c r="B35" i="16" s="1"/>
  <c r="L56" i="13"/>
  <c r="G4" i="16" s="1"/>
  <c r="B34" i="16" s="1"/>
  <c r="L50" i="13"/>
  <c r="G3" i="16"/>
  <c r="B33" i="16" s="1"/>
  <c r="C69" i="13"/>
  <c r="B69" i="13"/>
  <c r="B32" i="1"/>
  <c r="B31" i="6"/>
  <c r="K31" i="11"/>
  <c r="G68" i="4"/>
  <c r="I32" i="12"/>
  <c r="G33" i="13"/>
  <c r="D30" i="15"/>
  <c r="D72" i="15" s="1"/>
  <c r="C30" i="15"/>
  <c r="C72" i="15" s="1"/>
  <c r="O30" i="1"/>
  <c r="Q29" i="3" s="1"/>
  <c r="F31" i="1"/>
  <c r="H32" i="13"/>
  <c r="G31" i="1" s="1"/>
  <c r="D68" i="13"/>
  <c r="J31" i="1"/>
  <c r="B30" i="3" s="1"/>
  <c r="B30" i="15" s="1"/>
  <c r="B72" i="15" s="1"/>
  <c r="M30" i="15"/>
  <c r="D165" i="15" s="1"/>
  <c r="L30" i="15"/>
  <c r="C165" i="15" s="1"/>
  <c r="K31" i="1"/>
  <c r="E30" i="3" s="1"/>
  <c r="M31" i="1"/>
  <c r="K30" i="3" s="1"/>
  <c r="K30" i="15" s="1"/>
  <c r="B165" i="15" s="1"/>
  <c r="B31" i="7"/>
  <c r="J5" i="15"/>
  <c r="D109" i="15" s="1"/>
  <c r="I5" i="15"/>
  <c r="C109" i="15" s="1"/>
  <c r="L6" i="1"/>
  <c r="H5" i="3" s="1"/>
  <c r="H5" i="15" s="1"/>
  <c r="B109" i="15" s="1"/>
  <c r="J14" i="15"/>
  <c r="D118" i="15" s="1"/>
  <c r="I14" i="15"/>
  <c r="C118" i="15" s="1"/>
  <c r="L15" i="1"/>
  <c r="H14" i="3" s="1"/>
  <c r="H14" i="15" s="1"/>
  <c r="B118" i="15" s="1"/>
  <c r="I4" i="15"/>
  <c r="C108" i="15" s="1"/>
  <c r="J4" i="15"/>
  <c r="D108" i="15" s="1"/>
  <c r="L5" i="1"/>
  <c r="H4" i="3" s="1"/>
  <c r="H4" i="15" s="1"/>
  <c r="B108" i="15" s="1"/>
  <c r="E30" i="15" l="1"/>
  <c r="B103" i="15" s="1"/>
  <c r="F30" i="3"/>
  <c r="F30" i="15" s="1"/>
  <c r="C103" i="15" s="1"/>
  <c r="G30" i="3"/>
  <c r="G30" i="15" s="1"/>
  <c r="D103" i="15" s="1"/>
  <c r="Q29" i="15"/>
  <c r="B226" i="15" s="1"/>
  <c r="R29" i="3"/>
  <c r="R29" i="15" s="1"/>
  <c r="C226" i="15" s="1"/>
  <c r="S29" i="3"/>
  <c r="S29" i="15" s="1"/>
  <c r="D226" i="15" s="1"/>
  <c r="F32" i="1"/>
  <c r="H33" i="13"/>
  <c r="G32" i="1" s="1"/>
  <c r="D69" i="13"/>
  <c r="C31" i="15"/>
  <c r="C73" i="15" s="1"/>
  <c r="O31" i="1"/>
  <c r="Q30" i="3" s="1"/>
  <c r="C70" i="13"/>
  <c r="B70" i="13"/>
  <c r="B33" i="1"/>
  <c r="B32" i="6"/>
  <c r="K32" i="11"/>
  <c r="I33" i="12"/>
  <c r="G34" i="13"/>
  <c r="G69" i="4"/>
  <c r="J32" i="1"/>
  <c r="B31" i="3" s="1"/>
  <c r="B31" i="15" s="1"/>
  <c r="B73" i="15" s="1"/>
  <c r="M31" i="15"/>
  <c r="D166" i="15" s="1"/>
  <c r="L31" i="15"/>
  <c r="C166" i="15" s="1"/>
  <c r="K32" i="1"/>
  <c r="E31" i="3" s="1"/>
  <c r="D31" i="15"/>
  <c r="D73" i="15" s="1"/>
  <c r="M32" i="1"/>
  <c r="K31" i="3" s="1"/>
  <c r="K31" i="15" s="1"/>
  <c r="B166" i="15" s="1"/>
  <c r="L16" i="1"/>
  <c r="H15" i="3" s="1"/>
  <c r="H15" i="15" s="1"/>
  <c r="B119" i="15" s="1"/>
  <c r="I15" i="15"/>
  <c r="C119" i="15" s="1"/>
  <c r="J15" i="15"/>
  <c r="D119" i="15" s="1"/>
  <c r="J6" i="15"/>
  <c r="D110" i="15" s="1"/>
  <c r="L7" i="1"/>
  <c r="H6" i="3" s="1"/>
  <c r="H6" i="15" s="1"/>
  <c r="B110" i="15" s="1"/>
  <c r="I6" i="15"/>
  <c r="C110" i="15" s="1"/>
  <c r="Q30" i="15" l="1"/>
  <c r="B227" i="15" s="1"/>
  <c r="S30" i="3"/>
  <c r="S30" i="15" s="1"/>
  <c r="D227" i="15" s="1"/>
  <c r="R30" i="3"/>
  <c r="R30" i="15" s="1"/>
  <c r="C227" i="15" s="1"/>
  <c r="E31" i="15"/>
  <c r="B104" i="15" s="1"/>
  <c r="F31" i="3"/>
  <c r="F31" i="15" s="1"/>
  <c r="C104" i="15" s="1"/>
  <c r="G31" i="3"/>
  <c r="G31" i="15" s="1"/>
  <c r="D104" i="15" s="1"/>
  <c r="F33" i="1"/>
  <c r="H34" i="13"/>
  <c r="G33" i="1" s="1"/>
  <c r="D70" i="13"/>
  <c r="O32" i="1"/>
  <c r="Q31" i="3" s="1"/>
  <c r="J33" i="1"/>
  <c r="B32" i="3" s="1"/>
  <c r="B32" i="15" s="1"/>
  <c r="B74" i="15" s="1"/>
  <c r="M32" i="15"/>
  <c r="D167" i="15" s="1"/>
  <c r="K33" i="1"/>
  <c r="E32" i="3" s="1"/>
  <c r="L32" i="15"/>
  <c r="C167" i="15" s="1"/>
  <c r="C32" i="15"/>
  <c r="C74" i="15" s="1"/>
  <c r="D32" i="15"/>
  <c r="D74" i="15" s="1"/>
  <c r="M33" i="1"/>
  <c r="K32" i="3" s="1"/>
  <c r="K32" i="15" s="1"/>
  <c r="B167" i="15" s="1"/>
  <c r="I7" i="15"/>
  <c r="C111" i="15" s="1"/>
  <c r="J7" i="15"/>
  <c r="D111" i="15" s="1"/>
  <c r="L8" i="1"/>
  <c r="H7" i="3" s="1"/>
  <c r="H7" i="15" s="1"/>
  <c r="B111" i="15" s="1"/>
  <c r="L17" i="1"/>
  <c r="H16" i="3" s="1"/>
  <c r="H16" i="15" s="1"/>
  <c r="B120" i="15" s="1"/>
  <c r="I16" i="15"/>
  <c r="C120" i="15" s="1"/>
  <c r="J16" i="15"/>
  <c r="D120" i="15" s="1"/>
  <c r="Q31" i="15" l="1"/>
  <c r="B228" i="15" s="1"/>
  <c r="R31" i="3"/>
  <c r="R31" i="15" s="1"/>
  <c r="C228" i="15" s="1"/>
  <c r="S31" i="3"/>
  <c r="S31" i="15" s="1"/>
  <c r="D228" i="15" s="1"/>
  <c r="E32" i="15"/>
  <c r="B105" i="15" s="1"/>
  <c r="F32" i="3"/>
  <c r="F32" i="15" s="1"/>
  <c r="C105" i="15" s="1"/>
  <c r="G32" i="3"/>
  <c r="G32" i="15" s="1"/>
  <c r="D105" i="15" s="1"/>
  <c r="O33" i="1"/>
  <c r="Q32" i="3" s="1"/>
  <c r="J17" i="15"/>
  <c r="D121" i="15" s="1"/>
  <c r="I17" i="15"/>
  <c r="C121" i="15" s="1"/>
  <c r="L18" i="1"/>
  <c r="H17" i="3" s="1"/>
  <c r="H17" i="15" s="1"/>
  <c r="B121" i="15" s="1"/>
  <c r="L9" i="1"/>
  <c r="H8" i="3" s="1"/>
  <c r="H8" i="15" s="1"/>
  <c r="B112" i="15" s="1"/>
  <c r="J8" i="15"/>
  <c r="D112" i="15" s="1"/>
  <c r="I8" i="15"/>
  <c r="C112" i="15" s="1"/>
  <c r="Q32" i="15" l="1"/>
  <c r="B229" i="15" s="1"/>
  <c r="R32" i="3"/>
  <c r="R32" i="15" s="1"/>
  <c r="C229" i="15" s="1"/>
  <c r="S32" i="3"/>
  <c r="S32" i="15" s="1"/>
  <c r="D229" i="15" s="1"/>
  <c r="I9" i="15"/>
  <c r="C113" i="15" s="1"/>
  <c r="J9" i="15"/>
  <c r="D113" i="15" s="1"/>
  <c r="L10" i="1"/>
  <c r="H9" i="3" s="1"/>
  <c r="H9" i="15" s="1"/>
  <c r="B113" i="15" s="1"/>
  <c r="L19" i="1"/>
  <c r="H18" i="3" s="1"/>
  <c r="H18" i="15" s="1"/>
  <c r="B122" i="15" s="1"/>
  <c r="J18" i="15"/>
  <c r="D122" i="15" s="1"/>
  <c r="I18" i="15"/>
  <c r="C122" i="15" s="1"/>
  <c r="L20" i="1" l="1"/>
  <c r="H19" i="3" s="1"/>
  <c r="H19" i="15" s="1"/>
  <c r="B123" i="15" s="1"/>
  <c r="I19" i="15"/>
  <c r="C123" i="15" s="1"/>
  <c r="J19" i="15"/>
  <c r="D123" i="15" s="1"/>
  <c r="L11" i="1"/>
  <c r="H10" i="3" s="1"/>
  <c r="H10" i="15" s="1"/>
  <c r="B114" i="15" s="1"/>
  <c r="J10" i="15"/>
  <c r="D114" i="15" s="1"/>
  <c r="I10" i="15"/>
  <c r="C114" i="15" s="1"/>
  <c r="J11" i="15" l="1"/>
  <c r="D115" i="15" s="1"/>
  <c r="L12" i="1"/>
  <c r="H11" i="3" s="1"/>
  <c r="H11" i="15" s="1"/>
  <c r="B115" i="15" s="1"/>
  <c r="I11" i="15"/>
  <c r="C115" i="15" s="1"/>
  <c r="J20" i="15"/>
  <c r="D124" i="15" s="1"/>
  <c r="I20" i="15"/>
  <c r="C124" i="15" s="1"/>
  <c r="L21" i="1"/>
  <c r="H20" i="3" s="1"/>
  <c r="H20" i="15" s="1"/>
  <c r="B124" i="15" s="1"/>
  <c r="L22" i="1" l="1"/>
  <c r="H21" i="3" s="1"/>
  <c r="H21" i="15" s="1"/>
  <c r="B125" i="15" s="1"/>
  <c r="I21" i="15"/>
  <c r="C125" i="15" s="1"/>
  <c r="J21" i="15"/>
  <c r="D125" i="15" s="1"/>
  <c r="I12" i="15"/>
  <c r="C116" i="15" s="1"/>
  <c r="J12" i="15"/>
  <c r="D116" i="15" s="1"/>
  <c r="L13" i="1"/>
  <c r="H12" i="3" s="1"/>
  <c r="H12" i="15" s="1"/>
  <c r="B116" i="15" s="1"/>
  <c r="L23" i="1" l="1"/>
  <c r="H22" i="3" s="1"/>
  <c r="H22" i="15" s="1"/>
  <c r="B126" i="15" s="1"/>
  <c r="I22" i="15"/>
  <c r="C126" i="15" s="1"/>
  <c r="J22" i="15"/>
  <c r="D126" i="15" s="1"/>
  <c r="I23" i="15" l="1"/>
  <c r="C127" i="15" s="1"/>
  <c r="L24" i="1"/>
  <c r="H23" i="3" s="1"/>
  <c r="H23" i="15" s="1"/>
  <c r="B127" i="15" s="1"/>
  <c r="J23" i="15"/>
  <c r="D127" i="15" s="1"/>
  <c r="L25" i="1" l="1"/>
  <c r="H24" i="3" s="1"/>
  <c r="H24" i="15" s="1"/>
  <c r="B128" i="15" s="1"/>
  <c r="I24" i="15"/>
  <c r="C128" i="15" s="1"/>
  <c r="J24" i="15"/>
  <c r="D128" i="15" s="1"/>
  <c r="I25" i="15" l="1"/>
  <c r="C129" i="15" s="1"/>
  <c r="L26" i="1"/>
  <c r="H25" i="3" s="1"/>
  <c r="H25" i="15" s="1"/>
  <c r="B129" i="15" s="1"/>
  <c r="J25" i="15"/>
  <c r="D129" i="15" s="1"/>
  <c r="J26" i="15" l="1"/>
  <c r="D130" i="15" s="1"/>
  <c r="I26" i="15"/>
  <c r="C130" i="15" s="1"/>
  <c r="L27" i="1"/>
  <c r="H26" i="3" s="1"/>
  <c r="H26" i="15" s="1"/>
  <c r="B130" i="15" s="1"/>
  <c r="J27" i="15" l="1"/>
  <c r="D131" i="15" s="1"/>
  <c r="L28" i="1"/>
  <c r="H27" i="3" s="1"/>
  <c r="H27" i="15" s="1"/>
  <c r="B131" i="15" s="1"/>
  <c r="I27" i="15"/>
  <c r="C131" i="15" s="1"/>
  <c r="I28" i="15" l="1"/>
  <c r="C132" i="15" s="1"/>
  <c r="J28" i="15"/>
  <c r="D132" i="15" s="1"/>
  <c r="L29" i="1"/>
  <c r="H28" i="3" s="1"/>
  <c r="H28" i="15" s="1"/>
  <c r="B132" i="15" s="1"/>
  <c r="I29" i="15" l="1"/>
  <c r="C133" i="15" s="1"/>
  <c r="L30" i="1"/>
  <c r="H29" i="3" s="1"/>
  <c r="H29" i="15" s="1"/>
  <c r="B133" i="15" s="1"/>
  <c r="J29" i="15"/>
  <c r="D133" i="15" s="1"/>
  <c r="I30" i="15" l="1"/>
  <c r="C134" i="15" s="1"/>
  <c r="L31" i="1"/>
  <c r="H30" i="3" s="1"/>
  <c r="H30" i="15" s="1"/>
  <c r="B134" i="15" s="1"/>
  <c r="J30" i="15"/>
  <c r="D134" i="15" s="1"/>
  <c r="J31" i="15" l="1"/>
  <c r="D135" i="15" s="1"/>
  <c r="L32" i="1"/>
  <c r="H31" i="3" s="1"/>
  <c r="H31" i="15" s="1"/>
  <c r="B135" i="15" s="1"/>
  <c r="I31" i="15"/>
  <c r="C135" i="15" s="1"/>
  <c r="I32" i="15" l="1"/>
  <c r="C136" i="15" s="1"/>
  <c r="J32" i="15"/>
  <c r="D136" i="15" s="1"/>
  <c r="L33" i="1"/>
  <c r="H32" i="3" s="1"/>
  <c r="H32" i="15" s="1"/>
  <c r="B136" i="15" s="1"/>
  <c r="L34" i="1" l="1"/>
  <c r="H33" i="3" s="1"/>
  <c r="H33" i="15" s="1"/>
  <c r="B137" i="15" s="1"/>
  <c r="I33" i="15"/>
  <c r="C137" i="15" s="1"/>
  <c r="J33" i="15"/>
  <c r="D137" i="15" s="1"/>
  <c r="N5" i="1" l="1"/>
  <c r="N4" i="3" s="1"/>
  <c r="N4" i="15" l="1"/>
  <c r="B170" i="15" s="1"/>
  <c r="O4" i="3"/>
  <c r="O4" i="15" s="1"/>
  <c r="C170" i="15" s="1"/>
  <c r="P4" i="3"/>
  <c r="P4" i="15" s="1"/>
  <c r="D170" i="15" s="1"/>
  <c r="N6" i="1"/>
  <c r="N5" i="3" s="1"/>
  <c r="N5" i="15" l="1"/>
  <c r="B171" i="15" s="1"/>
  <c r="O5" i="3"/>
  <c r="O5" i="15" s="1"/>
  <c r="C171" i="15" s="1"/>
  <c r="P5" i="3"/>
  <c r="P5" i="15" s="1"/>
  <c r="D171" i="15" s="1"/>
  <c r="N7" i="1"/>
  <c r="N6" i="3" s="1"/>
  <c r="N6" i="15" l="1"/>
  <c r="B172" i="15" s="1"/>
  <c r="O6" i="3"/>
  <c r="O6" i="15" s="1"/>
  <c r="C172" i="15" s="1"/>
  <c r="P6" i="3"/>
  <c r="P6" i="15" s="1"/>
  <c r="D172" i="15" s="1"/>
  <c r="N8" i="1"/>
  <c r="N7" i="3" s="1"/>
  <c r="N7" i="15" l="1"/>
  <c r="B173" i="15" s="1"/>
  <c r="P7" i="3"/>
  <c r="P7" i="15" s="1"/>
  <c r="D173" i="15" s="1"/>
  <c r="O7" i="3"/>
  <c r="O7" i="15" s="1"/>
  <c r="C173" i="15" s="1"/>
  <c r="N9" i="1"/>
  <c r="N8" i="3" s="1"/>
  <c r="N10" i="1"/>
  <c r="N9" i="3" s="1"/>
  <c r="N8" i="15" l="1"/>
  <c r="B174" i="15" s="1"/>
  <c r="O8" i="3"/>
  <c r="O8" i="15" s="1"/>
  <c r="C174" i="15" s="1"/>
  <c r="P8" i="3"/>
  <c r="P8" i="15" s="1"/>
  <c r="D174" i="15" s="1"/>
  <c r="N9" i="15"/>
  <c r="B175" i="15" s="1"/>
  <c r="P9" i="3"/>
  <c r="P9" i="15" s="1"/>
  <c r="D175" i="15" s="1"/>
  <c r="O9" i="3"/>
  <c r="O9" i="15" s="1"/>
  <c r="C175" i="15" s="1"/>
  <c r="N11" i="1"/>
  <c r="N10" i="3" s="1"/>
  <c r="N10" i="15" l="1"/>
  <c r="B176" i="15" s="1"/>
  <c r="O10" i="3"/>
  <c r="O10" i="15" s="1"/>
  <c r="C176" i="15" s="1"/>
  <c r="P10" i="3"/>
  <c r="P10" i="15" s="1"/>
  <c r="D176" i="15" s="1"/>
  <c r="N12" i="1"/>
  <c r="N11" i="3" s="1"/>
  <c r="N11" i="15" l="1"/>
  <c r="B177" i="15" s="1"/>
  <c r="P11" i="3"/>
  <c r="P11" i="15" s="1"/>
  <c r="D177" i="15" s="1"/>
  <c r="O11" i="3"/>
  <c r="O11" i="15" s="1"/>
  <c r="C177" i="15" s="1"/>
  <c r="N13" i="1"/>
  <c r="N12" i="3" s="1"/>
  <c r="N12" i="15" l="1"/>
  <c r="B178" i="15" s="1"/>
  <c r="P12" i="3"/>
  <c r="P12" i="15" s="1"/>
  <c r="D178" i="15" s="1"/>
  <c r="O12" i="3"/>
  <c r="O12" i="15" s="1"/>
  <c r="C178" i="15" s="1"/>
  <c r="N14" i="1"/>
  <c r="N13" i="3" s="1"/>
  <c r="N15" i="1"/>
  <c r="N14" i="3" s="1"/>
  <c r="N13" i="15" l="1"/>
  <c r="B179" i="15" s="1"/>
  <c r="O13" i="3"/>
  <c r="O13" i="15" s="1"/>
  <c r="C179" i="15" s="1"/>
  <c r="P13" i="3"/>
  <c r="P13" i="15" s="1"/>
  <c r="D179" i="15" s="1"/>
  <c r="N14" i="15"/>
  <c r="B180" i="15" s="1"/>
  <c r="O14" i="3"/>
  <c r="O14" i="15" s="1"/>
  <c r="C180" i="15" s="1"/>
  <c r="P14" i="3"/>
  <c r="P14" i="15" s="1"/>
  <c r="D180" i="15" s="1"/>
  <c r="N16" i="1"/>
  <c r="N15" i="3" s="1"/>
  <c r="N15" i="15" l="1"/>
  <c r="B181" i="15" s="1"/>
  <c r="O15" i="3"/>
  <c r="O15" i="15" s="1"/>
  <c r="C181" i="15" s="1"/>
  <c r="P15" i="3"/>
  <c r="P15" i="15" s="1"/>
  <c r="D181" i="15" s="1"/>
  <c r="N17" i="1"/>
  <c r="N16" i="3" s="1"/>
  <c r="N16" i="15" l="1"/>
  <c r="B182" i="15" s="1"/>
  <c r="O16" i="3"/>
  <c r="O16" i="15" s="1"/>
  <c r="C182" i="15" s="1"/>
  <c r="P16" i="3"/>
  <c r="P16" i="15" s="1"/>
  <c r="D182" i="15" s="1"/>
  <c r="N18" i="1"/>
  <c r="N17" i="3" s="1"/>
  <c r="N17" i="15" l="1"/>
  <c r="B183" i="15" s="1"/>
  <c r="P17" i="3"/>
  <c r="P17" i="15" s="1"/>
  <c r="D183" i="15" s="1"/>
  <c r="O17" i="3"/>
  <c r="O17" i="15" s="1"/>
  <c r="C183" i="15" s="1"/>
  <c r="N19" i="1"/>
  <c r="N18" i="3" s="1"/>
  <c r="N20" i="1"/>
  <c r="N19" i="3" s="1"/>
  <c r="N19" i="15" l="1"/>
  <c r="B185" i="15" s="1"/>
  <c r="O19" i="3"/>
  <c r="O19" i="15" s="1"/>
  <c r="C185" i="15" s="1"/>
  <c r="P19" i="3"/>
  <c r="P19" i="15" s="1"/>
  <c r="D185" i="15" s="1"/>
  <c r="N18" i="15"/>
  <c r="B184" i="15" s="1"/>
  <c r="P18" i="3"/>
  <c r="P18" i="15" s="1"/>
  <c r="D184" i="15" s="1"/>
  <c r="O18" i="3"/>
  <c r="O18" i="15" s="1"/>
  <c r="C184" i="15" s="1"/>
  <c r="N21" i="1"/>
  <c r="N20" i="3" s="1"/>
  <c r="N20" i="15" l="1"/>
  <c r="B186" i="15" s="1"/>
  <c r="O20" i="3"/>
  <c r="O20" i="15" s="1"/>
  <c r="C186" i="15" s="1"/>
  <c r="P20" i="3"/>
  <c r="P20" i="15" s="1"/>
  <c r="D186" i="15" s="1"/>
  <c r="N22" i="1"/>
  <c r="N21" i="3" s="1"/>
  <c r="N21" i="15" l="1"/>
  <c r="B187" i="15" s="1"/>
  <c r="O21" i="3"/>
  <c r="O21" i="15" s="1"/>
  <c r="C187" i="15" s="1"/>
  <c r="P21" i="3"/>
  <c r="P21" i="15" s="1"/>
  <c r="D187" i="15" s="1"/>
  <c r="N23" i="1"/>
  <c r="N22" i="3" s="1"/>
  <c r="N22" i="15" l="1"/>
  <c r="B188" i="15" s="1"/>
  <c r="O22" i="3"/>
  <c r="O22" i="15" s="1"/>
  <c r="C188" i="15" s="1"/>
  <c r="P22" i="3"/>
  <c r="P22" i="15" s="1"/>
  <c r="D188" i="15" s="1"/>
  <c r="N24" i="1"/>
  <c r="N23" i="3" s="1"/>
  <c r="N25" i="1"/>
  <c r="N24" i="3" s="1"/>
  <c r="N24" i="15" l="1"/>
  <c r="B190" i="15" s="1"/>
  <c r="O24" i="3"/>
  <c r="O24" i="15" s="1"/>
  <c r="C190" i="15" s="1"/>
  <c r="P24" i="3"/>
  <c r="P24" i="15" s="1"/>
  <c r="D190" i="15" s="1"/>
  <c r="N23" i="15"/>
  <c r="B189" i="15" s="1"/>
  <c r="O23" i="3"/>
  <c r="O23" i="15" s="1"/>
  <c r="C189" i="15" s="1"/>
  <c r="P23" i="3"/>
  <c r="P23" i="15" s="1"/>
  <c r="D189" i="15" s="1"/>
  <c r="N26" i="1"/>
  <c r="N25" i="3" s="1"/>
  <c r="N25" i="15" l="1"/>
  <c r="B191" i="15" s="1"/>
  <c r="O25" i="3"/>
  <c r="O25" i="15" s="1"/>
  <c r="C191" i="15" s="1"/>
  <c r="P25" i="3"/>
  <c r="P25" i="15" s="1"/>
  <c r="D191" i="15" s="1"/>
  <c r="N27" i="1"/>
  <c r="N26" i="3" s="1"/>
  <c r="N26" i="15" l="1"/>
  <c r="B192" i="15" s="1"/>
  <c r="O26" i="3"/>
  <c r="O26" i="15" s="1"/>
  <c r="C192" i="15" s="1"/>
  <c r="P26" i="3"/>
  <c r="P26" i="15" s="1"/>
  <c r="D192" i="15" s="1"/>
  <c r="N28" i="1"/>
  <c r="N27" i="3" s="1"/>
  <c r="N27" i="15" l="1"/>
  <c r="B193" i="15" s="1"/>
  <c r="P27" i="3"/>
  <c r="P27" i="15" s="1"/>
  <c r="D193" i="15" s="1"/>
  <c r="O27" i="3"/>
  <c r="O27" i="15" s="1"/>
  <c r="C193" i="15" s="1"/>
  <c r="N29" i="1"/>
  <c r="N28" i="3" s="1"/>
  <c r="N30" i="1"/>
  <c r="N29" i="3" s="1"/>
  <c r="N29" i="15" l="1"/>
  <c r="B195" i="15" s="1"/>
  <c r="O29" i="3"/>
  <c r="O29" i="15" s="1"/>
  <c r="C195" i="15" s="1"/>
  <c r="P29" i="3"/>
  <c r="P29" i="15" s="1"/>
  <c r="D195" i="15" s="1"/>
  <c r="N28" i="15"/>
  <c r="B194" i="15" s="1"/>
  <c r="O28" i="3"/>
  <c r="O28" i="15" s="1"/>
  <c r="C194" i="15" s="1"/>
  <c r="P28" i="3"/>
  <c r="P28" i="15" s="1"/>
  <c r="D194" i="15" s="1"/>
  <c r="N31" i="1"/>
  <c r="N30" i="3" s="1"/>
  <c r="N30" i="15" l="1"/>
  <c r="B196" i="15" s="1"/>
  <c r="O30" i="3"/>
  <c r="O30" i="15" s="1"/>
  <c r="C196" i="15" s="1"/>
  <c r="P30" i="3"/>
  <c r="P30" i="15" s="1"/>
  <c r="D196" i="15" s="1"/>
  <c r="N33" i="1"/>
  <c r="N32" i="3" s="1"/>
  <c r="N32" i="1"/>
  <c r="N31" i="3" s="1"/>
  <c r="N31" i="15" l="1"/>
  <c r="B197" i="15" s="1"/>
  <c r="P31" i="3"/>
  <c r="P31" i="15" s="1"/>
  <c r="D197" i="15" s="1"/>
  <c r="O31" i="3"/>
  <c r="O31" i="15" s="1"/>
  <c r="C197" i="15" s="1"/>
  <c r="N32" i="15"/>
  <c r="B198" i="15" s="1"/>
  <c r="O32" i="3"/>
  <c r="O32" i="15" s="1"/>
  <c r="C198" i="15" s="1"/>
  <c r="P32" i="3"/>
  <c r="P32" i="15" s="1"/>
  <c r="D198" i="15" s="1"/>
</calcChain>
</file>

<file path=xl/sharedStrings.xml><?xml version="1.0" encoding="utf-8"?>
<sst xmlns="http://schemas.openxmlformats.org/spreadsheetml/2006/main" count="400" uniqueCount="80">
  <si>
    <t>年份</t>
    <phoneticPr fontId="1" type="noConversion"/>
  </si>
  <si>
    <t>mean</t>
    <phoneticPr fontId="1" type="noConversion"/>
  </si>
  <si>
    <t>max</t>
    <phoneticPr fontId="1" type="noConversion"/>
  </si>
  <si>
    <t>min</t>
    <phoneticPr fontId="1" type="noConversion"/>
  </si>
  <si>
    <t>mean</t>
  </si>
  <si>
    <t>max</t>
  </si>
  <si>
    <t>min</t>
  </si>
  <si>
    <t xml:space="preserve"> </t>
  </si>
  <si>
    <t>Energy</t>
  </si>
  <si>
    <t>Transport</t>
  </si>
  <si>
    <t>BAU</t>
    <phoneticPr fontId="1" type="noConversion"/>
  </si>
  <si>
    <t>P1</t>
    <phoneticPr fontId="1" type="noConversion"/>
  </si>
  <si>
    <t>P3</t>
    <phoneticPr fontId="1" type="noConversion"/>
  </si>
  <si>
    <t>P5</t>
    <phoneticPr fontId="1" type="noConversion"/>
  </si>
  <si>
    <t>Compound feed</t>
  </si>
  <si>
    <t>Seaweed</t>
  </si>
  <si>
    <t>Infrastructure</t>
  </si>
  <si>
    <t>Equipment</t>
  </si>
  <si>
    <t>Feed</t>
    <phoneticPr fontId="1" type="noConversion"/>
  </si>
  <si>
    <t>CF</t>
    <phoneticPr fontId="1" type="noConversion"/>
  </si>
  <si>
    <t>Input</t>
    <phoneticPr fontId="1" type="noConversion"/>
  </si>
  <si>
    <t>Infra.&amp;Equip</t>
  </si>
  <si>
    <t>Net carbon sequestration</t>
    <phoneticPr fontId="1" type="noConversion"/>
  </si>
  <si>
    <t>Best (without BG)</t>
    <phoneticPr fontId="1" type="noConversion"/>
  </si>
  <si>
    <t>Best (with BG)</t>
    <phoneticPr fontId="1" type="noConversion"/>
  </si>
  <si>
    <t>Best (without BG)</t>
  </si>
  <si>
    <t>Best (with BG)</t>
  </si>
  <si>
    <t>scenario</t>
    <phoneticPr fontId="1" type="noConversion"/>
  </si>
  <si>
    <t>Year</t>
    <phoneticPr fontId="1" type="noConversion"/>
  </si>
  <si>
    <t>Infra.&amp;Equip.</t>
    <phoneticPr fontId="1" type="noConversion"/>
  </si>
  <si>
    <t>Process</t>
    <phoneticPr fontId="1" type="noConversion"/>
  </si>
  <si>
    <t>CO2</t>
    <phoneticPr fontId="1" type="noConversion"/>
  </si>
  <si>
    <t>t CO2 eq.</t>
  </si>
  <si>
    <t>year</t>
    <phoneticPr fontId="1" type="noConversion"/>
  </si>
  <si>
    <t>error</t>
    <phoneticPr fontId="1" type="noConversion"/>
  </si>
  <si>
    <t>Ext-1 (South Korea)</t>
    <phoneticPr fontId="1" type="noConversion"/>
  </si>
  <si>
    <t>Electricity</t>
  </si>
  <si>
    <t>Electricity</t>
    <phoneticPr fontId="1" type="noConversion"/>
  </si>
  <si>
    <t>Apart from electricity</t>
    <phoneticPr fontId="1" type="noConversion"/>
  </si>
  <si>
    <t>Infrastructure</t>
    <phoneticPr fontId="1" type="noConversion"/>
  </si>
  <si>
    <t>Apart from infrastructure</t>
    <phoneticPr fontId="1" type="noConversion"/>
  </si>
  <si>
    <t>Apart from electricity &amp; infrastructure</t>
    <phoneticPr fontId="1" type="noConversion"/>
  </si>
  <si>
    <t>Non-genetically improved</t>
    <phoneticPr fontId="1" type="noConversion"/>
  </si>
  <si>
    <t>With CC</t>
  </si>
  <si>
    <t>With CC</t>
    <phoneticPr fontId="1" type="noConversion"/>
  </si>
  <si>
    <t>CF of 1t abalone (LW)</t>
  </si>
  <si>
    <t>CF of 1t abalone (LW)</t>
    <phoneticPr fontId="1" type="noConversion"/>
  </si>
  <si>
    <t>South Korea</t>
    <phoneticPr fontId="1" type="noConversion"/>
  </si>
  <si>
    <t>Nuclear</t>
  </si>
  <si>
    <t>Photovoltaic</t>
  </si>
  <si>
    <t>Wind</t>
    <phoneticPr fontId="1" type="noConversion"/>
  </si>
  <si>
    <t>Hydro</t>
  </si>
  <si>
    <t>Gasoline</t>
  </si>
  <si>
    <t>Fossil</t>
  </si>
  <si>
    <t>CF of 1 kwh</t>
    <phoneticPr fontId="1" type="noConversion"/>
  </si>
  <si>
    <t>rate of infrastructure in total CF</t>
    <phoneticPr fontId="1" type="noConversion"/>
  </si>
  <si>
    <t>Without CC</t>
    <phoneticPr fontId="1" type="noConversion"/>
  </si>
  <si>
    <t>With speed  &amp; CC</t>
    <phoneticPr fontId="1" type="noConversion"/>
  </si>
  <si>
    <t>Total</t>
    <phoneticPr fontId="1" type="noConversion"/>
  </si>
  <si>
    <t>Others</t>
    <phoneticPr fontId="1" type="noConversion"/>
  </si>
  <si>
    <t>After transformation</t>
    <phoneticPr fontId="1" type="noConversion"/>
  </si>
  <si>
    <t>Contribution breakdown</t>
  </si>
  <si>
    <t>Natural</t>
    <phoneticPr fontId="1" type="noConversion"/>
  </si>
  <si>
    <t>Contribution breakdown (with natural)</t>
    <phoneticPr fontId="1" type="noConversion"/>
  </si>
  <si>
    <t>Note: The benchmark takes into account the temperature, but other factors are not considered.</t>
    <phoneticPr fontId="1" type="noConversion"/>
  </si>
  <si>
    <t>Baseline</t>
    <phoneticPr fontId="1" type="noConversion"/>
  </si>
  <si>
    <t>refer to sheet Elec str</t>
    <phoneticPr fontId="1" type="noConversion"/>
  </si>
  <si>
    <t>Energy efficiency improvement</t>
    <phoneticPr fontId="1" type="noConversion"/>
  </si>
  <si>
    <t>refer to sheet Temprature</t>
    <phoneticPr fontId="1" type="noConversion"/>
  </si>
  <si>
    <t>refer to sheet Baseline</t>
    <phoneticPr fontId="1" type="noConversion"/>
  </si>
  <si>
    <t>refer to sheet Speed</t>
    <phoneticPr fontId="1" type="noConversion"/>
  </si>
  <si>
    <t>refer to sheet Infrastructure</t>
    <phoneticPr fontId="1" type="noConversion"/>
  </si>
  <si>
    <t>refer to sheet Best</t>
    <phoneticPr fontId="1" type="noConversion"/>
  </si>
  <si>
    <t>Genetic selection</t>
    <phoneticPr fontId="1" type="noConversion"/>
  </si>
  <si>
    <t>Infrastructure upgrade</t>
    <phoneticPr fontId="1" type="noConversion"/>
  </si>
  <si>
    <t>With natural</t>
    <phoneticPr fontId="1" type="noConversion"/>
  </si>
  <si>
    <t>Production (10000 t)</t>
    <phoneticPr fontId="1" type="noConversion"/>
  </si>
  <si>
    <t>future production of abalones in South Korea (t)</t>
    <phoneticPr fontId="1" type="noConversion"/>
  </si>
  <si>
    <t>CF (without macroalgae)</t>
    <phoneticPr fontId="1" type="noConversion"/>
  </si>
  <si>
    <t>CF (without infrastructure &amp; electrcity &amp; natural)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</si>
</sst>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2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 applyFont="1"/>
    <xf numFmtId="176" fontId="4" fillId="0" borderId="0" xfId="1" applyNumberFormat="1" applyFont="1"/>
    <xf numFmtId="0" fontId="4" fillId="0" borderId="0" xfId="1" applyFont="1" applyAlignment="1">
      <alignment horizontal="center"/>
    </xf>
    <xf numFmtId="11" fontId="4" fillId="0" borderId="0" xfId="1" applyNumberFormat="1" applyFont="1"/>
    <xf numFmtId="0" fontId="5" fillId="0" borderId="0" xfId="1"/>
    <xf numFmtId="0" fontId="4" fillId="2" borderId="0" xfId="1" applyFont="1" applyFill="1"/>
    <xf numFmtId="176" fontId="4" fillId="2" borderId="0" xfId="1" applyNumberFormat="1" applyFont="1" applyFill="1"/>
    <xf numFmtId="11" fontId="4" fillId="2" borderId="0" xfId="1" applyNumberFormat="1" applyFont="1" applyFill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/>
    <xf numFmtId="11" fontId="0" fillId="0" borderId="0" xfId="0" applyNumberFormat="1"/>
    <xf numFmtId="0" fontId="6" fillId="0" borderId="1" xfId="0" applyFont="1" applyBorder="1" applyAlignment="1">
      <alignment horizontal="center" vertical="center"/>
    </xf>
    <xf numFmtId="11" fontId="0" fillId="0" borderId="1" xfId="0" applyNumberFormat="1" applyBorder="1"/>
    <xf numFmtId="0" fontId="6" fillId="0" borderId="2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176" fontId="5" fillId="0" borderId="0" xfId="1" applyNumberFormat="1"/>
    <xf numFmtId="0" fontId="9" fillId="2" borderId="0" xfId="0" applyFont="1" applyFill="1"/>
    <xf numFmtId="0" fontId="9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4" borderId="0" xfId="0" applyFill="1"/>
    <xf numFmtId="0" fontId="8" fillId="4" borderId="0" xfId="0" applyFont="1" applyFill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6" fillId="2" borderId="0" xfId="0" applyFont="1" applyFill="1" applyAlignment="1">
      <alignment horizontal="center" vertical="center"/>
    </xf>
    <xf numFmtId="176" fontId="4" fillId="0" borderId="0" xfId="1" applyNumberFormat="1" applyFont="1" applyAlignment="1">
      <alignment horizontal="center"/>
    </xf>
    <xf numFmtId="11" fontId="4" fillId="0" borderId="0" xfId="1" applyNumberFormat="1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2">
    <cellStyle name="常规" xfId="0" builtinId="0"/>
    <cellStyle name="常规 2" xfId="1" xr:uid="{E9D8CFB1-B1F9-4A91-BE32-69CA1056180C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7B63-C359-44D7-86AA-0A670DC3E5F9}">
  <dimension ref="A1:G22"/>
  <sheetViews>
    <sheetView workbookViewId="0">
      <selection activeCell="A8" sqref="A8"/>
    </sheetView>
  </sheetViews>
  <sheetFormatPr defaultColWidth="8.6640625" defaultRowHeight="14" x14ac:dyDescent="0.3"/>
  <cols>
    <col min="1" max="1" width="21.33203125" style="3" bestFit="1" customWidth="1"/>
    <col min="2" max="2" width="11.33203125" style="3" bestFit="1" customWidth="1"/>
    <col min="3" max="21" width="8.6640625" style="3"/>
    <col min="22" max="22" width="16.1640625" style="3" bestFit="1" customWidth="1"/>
    <col min="23" max="16384" width="8.6640625" style="3"/>
  </cols>
  <sheetData>
    <row r="1" spans="1:7" x14ac:dyDescent="0.3">
      <c r="A1" s="3" t="s">
        <v>35</v>
      </c>
    </row>
    <row r="2" spans="1:7" ht="15.5" x14ac:dyDescent="0.35">
      <c r="A2" s="3" t="s">
        <v>18</v>
      </c>
      <c r="B2" s="3">
        <f>G2+G3</f>
        <v>312.00852350000002</v>
      </c>
      <c r="E2" s="3" t="s">
        <v>18</v>
      </c>
      <c r="F2" s="9" t="s">
        <v>14</v>
      </c>
      <c r="G2" s="3">
        <v>179.14852350000001</v>
      </c>
    </row>
    <row r="3" spans="1:7" ht="15.5" x14ac:dyDescent="0.35">
      <c r="A3" s="23" t="s">
        <v>8</v>
      </c>
      <c r="B3" s="3">
        <v>523.05344630000002</v>
      </c>
      <c r="F3" s="9" t="s">
        <v>15</v>
      </c>
      <c r="G3" s="3">
        <v>132.86000000000001</v>
      </c>
    </row>
    <row r="4" spans="1:7" ht="15.5" x14ac:dyDescent="0.35">
      <c r="A4" s="6" t="s">
        <v>39</v>
      </c>
      <c r="B4" s="3">
        <v>428.36624069999999</v>
      </c>
    </row>
    <row r="5" spans="1:7" ht="15.5" x14ac:dyDescent="0.35">
      <c r="A5" s="23" t="s">
        <v>17</v>
      </c>
      <c r="B5" s="3">
        <v>10.11004582</v>
      </c>
    </row>
    <row r="6" spans="1:7" ht="15.5" x14ac:dyDescent="0.35">
      <c r="A6" s="23" t="s">
        <v>9</v>
      </c>
      <c r="B6" s="3">
        <v>92.45</v>
      </c>
    </row>
    <row r="8" spans="1:7" x14ac:dyDescent="0.3">
      <c r="A8" s="2" t="s">
        <v>78</v>
      </c>
      <c r="B8" s="3">
        <f>SUM(B2:B7)</f>
        <v>1365.9882563200001</v>
      </c>
    </row>
    <row r="10" spans="1:7" x14ac:dyDescent="0.3">
      <c r="B10" s="3" t="s">
        <v>19</v>
      </c>
      <c r="C10" s="3" t="s">
        <v>20</v>
      </c>
    </row>
    <row r="11" spans="1:7" ht="15.5" x14ac:dyDescent="0.35">
      <c r="A11" s="6" t="s">
        <v>37</v>
      </c>
      <c r="B11" s="3">
        <f>B3</f>
        <v>523.05344630000002</v>
      </c>
      <c r="C11" s="3">
        <f>B11/'Elec str'!H3</f>
        <v>833.25169676439691</v>
      </c>
    </row>
    <row r="12" spans="1:7" ht="15.5" x14ac:dyDescent="0.35">
      <c r="A12" s="6" t="s">
        <v>38</v>
      </c>
      <c r="B12" s="3">
        <f>B8-B11</f>
        <v>842.9348100200001</v>
      </c>
    </row>
    <row r="13" spans="1:7" ht="15.5" x14ac:dyDescent="0.35">
      <c r="A13" s="6" t="s">
        <v>39</v>
      </c>
      <c r="B13" s="3">
        <f>B4</f>
        <v>428.36624069999999</v>
      </c>
    </row>
    <row r="14" spans="1:7" ht="15.5" x14ac:dyDescent="0.35">
      <c r="A14" s="6" t="s">
        <v>40</v>
      </c>
      <c r="B14" s="3">
        <f>B8-B13</f>
        <v>937.62201562000018</v>
      </c>
    </row>
    <row r="15" spans="1:7" ht="15.5" x14ac:dyDescent="0.35">
      <c r="A15" s="6" t="s">
        <v>41</v>
      </c>
      <c r="B15" s="3">
        <f>B8-B11-B13</f>
        <v>414.56856932000011</v>
      </c>
    </row>
    <row r="16" spans="1:7" ht="15.5" x14ac:dyDescent="0.35">
      <c r="A16" s="6"/>
    </row>
    <row r="22" spans="5:5" ht="14.5" x14ac:dyDescent="0.3">
      <c r="E22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D9EB-2CC6-46DF-B8F4-138FDE474F3F}">
  <dimension ref="A1:D32"/>
  <sheetViews>
    <sheetView workbookViewId="0">
      <selection activeCell="B1" sqref="B1"/>
    </sheetView>
  </sheetViews>
  <sheetFormatPr defaultColWidth="8.83203125" defaultRowHeight="14" x14ac:dyDescent="0.3"/>
  <sheetData>
    <row r="1" spans="1:4" x14ac:dyDescent="0.3">
      <c r="B1" t="s">
        <v>42</v>
      </c>
    </row>
    <row r="2" spans="1:4" x14ac:dyDescent="0.3">
      <c r="A2">
        <v>2020</v>
      </c>
      <c r="B2">
        <v>1</v>
      </c>
      <c r="D2">
        <f>(B32-B2)/($A$32-$A$2)</f>
        <v>-3.3333333333333327E-3</v>
      </c>
    </row>
    <row r="3" spans="1:4" x14ac:dyDescent="0.3">
      <c r="A3">
        <v>2021</v>
      </c>
      <c r="B3">
        <f t="shared" ref="B3:B31" si="0">B2+D$2</f>
        <v>0.9966666666666667</v>
      </c>
    </row>
    <row r="4" spans="1:4" x14ac:dyDescent="0.3">
      <c r="A4">
        <v>2022</v>
      </c>
      <c r="B4">
        <f t="shared" si="0"/>
        <v>0.9933333333333334</v>
      </c>
    </row>
    <row r="5" spans="1:4" x14ac:dyDescent="0.3">
      <c r="A5">
        <v>2023</v>
      </c>
      <c r="B5">
        <f t="shared" si="0"/>
        <v>0.9900000000000001</v>
      </c>
    </row>
    <row r="6" spans="1:4" x14ac:dyDescent="0.3">
      <c r="A6">
        <v>2024</v>
      </c>
      <c r="B6">
        <f t="shared" si="0"/>
        <v>0.9866666666666668</v>
      </c>
    </row>
    <row r="7" spans="1:4" x14ac:dyDescent="0.3">
      <c r="A7">
        <v>2025</v>
      </c>
      <c r="B7">
        <f t="shared" si="0"/>
        <v>0.9833333333333335</v>
      </c>
    </row>
    <row r="8" spans="1:4" x14ac:dyDescent="0.3">
      <c r="A8">
        <v>2026</v>
      </c>
      <c r="B8">
        <f t="shared" si="0"/>
        <v>0.9800000000000002</v>
      </c>
    </row>
    <row r="9" spans="1:4" x14ac:dyDescent="0.3">
      <c r="A9">
        <v>2027</v>
      </c>
      <c r="B9">
        <f t="shared" si="0"/>
        <v>0.9766666666666669</v>
      </c>
    </row>
    <row r="10" spans="1:4" x14ac:dyDescent="0.3">
      <c r="A10">
        <v>2028</v>
      </c>
      <c r="B10">
        <f t="shared" si="0"/>
        <v>0.97333333333333361</v>
      </c>
    </row>
    <row r="11" spans="1:4" x14ac:dyDescent="0.3">
      <c r="A11">
        <v>2029</v>
      </c>
      <c r="B11">
        <f t="shared" si="0"/>
        <v>0.97000000000000031</v>
      </c>
    </row>
    <row r="12" spans="1:4" x14ac:dyDescent="0.3">
      <c r="A12">
        <v>2030</v>
      </c>
      <c r="B12">
        <f t="shared" si="0"/>
        <v>0.96666666666666701</v>
      </c>
    </row>
    <row r="13" spans="1:4" x14ac:dyDescent="0.3">
      <c r="A13">
        <v>2031</v>
      </c>
      <c r="B13">
        <f t="shared" si="0"/>
        <v>0.96333333333333371</v>
      </c>
    </row>
    <row r="14" spans="1:4" x14ac:dyDescent="0.3">
      <c r="A14">
        <v>2032</v>
      </c>
      <c r="B14">
        <f t="shared" si="0"/>
        <v>0.96000000000000041</v>
      </c>
    </row>
    <row r="15" spans="1:4" x14ac:dyDescent="0.3">
      <c r="A15">
        <v>2033</v>
      </c>
      <c r="B15">
        <f t="shared" si="0"/>
        <v>0.95666666666666711</v>
      </c>
    </row>
    <row r="16" spans="1:4" x14ac:dyDescent="0.3">
      <c r="A16">
        <v>2034</v>
      </c>
      <c r="B16">
        <f t="shared" si="0"/>
        <v>0.95333333333333381</v>
      </c>
    </row>
    <row r="17" spans="1:2" x14ac:dyDescent="0.3">
      <c r="A17">
        <v>2035</v>
      </c>
      <c r="B17">
        <f t="shared" si="0"/>
        <v>0.95000000000000051</v>
      </c>
    </row>
    <row r="18" spans="1:2" x14ac:dyDescent="0.3">
      <c r="A18">
        <v>2036</v>
      </c>
      <c r="B18">
        <f t="shared" si="0"/>
        <v>0.94666666666666721</v>
      </c>
    </row>
    <row r="19" spans="1:2" x14ac:dyDescent="0.3">
      <c r="A19">
        <v>2037</v>
      </c>
      <c r="B19">
        <f t="shared" si="0"/>
        <v>0.94333333333333391</v>
      </c>
    </row>
    <row r="20" spans="1:2" x14ac:dyDescent="0.3">
      <c r="A20">
        <v>2038</v>
      </c>
      <c r="B20">
        <f t="shared" si="0"/>
        <v>0.94000000000000061</v>
      </c>
    </row>
    <row r="21" spans="1:2" x14ac:dyDescent="0.3">
      <c r="A21">
        <v>2039</v>
      </c>
      <c r="B21">
        <f t="shared" si="0"/>
        <v>0.93666666666666731</v>
      </c>
    </row>
    <row r="22" spans="1:2" x14ac:dyDescent="0.3">
      <c r="A22">
        <v>2040</v>
      </c>
      <c r="B22">
        <f t="shared" si="0"/>
        <v>0.93333333333333401</v>
      </c>
    </row>
    <row r="23" spans="1:2" x14ac:dyDescent="0.3">
      <c r="A23">
        <v>2041</v>
      </c>
      <c r="B23">
        <f t="shared" si="0"/>
        <v>0.93000000000000071</v>
      </c>
    </row>
    <row r="24" spans="1:2" x14ac:dyDescent="0.3">
      <c r="A24">
        <v>2042</v>
      </c>
      <c r="B24">
        <f t="shared" si="0"/>
        <v>0.92666666666666742</v>
      </c>
    </row>
    <row r="25" spans="1:2" x14ac:dyDescent="0.3">
      <c r="A25">
        <v>2043</v>
      </c>
      <c r="B25">
        <f t="shared" si="0"/>
        <v>0.92333333333333412</v>
      </c>
    </row>
    <row r="26" spans="1:2" x14ac:dyDescent="0.3">
      <c r="A26">
        <v>2044</v>
      </c>
      <c r="B26">
        <f t="shared" si="0"/>
        <v>0.92000000000000082</v>
      </c>
    </row>
    <row r="27" spans="1:2" x14ac:dyDescent="0.3">
      <c r="A27">
        <v>2045</v>
      </c>
      <c r="B27">
        <f t="shared" si="0"/>
        <v>0.91666666666666752</v>
      </c>
    </row>
    <row r="28" spans="1:2" x14ac:dyDescent="0.3">
      <c r="A28">
        <v>2046</v>
      </c>
      <c r="B28">
        <f t="shared" si="0"/>
        <v>0.91333333333333422</v>
      </c>
    </row>
    <row r="29" spans="1:2" x14ac:dyDescent="0.3">
      <c r="A29">
        <v>2047</v>
      </c>
      <c r="B29">
        <f t="shared" si="0"/>
        <v>0.91000000000000092</v>
      </c>
    </row>
    <row r="30" spans="1:2" x14ac:dyDescent="0.3">
      <c r="A30">
        <v>2048</v>
      </c>
      <c r="B30">
        <f t="shared" si="0"/>
        <v>0.90666666666666762</v>
      </c>
    </row>
    <row r="31" spans="1:2" x14ac:dyDescent="0.3">
      <c r="A31">
        <v>2049</v>
      </c>
      <c r="B31">
        <f t="shared" si="0"/>
        <v>0.90333333333333432</v>
      </c>
    </row>
    <row r="32" spans="1:2" x14ac:dyDescent="0.3">
      <c r="A32">
        <v>2050</v>
      </c>
      <c r="B32">
        <v>0.9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1953-53F8-41A6-A4E7-4F0587F8FDFD}">
  <dimension ref="A1:XEO37"/>
  <sheetViews>
    <sheetView zoomScale="85" zoomScaleNormal="85" workbookViewId="0">
      <selection activeCell="B1" sqref="B1:D1"/>
    </sheetView>
  </sheetViews>
  <sheetFormatPr defaultColWidth="10" defaultRowHeight="15.5" x14ac:dyDescent="0.35"/>
  <cols>
    <col min="1" max="1" width="10" style="5"/>
    <col min="2" max="2" width="10" style="6"/>
    <col min="3" max="4" width="10" style="8"/>
    <col min="5" max="16369" width="10" style="5"/>
    <col min="16370" max="16384" width="10" style="9"/>
  </cols>
  <sheetData>
    <row r="1" spans="1:5 16351:16369" x14ac:dyDescent="0.35">
      <c r="A1" s="10" t="s">
        <v>44</v>
      </c>
      <c r="B1" s="35" t="s">
        <v>46</v>
      </c>
      <c r="C1" s="36"/>
      <c r="D1" s="36"/>
      <c r="E1" s="7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</row>
    <row r="2" spans="1:5 16351:16369" x14ac:dyDescent="0.35">
      <c r="B2" s="6" t="s">
        <v>4</v>
      </c>
      <c r="C2" s="8" t="s">
        <v>5</v>
      </c>
      <c r="D2" s="8" t="s">
        <v>6</v>
      </c>
      <c r="XED2" s="9"/>
      <c r="XEE2" s="9"/>
      <c r="XEF2" s="9"/>
      <c r="XEG2" s="9"/>
      <c r="XEH2" s="9"/>
      <c r="XEI2" s="9"/>
      <c r="XEJ2" s="9"/>
      <c r="XEK2" s="9"/>
      <c r="XEL2" s="9"/>
      <c r="XEM2" s="9"/>
      <c r="XEN2" s="9"/>
      <c r="XEO2" s="9"/>
    </row>
    <row r="3" spans="1:5 16351:16369" x14ac:dyDescent="0.35">
      <c r="A3" s="5">
        <v>2020</v>
      </c>
      <c r="B3" s="11">
        <f>Case!$B$8/Temperature!B2</f>
        <v>1365.9882563200001</v>
      </c>
      <c r="C3" s="12"/>
      <c r="D3" s="12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</row>
    <row r="4" spans="1:5 16351:16369" x14ac:dyDescent="0.35">
      <c r="A4" s="5">
        <v>2021</v>
      </c>
      <c r="B4" s="11">
        <f>Case!$B$8/Temperature!B3</f>
        <v>1370.5567789163881</v>
      </c>
      <c r="C4" s="12"/>
      <c r="D4" s="12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</row>
    <row r="5" spans="1:5 16351:16369" x14ac:dyDescent="0.35">
      <c r="A5" s="5">
        <v>2022</v>
      </c>
      <c r="B5" s="11">
        <f>Case!$B$8/Temperature!B4</f>
        <v>1375.1559627382551</v>
      </c>
      <c r="C5" s="12"/>
      <c r="D5" s="12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</row>
    <row r="6" spans="1:5 16351:16369" x14ac:dyDescent="0.35">
      <c r="A6" s="5">
        <v>2023</v>
      </c>
      <c r="B6" s="11">
        <f>Case!$B$8/Temperature!B5</f>
        <v>1379.7861174949494</v>
      </c>
      <c r="C6" s="12"/>
      <c r="D6" s="12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  <c r="XEO6" s="9"/>
    </row>
    <row r="7" spans="1:5 16351:16369" x14ac:dyDescent="0.35">
      <c r="A7" s="5">
        <v>2024</v>
      </c>
      <c r="B7" s="11">
        <f>Case!$B$8/Temperature!B6</f>
        <v>1384.447557081081</v>
      </c>
      <c r="C7" s="12"/>
      <c r="D7" s="12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</row>
    <row r="8" spans="1:5 16351:16369" x14ac:dyDescent="0.35">
      <c r="A8" s="5">
        <v>2025</v>
      </c>
      <c r="B8" s="11">
        <f>Case!$B$8/Temperature!B7</f>
        <v>1389.1405996474575</v>
      </c>
      <c r="C8" s="12"/>
      <c r="D8" s="12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</row>
    <row r="9" spans="1:5 16351:16369" x14ac:dyDescent="0.35">
      <c r="A9" s="5">
        <v>2026</v>
      </c>
      <c r="B9" s="11">
        <f>Case!$B$8/Temperature!B8</f>
        <v>1393.8655676734693</v>
      </c>
      <c r="C9" s="12"/>
      <c r="D9" s="12"/>
      <c r="XED9" s="9"/>
      <c r="XEE9" s="9"/>
      <c r="XEF9" s="9"/>
      <c r="XEG9" s="9"/>
      <c r="XEH9" s="9"/>
      <c r="XEI9" s="9"/>
      <c r="XEJ9" s="9"/>
      <c r="XEK9" s="9"/>
      <c r="XEL9" s="9"/>
      <c r="XEM9" s="9"/>
      <c r="XEN9" s="9"/>
      <c r="XEO9" s="9"/>
    </row>
    <row r="10" spans="1:5 16351:16369" x14ac:dyDescent="0.35">
      <c r="A10" s="5">
        <v>2027</v>
      </c>
      <c r="B10" s="11">
        <f>Case!$B$8/Temperature!B9</f>
        <v>1398.6227880409554</v>
      </c>
      <c r="C10" s="12"/>
      <c r="D10" s="12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  <c r="XEO10" s="9"/>
    </row>
    <row r="11" spans="1:5 16351:16369" x14ac:dyDescent="0.35">
      <c r="A11" s="5">
        <v>2028</v>
      </c>
      <c r="B11" s="11">
        <f>Case!$B$8/Temperature!B10</f>
        <v>1403.4125921095888</v>
      </c>
      <c r="C11" s="12"/>
      <c r="D11" s="12"/>
      <c r="E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  <c r="XEO11" s="9"/>
    </row>
    <row r="12" spans="1:5 16351:16369" x14ac:dyDescent="0.35">
      <c r="A12" s="5">
        <v>2029</v>
      </c>
      <c r="B12" s="11">
        <f>Case!$B$8/Temperature!B11</f>
        <v>1408.2353157938142</v>
      </c>
      <c r="C12" s="12"/>
      <c r="D12" s="12"/>
      <c r="E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</row>
    <row r="13" spans="1:5 16351:16369" x14ac:dyDescent="0.35">
      <c r="A13" s="5">
        <v>2030</v>
      </c>
      <c r="B13" s="11">
        <f>Case!$B$8/Temperature!B12</f>
        <v>1413.091299641379</v>
      </c>
      <c r="C13" s="12"/>
      <c r="D13" s="12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  <c r="XEO13" s="9"/>
    </row>
    <row r="14" spans="1:5 16351:16369" x14ac:dyDescent="0.35">
      <c r="A14" s="5">
        <v>2031</v>
      </c>
      <c r="B14" s="11">
        <f>Case!$B$8/Temperature!B13</f>
        <v>1417.9808889134945</v>
      </c>
      <c r="C14" s="12"/>
      <c r="D14" s="12"/>
      <c r="XEI14" s="9"/>
      <c r="XEJ14" s="9"/>
      <c r="XEK14" s="9"/>
      <c r="XEL14" s="9"/>
      <c r="XEM14" s="9"/>
      <c r="XEN14" s="9"/>
      <c r="XEO14" s="9"/>
    </row>
    <row r="15" spans="1:5 16351:16369" x14ac:dyDescent="0.35">
      <c r="A15" s="5">
        <v>2032</v>
      </c>
      <c r="B15" s="11">
        <f>Case!$B$8/Temperature!B14</f>
        <v>1422.9044336666661</v>
      </c>
      <c r="C15" s="12"/>
      <c r="D15" s="12"/>
      <c r="XEI15" s="9"/>
      <c r="XEJ15" s="9"/>
      <c r="XEK15" s="9"/>
      <c r="XEL15" s="9"/>
      <c r="XEM15" s="9"/>
      <c r="XEN15" s="9"/>
      <c r="XEO15" s="9"/>
    </row>
    <row r="16" spans="1:5 16351:16369" x14ac:dyDescent="0.35">
      <c r="A16" s="5">
        <v>2033</v>
      </c>
      <c r="B16" s="11">
        <f>Case!$B$8/Temperature!B15</f>
        <v>1427.8622888362363</v>
      </c>
      <c r="C16" s="12"/>
      <c r="D16" s="12"/>
      <c r="XEI16" s="9"/>
      <c r="XEJ16" s="9"/>
      <c r="XEK16" s="9"/>
      <c r="XEL16" s="9"/>
      <c r="XEM16" s="9"/>
      <c r="XEN16" s="9"/>
      <c r="XEO16" s="9"/>
    </row>
    <row r="17" spans="1:9 16363:16369" x14ac:dyDescent="0.35">
      <c r="A17" s="5">
        <v>2034</v>
      </c>
      <c r="B17" s="11">
        <f>Case!$B$8/Temperature!B16</f>
        <v>1432.8548143216776</v>
      </c>
      <c r="C17" s="12"/>
      <c r="D17" s="12"/>
      <c r="XEI17" s="9"/>
      <c r="XEJ17" s="9"/>
      <c r="XEK17" s="9"/>
      <c r="XEL17" s="9"/>
      <c r="XEM17" s="9"/>
      <c r="XEN17" s="9"/>
      <c r="XEO17" s="9"/>
    </row>
    <row r="18" spans="1:9 16363:16369" x14ac:dyDescent="0.35">
      <c r="A18" s="5">
        <v>2035</v>
      </c>
      <c r="B18" s="11">
        <f>Case!$B$8/Temperature!B17</f>
        <v>1437.8823750736835</v>
      </c>
      <c r="C18" s="12"/>
      <c r="D18" s="12"/>
      <c r="XEI18" s="9"/>
      <c r="XEJ18" s="9"/>
      <c r="XEK18" s="9"/>
      <c r="XEL18" s="9"/>
      <c r="XEM18" s="9"/>
      <c r="XEN18" s="9"/>
      <c r="XEO18" s="9"/>
    </row>
    <row r="19" spans="1:9 16363:16369" x14ac:dyDescent="0.35">
      <c r="A19" s="5">
        <v>2036</v>
      </c>
      <c r="B19" s="11">
        <f>Case!$B$8/Temperature!B18</f>
        <v>1442.945341183098</v>
      </c>
      <c r="C19" s="12"/>
      <c r="D19" s="12"/>
      <c r="XEI19" s="9"/>
      <c r="XEJ19" s="9"/>
      <c r="XEK19" s="9"/>
      <c r="XEL19" s="9"/>
      <c r="XEM19" s="9"/>
      <c r="XEN19" s="9"/>
      <c r="XEO19" s="9"/>
    </row>
    <row r="20" spans="1:9 16363:16369" x14ac:dyDescent="0.35">
      <c r="A20" s="5">
        <v>2037</v>
      </c>
      <c r="B20" s="11">
        <f>Case!$B$8/Temperature!B19</f>
        <v>1448.0440879717307</v>
      </c>
      <c r="C20" s="12"/>
      <c r="D20" s="12"/>
      <c r="XEI20" s="9"/>
      <c r="XEJ20" s="9"/>
      <c r="XEK20" s="9"/>
      <c r="XEL20" s="9"/>
      <c r="XEM20" s="9"/>
      <c r="XEN20" s="9"/>
      <c r="XEO20" s="9"/>
    </row>
    <row r="21" spans="1:9 16363:16369" x14ac:dyDescent="0.35">
      <c r="A21" s="5">
        <v>2038</v>
      </c>
      <c r="B21" s="11">
        <f>Case!$B$8/Temperature!B20</f>
        <v>1453.1789960851056</v>
      </c>
      <c r="C21" s="12"/>
      <c r="D21" s="12"/>
      <c r="XEI21" s="9"/>
      <c r="XEJ21" s="9"/>
      <c r="XEK21" s="9"/>
      <c r="XEL21" s="9"/>
      <c r="XEM21" s="9"/>
      <c r="XEN21" s="9"/>
      <c r="XEO21" s="9"/>
    </row>
    <row r="22" spans="1:9 16363:16369" x14ac:dyDescent="0.35">
      <c r="A22" s="5">
        <v>2039</v>
      </c>
      <c r="B22" s="11">
        <f>Case!$B$8/Temperature!B21</f>
        <v>1458.3504515871878</v>
      </c>
      <c r="C22" s="12"/>
      <c r="D22" s="12"/>
      <c r="XEI22" s="9"/>
      <c r="XEJ22" s="9"/>
      <c r="XEK22" s="9"/>
      <c r="XEL22" s="9"/>
      <c r="XEM22" s="9"/>
      <c r="XEN22" s="9"/>
      <c r="XEO22" s="9"/>
    </row>
    <row r="23" spans="1:9 16363:16369" x14ac:dyDescent="0.35">
      <c r="A23" s="5">
        <v>2040</v>
      </c>
      <c r="B23" s="11">
        <f>Case!$B$8/Temperature!B22</f>
        <v>1463.5588460571419</v>
      </c>
      <c r="C23" s="12"/>
      <c r="D23" s="12"/>
      <c r="XEI23" s="9"/>
      <c r="XEJ23" s="9"/>
      <c r="XEK23" s="9"/>
      <c r="XEL23" s="9"/>
      <c r="XEM23" s="9"/>
      <c r="XEN23" s="9"/>
      <c r="XEO23" s="9"/>
    </row>
    <row r="24" spans="1:9 16363:16369" x14ac:dyDescent="0.35">
      <c r="A24" s="5">
        <v>2041</v>
      </c>
      <c r="B24" s="11">
        <f>Case!$B$8/Temperature!B23</f>
        <v>1468.804576688171</v>
      </c>
      <c r="C24" s="12"/>
      <c r="D24" s="12"/>
      <c r="XEI24" s="9"/>
      <c r="XEJ24" s="9"/>
      <c r="XEK24" s="9"/>
      <c r="XEL24" s="9"/>
      <c r="XEM24" s="9"/>
      <c r="XEN24" s="9"/>
      <c r="XEO24" s="9"/>
    </row>
    <row r="25" spans="1:9 16363:16369" x14ac:dyDescent="0.35">
      <c r="A25" s="5">
        <v>2042</v>
      </c>
      <c r="B25" s="11">
        <f>Case!$B$8/Temperature!B24</f>
        <v>1474.0880463884882</v>
      </c>
      <c r="C25" s="12"/>
      <c r="D25" s="12"/>
      <c r="XEI25" s="9"/>
      <c r="XEJ25" s="9"/>
      <c r="XEK25" s="9"/>
      <c r="XEL25" s="9"/>
      <c r="XEM25" s="9"/>
      <c r="XEN25" s="9"/>
      <c r="XEO25" s="9"/>
    </row>
    <row r="26" spans="1:9 16363:16369" x14ac:dyDescent="0.35">
      <c r="A26" s="5">
        <v>2043</v>
      </c>
      <c r="B26" s="11">
        <f>Case!$B$8/Temperature!B25</f>
        <v>1479.4096638844753</v>
      </c>
      <c r="C26" s="12"/>
      <c r="D26" s="12"/>
    </row>
    <row r="27" spans="1:9 16363:16369" x14ac:dyDescent="0.35">
      <c r="A27" s="5">
        <v>2044</v>
      </c>
      <c r="B27" s="11">
        <f>Case!$B$8/Temperature!B26</f>
        <v>1484.7698438260857</v>
      </c>
      <c r="C27" s="12"/>
      <c r="D27" s="12"/>
    </row>
    <row r="28" spans="1:9 16363:16369" x14ac:dyDescent="0.35">
      <c r="A28" s="5">
        <v>2045</v>
      </c>
      <c r="B28" s="11">
        <f>Case!$B$8/Temperature!B27</f>
        <v>1490.1690068945443</v>
      </c>
      <c r="C28" s="12"/>
      <c r="D28" s="12"/>
      <c r="I28" s="5" t="s">
        <v>7</v>
      </c>
    </row>
    <row r="29" spans="1:9 16363:16369" x14ac:dyDescent="0.35">
      <c r="A29" s="5">
        <v>2046</v>
      </c>
      <c r="B29" s="11">
        <f>Case!$B$8/Temperature!B28</f>
        <v>1495.6075799124073</v>
      </c>
      <c r="C29" s="12"/>
      <c r="D29" s="12"/>
    </row>
    <row r="30" spans="1:9 16363:16369" x14ac:dyDescent="0.35">
      <c r="A30" s="5">
        <v>2047</v>
      </c>
      <c r="B30" s="11">
        <f>Case!$B$8/Temperature!B29</f>
        <v>1501.0859959560426</v>
      </c>
      <c r="C30" s="12"/>
      <c r="D30" s="12"/>
    </row>
    <row r="31" spans="1:9 16363:16369" x14ac:dyDescent="0.35">
      <c r="A31" s="5">
        <v>2048</v>
      </c>
      <c r="B31" s="11">
        <f>Case!$B$8/Temperature!B30</f>
        <v>1506.6046944705868</v>
      </c>
      <c r="C31" s="12"/>
      <c r="D31" s="12"/>
    </row>
    <row r="32" spans="1:9 16363:16369" x14ac:dyDescent="0.35">
      <c r="A32" s="5">
        <v>2049</v>
      </c>
      <c r="B32" s="11">
        <f>Case!$B$8/Temperature!B31</f>
        <v>1512.1641213874523</v>
      </c>
      <c r="C32" s="12"/>
      <c r="D32" s="12"/>
      <c r="F32" s="6"/>
      <c r="G32" s="8"/>
      <c r="H32" s="8"/>
    </row>
    <row r="33" spans="1:15" x14ac:dyDescent="0.35">
      <c r="A33" s="5">
        <v>2050</v>
      </c>
      <c r="B33" s="11">
        <f>Case!$B$8/Temperature!B32</f>
        <v>1517.7647292444447</v>
      </c>
      <c r="C33" s="12"/>
      <c r="D33" s="12"/>
    </row>
    <row r="37" spans="1:15" x14ac:dyDescent="0.35">
      <c r="O37" s="5" t="s">
        <v>7</v>
      </c>
    </row>
  </sheetData>
  <mergeCells count="1">
    <mergeCell ref="B1:D1"/>
  </mergeCells>
  <phoneticPr fontId="1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22B7-B7DC-43EC-A82D-D7AECE202911}">
  <dimension ref="A1:P70"/>
  <sheetViews>
    <sheetView zoomScale="85" zoomScaleNormal="85" workbookViewId="0">
      <selection activeCell="J43" sqref="J43"/>
    </sheetView>
  </sheetViews>
  <sheetFormatPr defaultColWidth="8.83203125" defaultRowHeight="14" x14ac:dyDescent="0.3"/>
  <cols>
    <col min="1" max="1" width="13.1640625" bestFit="1" customWidth="1"/>
    <col min="8" max="8" width="12.33203125" bestFit="1" customWidth="1"/>
  </cols>
  <sheetData>
    <row r="1" spans="1:16" x14ac:dyDescent="0.3">
      <c r="B1">
        <v>6.1900000000000002E-3</v>
      </c>
      <c r="C1">
        <v>9.6329999999999999E-2</v>
      </c>
      <c r="D1">
        <v>2.6689999999999998E-2</v>
      </c>
      <c r="E1">
        <v>4.3699999999999998E-3</v>
      </c>
      <c r="F1">
        <v>1.1463399999999999</v>
      </c>
      <c r="G1">
        <v>0.69835000000000003</v>
      </c>
    </row>
    <row r="2" spans="1:16" x14ac:dyDescent="0.3">
      <c r="B2" t="s">
        <v>48</v>
      </c>
      <c r="C2" t="s">
        <v>49</v>
      </c>
      <c r="D2" t="s">
        <v>50</v>
      </c>
      <c r="E2" t="s">
        <v>51</v>
      </c>
      <c r="F2" t="s">
        <v>53</v>
      </c>
      <c r="G2" t="s">
        <v>52</v>
      </c>
      <c r="H2" t="s">
        <v>54</v>
      </c>
    </row>
    <row r="3" spans="1:16" x14ac:dyDescent="0.3">
      <c r="A3">
        <v>2020</v>
      </c>
      <c r="B3">
        <v>0.28999999999999998</v>
      </c>
      <c r="C3">
        <v>3.2000000000000001E-2</v>
      </c>
      <c r="D3">
        <v>6.0000000000000001E-3</v>
      </c>
      <c r="E3">
        <v>1.2E-2</v>
      </c>
      <c r="F3">
        <v>0.36099999999999999</v>
      </c>
      <c r="G3">
        <v>0.29899999999999999</v>
      </c>
      <c r="H3" s="1">
        <f>B3*$B$1+C3*$C$1+D3*$D$1+E3*$E$1+F3*$F$1+G3*$G$1</f>
        <v>0.62772563000000003</v>
      </c>
      <c r="I3" t="s">
        <v>48</v>
      </c>
      <c r="J3" t="s">
        <v>49</v>
      </c>
      <c r="K3" t="s">
        <v>50</v>
      </c>
      <c r="L3" t="s">
        <v>51</v>
      </c>
      <c r="M3" t="s">
        <v>53</v>
      </c>
      <c r="N3" t="s">
        <v>52</v>
      </c>
    </row>
    <row r="4" spans="1:16" x14ac:dyDescent="0.3">
      <c r="A4">
        <v>2021</v>
      </c>
      <c r="B4">
        <f>B3+I$4</f>
        <v>0.29033333333333333</v>
      </c>
      <c r="C4">
        <f t="shared" ref="C4:G19" si="0">C3+J$4</f>
        <v>4.2599999999999999E-2</v>
      </c>
      <c r="D4">
        <f t="shared" si="0"/>
        <v>1.4133333333333333E-2</v>
      </c>
      <c r="E4">
        <f t="shared" si="0"/>
        <v>1.2433333333333334E-2</v>
      </c>
      <c r="F4">
        <f t="shared" si="0"/>
        <v>0.34896666666666665</v>
      </c>
      <c r="G4">
        <f t="shared" si="0"/>
        <v>0.29153333333333331</v>
      </c>
      <c r="H4" s="1">
        <f t="shared" ref="H4:H33" si="1">B4*$B$1+C4*$C$1+D4*$D$1+E4*$E$1+F4*$F$1+G4*$G$1</f>
        <v>0.60995912566666655</v>
      </c>
      <c r="I4">
        <f>(B33-B3)/($A$33-$A$3)</f>
        <v>3.3333333333333365E-4</v>
      </c>
      <c r="J4">
        <f t="shared" ref="J4:N4" si="2">(C33-C3)/($A$33-$A$3)</f>
        <v>1.0599999999999998E-2</v>
      </c>
      <c r="K4">
        <f t="shared" si="2"/>
        <v>8.1333333333333327E-3</v>
      </c>
      <c r="L4">
        <f t="shared" si="2"/>
        <v>4.3333333333333337E-4</v>
      </c>
      <c r="M4">
        <f t="shared" si="2"/>
        <v>-1.2033333333333333E-2</v>
      </c>
      <c r="N4">
        <f t="shared" si="2"/>
        <v>-7.4666666666666657E-3</v>
      </c>
    </row>
    <row r="5" spans="1:16" x14ac:dyDescent="0.3">
      <c r="A5">
        <v>2022</v>
      </c>
      <c r="B5">
        <f t="shared" ref="B5:B32" si="3">B4+I$4</f>
        <v>0.29066666666666668</v>
      </c>
      <c r="C5">
        <f t="shared" si="0"/>
        <v>5.3199999999999997E-2</v>
      </c>
      <c r="D5">
        <f t="shared" si="0"/>
        <v>2.2266666666666664E-2</v>
      </c>
      <c r="E5">
        <f t="shared" si="0"/>
        <v>1.2866666666666669E-2</v>
      </c>
      <c r="F5">
        <f t="shared" si="0"/>
        <v>0.33693333333333331</v>
      </c>
      <c r="G5">
        <f t="shared" si="0"/>
        <v>0.28406666666666663</v>
      </c>
      <c r="H5" s="1">
        <f t="shared" si="1"/>
        <v>0.59219262133333328</v>
      </c>
    </row>
    <row r="6" spans="1:16" x14ac:dyDescent="0.3">
      <c r="A6">
        <v>2023</v>
      </c>
      <c r="B6">
        <f t="shared" si="3"/>
        <v>0.29100000000000004</v>
      </c>
      <c r="C6">
        <f t="shared" si="0"/>
        <v>6.3799999999999996E-2</v>
      </c>
      <c r="D6">
        <f t="shared" si="0"/>
        <v>3.0399999999999996E-2</v>
      </c>
      <c r="E6">
        <f t="shared" si="0"/>
        <v>1.3300000000000003E-2</v>
      </c>
      <c r="F6">
        <f t="shared" si="0"/>
        <v>0.32489999999999997</v>
      </c>
      <c r="G6">
        <f t="shared" si="0"/>
        <v>0.27659999999999996</v>
      </c>
      <c r="H6" s="1">
        <f t="shared" si="1"/>
        <v>0.57442611700000001</v>
      </c>
    </row>
    <row r="7" spans="1:16" x14ac:dyDescent="0.3">
      <c r="A7">
        <v>2024</v>
      </c>
      <c r="B7">
        <f t="shared" si="3"/>
        <v>0.29133333333333339</v>
      </c>
      <c r="C7">
        <f t="shared" si="0"/>
        <v>7.4399999999999994E-2</v>
      </c>
      <c r="D7">
        <f t="shared" si="0"/>
        <v>3.8533333333333329E-2</v>
      </c>
      <c r="E7">
        <f t="shared" si="0"/>
        <v>1.3733333333333337E-2</v>
      </c>
      <c r="F7">
        <f t="shared" si="0"/>
        <v>0.31286666666666663</v>
      </c>
      <c r="G7">
        <f t="shared" si="0"/>
        <v>0.26913333333333328</v>
      </c>
      <c r="H7" s="1">
        <f t="shared" si="1"/>
        <v>0.55665961266666653</v>
      </c>
    </row>
    <row r="8" spans="1:16" x14ac:dyDescent="0.3">
      <c r="A8">
        <v>2025</v>
      </c>
      <c r="B8">
        <f t="shared" si="3"/>
        <v>0.29166666666666674</v>
      </c>
      <c r="C8">
        <f t="shared" si="0"/>
        <v>8.4999999999999992E-2</v>
      </c>
      <c r="D8">
        <f t="shared" si="0"/>
        <v>4.6666666666666662E-2</v>
      </c>
      <c r="E8">
        <f t="shared" si="0"/>
        <v>1.4166666666666671E-2</v>
      </c>
      <c r="F8">
        <f t="shared" si="0"/>
        <v>0.30083333333333329</v>
      </c>
      <c r="G8">
        <f t="shared" si="0"/>
        <v>0.2616666666666666</v>
      </c>
      <c r="H8" s="1">
        <f t="shared" si="1"/>
        <v>0.53889310833333326</v>
      </c>
    </row>
    <row r="9" spans="1:16" x14ac:dyDescent="0.3">
      <c r="A9">
        <v>2026</v>
      </c>
      <c r="B9">
        <f t="shared" si="3"/>
        <v>0.29200000000000009</v>
      </c>
      <c r="C9">
        <f t="shared" si="0"/>
        <v>9.5599999999999991E-2</v>
      </c>
      <c r="D9">
        <f t="shared" si="0"/>
        <v>5.4799999999999995E-2</v>
      </c>
      <c r="E9">
        <f t="shared" si="0"/>
        <v>1.4600000000000005E-2</v>
      </c>
      <c r="F9">
        <f t="shared" si="0"/>
        <v>0.28879999999999995</v>
      </c>
      <c r="G9">
        <f t="shared" si="0"/>
        <v>0.25419999999999993</v>
      </c>
      <c r="H9" s="1">
        <f t="shared" si="1"/>
        <v>0.52112660399999988</v>
      </c>
    </row>
    <row r="10" spans="1:16" x14ac:dyDescent="0.3">
      <c r="A10">
        <v>2027</v>
      </c>
      <c r="B10">
        <f t="shared" si="3"/>
        <v>0.29233333333333344</v>
      </c>
      <c r="C10">
        <f t="shared" si="0"/>
        <v>0.10619999999999999</v>
      </c>
      <c r="D10">
        <f t="shared" si="0"/>
        <v>6.2933333333333327E-2</v>
      </c>
      <c r="E10">
        <f t="shared" si="0"/>
        <v>1.503333333333334E-2</v>
      </c>
      <c r="F10">
        <f t="shared" si="0"/>
        <v>0.27676666666666661</v>
      </c>
      <c r="G10">
        <f t="shared" si="0"/>
        <v>0.24673333333333325</v>
      </c>
      <c r="H10" s="1">
        <f t="shared" si="1"/>
        <v>0.50336009966666651</v>
      </c>
      <c r="K10" t="s">
        <v>47</v>
      </c>
    </row>
    <row r="11" spans="1:16" x14ac:dyDescent="0.3">
      <c r="A11">
        <v>2028</v>
      </c>
      <c r="B11">
        <f t="shared" si="3"/>
        <v>0.2926666666666668</v>
      </c>
      <c r="C11">
        <f t="shared" si="0"/>
        <v>0.11679999999999999</v>
      </c>
      <c r="D11">
        <f t="shared" si="0"/>
        <v>7.1066666666666667E-2</v>
      </c>
      <c r="E11">
        <f t="shared" si="0"/>
        <v>1.5466666666666674E-2</v>
      </c>
      <c r="F11">
        <f t="shared" si="0"/>
        <v>0.26473333333333327</v>
      </c>
      <c r="G11">
        <f t="shared" si="0"/>
        <v>0.23926666666666657</v>
      </c>
      <c r="H11" s="1">
        <f t="shared" si="1"/>
        <v>0.48559359533333324</v>
      </c>
      <c r="K11" t="s">
        <v>48</v>
      </c>
      <c r="L11" t="s">
        <v>49</v>
      </c>
      <c r="M11" t="s">
        <v>50</v>
      </c>
      <c r="N11" t="s">
        <v>51</v>
      </c>
      <c r="O11" t="s">
        <v>53</v>
      </c>
      <c r="P11" t="s">
        <v>52</v>
      </c>
    </row>
    <row r="12" spans="1:16" x14ac:dyDescent="0.3">
      <c r="A12">
        <v>2029</v>
      </c>
      <c r="B12">
        <f t="shared" si="3"/>
        <v>0.29300000000000015</v>
      </c>
      <c r="C12">
        <f t="shared" si="0"/>
        <v>0.12739999999999999</v>
      </c>
      <c r="D12">
        <f t="shared" si="0"/>
        <v>7.9199999999999993E-2</v>
      </c>
      <c r="E12">
        <f t="shared" si="0"/>
        <v>1.5900000000000008E-2</v>
      </c>
      <c r="F12">
        <f t="shared" si="0"/>
        <v>0.25269999999999992</v>
      </c>
      <c r="G12">
        <f t="shared" si="0"/>
        <v>0.2317999999999999</v>
      </c>
      <c r="H12" s="1">
        <f t="shared" si="1"/>
        <v>0.46782709099999981</v>
      </c>
      <c r="J12">
        <v>2020</v>
      </c>
      <c r="K12">
        <v>0.28999999999999998</v>
      </c>
      <c r="L12">
        <v>3.2000000000000001E-2</v>
      </c>
      <c r="M12">
        <v>6.0000000000000001E-3</v>
      </c>
      <c r="N12">
        <v>1.2E-2</v>
      </c>
      <c r="O12">
        <v>0.36099999999999999</v>
      </c>
      <c r="P12">
        <v>0.29899999999999999</v>
      </c>
    </row>
    <row r="13" spans="1:16" x14ac:dyDescent="0.3">
      <c r="A13">
        <v>2030</v>
      </c>
      <c r="B13">
        <f t="shared" si="3"/>
        <v>0.2933333333333335</v>
      </c>
      <c r="C13">
        <f t="shared" si="0"/>
        <v>0.13799999999999998</v>
      </c>
      <c r="D13">
        <f t="shared" si="0"/>
        <v>8.7333333333333318E-2</v>
      </c>
      <c r="E13">
        <f t="shared" si="0"/>
        <v>1.6333333333333342E-2</v>
      </c>
      <c r="F13">
        <f t="shared" si="0"/>
        <v>0.24066666666666658</v>
      </c>
      <c r="G13">
        <f t="shared" si="0"/>
        <v>0.22433333333333322</v>
      </c>
      <c r="H13" s="1">
        <f t="shared" si="1"/>
        <v>0.45006058666666648</v>
      </c>
      <c r="J13">
        <v>2050</v>
      </c>
      <c r="K13">
        <v>0.3</v>
      </c>
      <c r="L13">
        <v>0.35</v>
      </c>
      <c r="M13">
        <v>0.25</v>
      </c>
      <c r="N13">
        <v>2.5000000000000001E-2</v>
      </c>
      <c r="O13">
        <v>0</v>
      </c>
      <c r="P13">
        <v>7.4999999999999997E-2</v>
      </c>
    </row>
    <row r="14" spans="1:16" x14ac:dyDescent="0.3">
      <c r="A14">
        <v>2031</v>
      </c>
      <c r="B14">
        <f t="shared" si="3"/>
        <v>0.29366666666666685</v>
      </c>
      <c r="C14">
        <f t="shared" si="0"/>
        <v>0.14859999999999998</v>
      </c>
      <c r="D14">
        <f t="shared" si="0"/>
        <v>9.5466666666666644E-2</v>
      </c>
      <c r="E14">
        <f t="shared" si="0"/>
        <v>1.6766666666666676E-2</v>
      </c>
      <c r="F14">
        <f t="shared" si="0"/>
        <v>0.22863333333333324</v>
      </c>
      <c r="G14">
        <f t="shared" si="0"/>
        <v>0.21686666666666654</v>
      </c>
      <c r="H14" s="1">
        <f t="shared" si="1"/>
        <v>0.43229408233333316</v>
      </c>
    </row>
    <row r="15" spans="1:16" x14ac:dyDescent="0.3">
      <c r="A15">
        <v>2032</v>
      </c>
      <c r="B15">
        <f t="shared" si="3"/>
        <v>0.29400000000000021</v>
      </c>
      <c r="C15">
        <f t="shared" si="0"/>
        <v>0.15919999999999998</v>
      </c>
      <c r="D15">
        <f t="shared" si="0"/>
        <v>0.10359999999999997</v>
      </c>
      <c r="E15">
        <f t="shared" si="0"/>
        <v>1.720000000000001E-2</v>
      </c>
      <c r="F15">
        <f t="shared" si="0"/>
        <v>0.2165999999999999</v>
      </c>
      <c r="G15">
        <f t="shared" si="0"/>
        <v>0.20939999999999986</v>
      </c>
      <c r="H15" s="1">
        <f t="shared" si="1"/>
        <v>0.41452757799999973</v>
      </c>
    </row>
    <row r="16" spans="1:16" x14ac:dyDescent="0.3">
      <c r="A16">
        <v>2033</v>
      </c>
      <c r="B16">
        <f t="shared" si="3"/>
        <v>0.29433333333333356</v>
      </c>
      <c r="C16">
        <f t="shared" si="0"/>
        <v>0.16979999999999998</v>
      </c>
      <c r="D16">
        <f t="shared" si="0"/>
        <v>0.1117333333333333</v>
      </c>
      <c r="E16">
        <f t="shared" si="0"/>
        <v>1.7633333333333345E-2</v>
      </c>
      <c r="F16">
        <f t="shared" si="0"/>
        <v>0.20456666666666656</v>
      </c>
      <c r="G16">
        <f t="shared" si="0"/>
        <v>0.20193333333333319</v>
      </c>
      <c r="H16" s="1">
        <f t="shared" si="1"/>
        <v>0.39676107366666646</v>
      </c>
    </row>
    <row r="17" spans="1:8" x14ac:dyDescent="0.3">
      <c r="A17">
        <v>2034</v>
      </c>
      <c r="B17">
        <f t="shared" si="3"/>
        <v>0.29466666666666691</v>
      </c>
      <c r="C17">
        <f t="shared" si="0"/>
        <v>0.18039999999999998</v>
      </c>
      <c r="D17">
        <f t="shared" si="0"/>
        <v>0.11986666666666662</v>
      </c>
      <c r="E17">
        <f t="shared" si="0"/>
        <v>1.8066666666666679E-2</v>
      </c>
      <c r="F17">
        <f t="shared" si="0"/>
        <v>0.19253333333333322</v>
      </c>
      <c r="G17">
        <f t="shared" si="0"/>
        <v>0.19446666666666651</v>
      </c>
      <c r="H17" s="1">
        <f t="shared" si="1"/>
        <v>0.37899456933333309</v>
      </c>
    </row>
    <row r="18" spans="1:8" x14ac:dyDescent="0.3">
      <c r="A18">
        <v>2035</v>
      </c>
      <c r="B18">
        <f t="shared" si="3"/>
        <v>0.29500000000000026</v>
      </c>
      <c r="C18">
        <f t="shared" si="0"/>
        <v>0.19099999999999998</v>
      </c>
      <c r="D18">
        <f t="shared" si="0"/>
        <v>0.12799999999999995</v>
      </c>
      <c r="E18">
        <f t="shared" si="0"/>
        <v>1.8500000000000013E-2</v>
      </c>
      <c r="F18">
        <f t="shared" si="0"/>
        <v>0.18049999999999988</v>
      </c>
      <c r="G18">
        <f t="shared" si="0"/>
        <v>0.18699999999999983</v>
      </c>
      <c r="H18" s="1">
        <f t="shared" si="1"/>
        <v>0.36122806499999971</v>
      </c>
    </row>
    <row r="19" spans="1:8" x14ac:dyDescent="0.3">
      <c r="A19">
        <v>2036</v>
      </c>
      <c r="B19">
        <f t="shared" si="3"/>
        <v>0.29533333333333361</v>
      </c>
      <c r="C19">
        <f t="shared" si="0"/>
        <v>0.20159999999999997</v>
      </c>
      <c r="D19">
        <f t="shared" si="0"/>
        <v>0.13613333333333327</v>
      </c>
      <c r="E19">
        <f t="shared" si="0"/>
        <v>1.8933333333333347E-2</v>
      </c>
      <c r="F19">
        <f t="shared" si="0"/>
        <v>0.16846666666666654</v>
      </c>
      <c r="G19">
        <f t="shared" si="0"/>
        <v>0.17953333333333316</v>
      </c>
      <c r="H19" s="1">
        <f t="shared" si="1"/>
        <v>0.34346156066666639</v>
      </c>
    </row>
    <row r="20" spans="1:8" x14ac:dyDescent="0.3">
      <c r="A20">
        <v>2037</v>
      </c>
      <c r="B20">
        <f t="shared" si="3"/>
        <v>0.29566666666666697</v>
      </c>
      <c r="C20">
        <f t="shared" ref="C20:C32" si="4">C19+J$4</f>
        <v>0.21219999999999997</v>
      </c>
      <c r="D20">
        <f t="shared" ref="D20:D32" si="5">D19+K$4</f>
        <v>0.1442666666666666</v>
      </c>
      <c r="E20">
        <f t="shared" ref="E20:E32" si="6">E19+L$4</f>
        <v>1.9366666666666681E-2</v>
      </c>
      <c r="F20">
        <f t="shared" ref="F20:F32" si="7">F19+M$4</f>
        <v>0.1564333333333332</v>
      </c>
      <c r="G20">
        <f t="shared" ref="G20:G32" si="8">G19+N$4</f>
        <v>0.17206666666666648</v>
      </c>
      <c r="H20" s="1">
        <f t="shared" si="1"/>
        <v>0.32569505633333307</v>
      </c>
    </row>
    <row r="21" spans="1:8" x14ac:dyDescent="0.3">
      <c r="A21">
        <v>2038</v>
      </c>
      <c r="B21">
        <f t="shared" si="3"/>
        <v>0.29600000000000032</v>
      </c>
      <c r="C21">
        <f t="shared" si="4"/>
        <v>0.22279999999999997</v>
      </c>
      <c r="D21">
        <f t="shared" si="5"/>
        <v>0.15239999999999992</v>
      </c>
      <c r="E21">
        <f t="shared" si="6"/>
        <v>1.9800000000000016E-2</v>
      </c>
      <c r="F21">
        <f t="shared" si="7"/>
        <v>0.14439999999999986</v>
      </c>
      <c r="G21">
        <f t="shared" si="8"/>
        <v>0.1645999999999998</v>
      </c>
      <c r="H21" s="1">
        <f t="shared" si="1"/>
        <v>0.30792855199999969</v>
      </c>
    </row>
    <row r="22" spans="1:8" x14ac:dyDescent="0.3">
      <c r="A22">
        <v>2039</v>
      </c>
      <c r="B22">
        <f t="shared" si="3"/>
        <v>0.29633333333333367</v>
      </c>
      <c r="C22">
        <f t="shared" si="4"/>
        <v>0.23339999999999997</v>
      </c>
      <c r="D22">
        <f t="shared" si="5"/>
        <v>0.16053333333333325</v>
      </c>
      <c r="E22">
        <f t="shared" si="6"/>
        <v>2.023333333333335E-2</v>
      </c>
      <c r="F22">
        <f t="shared" si="7"/>
        <v>0.13236666666666652</v>
      </c>
      <c r="G22">
        <f t="shared" si="8"/>
        <v>0.15713333333333313</v>
      </c>
      <c r="H22" s="1">
        <f t="shared" si="1"/>
        <v>0.29016204766666631</v>
      </c>
    </row>
    <row r="23" spans="1:8" x14ac:dyDescent="0.3">
      <c r="A23">
        <v>2040</v>
      </c>
      <c r="B23">
        <f t="shared" si="3"/>
        <v>0.29666666666666702</v>
      </c>
      <c r="C23">
        <f t="shared" si="4"/>
        <v>0.24399999999999997</v>
      </c>
      <c r="D23">
        <f t="shared" si="5"/>
        <v>0.16866666666666658</v>
      </c>
      <c r="E23">
        <f t="shared" si="6"/>
        <v>2.0666666666666684E-2</v>
      </c>
      <c r="F23">
        <f t="shared" si="7"/>
        <v>0.12033333333333318</v>
      </c>
      <c r="G23">
        <f t="shared" si="8"/>
        <v>0.14966666666666645</v>
      </c>
      <c r="H23" s="1">
        <f t="shared" si="1"/>
        <v>0.27239554333333299</v>
      </c>
    </row>
    <row r="24" spans="1:8" x14ac:dyDescent="0.3">
      <c r="A24">
        <v>2041</v>
      </c>
      <c r="B24">
        <f t="shared" si="3"/>
        <v>0.29700000000000037</v>
      </c>
      <c r="C24">
        <f t="shared" si="4"/>
        <v>0.25459999999999994</v>
      </c>
      <c r="D24">
        <f t="shared" si="5"/>
        <v>0.1767999999999999</v>
      </c>
      <c r="E24">
        <f t="shared" si="6"/>
        <v>2.1100000000000018E-2</v>
      </c>
      <c r="F24">
        <f t="shared" si="7"/>
        <v>0.10829999999999984</v>
      </c>
      <c r="G24">
        <f t="shared" si="8"/>
        <v>0.14219999999999977</v>
      </c>
      <c r="H24" s="1">
        <f t="shared" si="1"/>
        <v>0.25462903899999967</v>
      </c>
    </row>
    <row r="25" spans="1:8" x14ac:dyDescent="0.3">
      <c r="A25">
        <v>2042</v>
      </c>
      <c r="B25">
        <f t="shared" si="3"/>
        <v>0.29733333333333373</v>
      </c>
      <c r="C25">
        <f t="shared" si="4"/>
        <v>0.26519999999999994</v>
      </c>
      <c r="D25">
        <f t="shared" si="5"/>
        <v>0.18493333333333323</v>
      </c>
      <c r="E25">
        <f t="shared" si="6"/>
        <v>2.1533333333333352E-2</v>
      </c>
      <c r="F25">
        <f t="shared" si="7"/>
        <v>9.6266666666666501E-2</v>
      </c>
      <c r="G25">
        <f t="shared" si="8"/>
        <v>0.13473333333333309</v>
      </c>
      <c r="H25" s="1">
        <f t="shared" si="1"/>
        <v>0.23686253466666629</v>
      </c>
    </row>
    <row r="26" spans="1:8" x14ac:dyDescent="0.3">
      <c r="A26">
        <v>2043</v>
      </c>
      <c r="B26">
        <f t="shared" si="3"/>
        <v>0.29766666666666708</v>
      </c>
      <c r="C26">
        <f t="shared" si="4"/>
        <v>0.27579999999999993</v>
      </c>
      <c r="D26">
        <f t="shared" si="5"/>
        <v>0.19306666666666655</v>
      </c>
      <c r="E26">
        <f t="shared" si="6"/>
        <v>2.1966666666666686E-2</v>
      </c>
      <c r="F26">
        <f t="shared" si="7"/>
        <v>8.423333333333316E-2</v>
      </c>
      <c r="G26">
        <f t="shared" si="8"/>
        <v>0.12726666666666642</v>
      </c>
      <c r="H26" s="1">
        <f t="shared" si="1"/>
        <v>0.21909603033333297</v>
      </c>
    </row>
    <row r="27" spans="1:8" x14ac:dyDescent="0.3">
      <c r="A27">
        <v>2044</v>
      </c>
      <c r="B27">
        <f t="shared" si="3"/>
        <v>0.29800000000000043</v>
      </c>
      <c r="C27">
        <f t="shared" si="4"/>
        <v>0.28639999999999993</v>
      </c>
      <c r="D27">
        <f t="shared" si="5"/>
        <v>0.20119999999999988</v>
      </c>
      <c r="E27">
        <f t="shared" si="6"/>
        <v>2.2400000000000021E-2</v>
      </c>
      <c r="F27">
        <f t="shared" si="7"/>
        <v>7.219999999999982E-2</v>
      </c>
      <c r="G27">
        <f t="shared" si="8"/>
        <v>0.11979999999999975</v>
      </c>
      <c r="H27" s="1">
        <f t="shared" si="1"/>
        <v>0.20132952599999959</v>
      </c>
    </row>
    <row r="28" spans="1:8" x14ac:dyDescent="0.3">
      <c r="A28">
        <v>2045</v>
      </c>
      <c r="B28">
        <f t="shared" si="3"/>
        <v>0.29833333333333378</v>
      </c>
      <c r="C28">
        <f t="shared" si="4"/>
        <v>0.29699999999999993</v>
      </c>
      <c r="D28">
        <f t="shared" si="5"/>
        <v>0.2093333333333332</v>
      </c>
      <c r="E28">
        <f t="shared" si="6"/>
        <v>2.2833333333333355E-2</v>
      </c>
      <c r="F28">
        <f t="shared" si="7"/>
        <v>6.0166666666666486E-2</v>
      </c>
      <c r="G28">
        <f t="shared" si="8"/>
        <v>0.11233333333333309</v>
      </c>
      <c r="H28" s="1">
        <f t="shared" si="1"/>
        <v>0.18356302166666627</v>
      </c>
    </row>
    <row r="29" spans="1:8" x14ac:dyDescent="0.3">
      <c r="A29">
        <v>2046</v>
      </c>
      <c r="B29">
        <f t="shared" si="3"/>
        <v>0.29866666666666714</v>
      </c>
      <c r="C29">
        <f t="shared" si="4"/>
        <v>0.30759999999999993</v>
      </c>
      <c r="D29">
        <f t="shared" si="5"/>
        <v>0.21746666666666653</v>
      </c>
      <c r="E29">
        <f t="shared" si="6"/>
        <v>2.3266666666666689E-2</v>
      </c>
      <c r="F29">
        <f t="shared" si="7"/>
        <v>4.8133333333333153E-2</v>
      </c>
      <c r="G29">
        <f t="shared" si="8"/>
        <v>0.10486666666666643</v>
      </c>
      <c r="H29" s="1">
        <f t="shared" si="1"/>
        <v>0.16579651733333295</v>
      </c>
    </row>
    <row r="30" spans="1:8" x14ac:dyDescent="0.3">
      <c r="A30">
        <v>2047</v>
      </c>
      <c r="B30">
        <f t="shared" si="3"/>
        <v>0.29900000000000049</v>
      </c>
      <c r="C30">
        <f t="shared" si="4"/>
        <v>0.31819999999999993</v>
      </c>
      <c r="D30">
        <f t="shared" si="5"/>
        <v>0.22559999999999986</v>
      </c>
      <c r="E30">
        <f t="shared" si="6"/>
        <v>2.3700000000000023E-2</v>
      </c>
      <c r="F30">
        <f t="shared" si="7"/>
        <v>3.609999999999982E-2</v>
      </c>
      <c r="G30">
        <f t="shared" si="8"/>
        <v>9.7399999999999765E-2</v>
      </c>
      <c r="H30" s="1">
        <f t="shared" si="1"/>
        <v>0.14803001299999963</v>
      </c>
    </row>
    <row r="31" spans="1:8" x14ac:dyDescent="0.3">
      <c r="A31">
        <v>2048</v>
      </c>
      <c r="B31">
        <f t="shared" si="3"/>
        <v>0.29933333333333384</v>
      </c>
      <c r="C31">
        <f t="shared" si="4"/>
        <v>0.32879999999999993</v>
      </c>
      <c r="D31">
        <f t="shared" si="5"/>
        <v>0.23373333333333318</v>
      </c>
      <c r="E31">
        <f t="shared" si="6"/>
        <v>2.4133333333333357E-2</v>
      </c>
      <c r="F31">
        <f t="shared" si="7"/>
        <v>2.4066666666666486E-2</v>
      </c>
      <c r="G31">
        <f t="shared" si="8"/>
        <v>8.9933333333333101E-2</v>
      </c>
      <c r="H31" s="1">
        <f t="shared" si="1"/>
        <v>0.13026350866666628</v>
      </c>
    </row>
    <row r="32" spans="1:8" x14ac:dyDescent="0.3">
      <c r="A32">
        <v>2049</v>
      </c>
      <c r="B32">
        <f t="shared" si="3"/>
        <v>0.29966666666666719</v>
      </c>
      <c r="C32">
        <f t="shared" si="4"/>
        <v>0.33939999999999992</v>
      </c>
      <c r="D32">
        <f t="shared" si="5"/>
        <v>0.24186666666666651</v>
      </c>
      <c r="E32">
        <f t="shared" si="6"/>
        <v>2.4566666666666691E-2</v>
      </c>
      <c r="F32">
        <f t="shared" si="7"/>
        <v>1.2033333333333153E-2</v>
      </c>
      <c r="G32">
        <f t="shared" si="8"/>
        <v>8.2466666666666438E-2</v>
      </c>
      <c r="H32" s="1">
        <f t="shared" si="1"/>
        <v>0.11249700433333296</v>
      </c>
    </row>
    <row r="33" spans="1:8" x14ac:dyDescent="0.3">
      <c r="A33">
        <v>2050</v>
      </c>
      <c r="B33">
        <v>0.3</v>
      </c>
      <c r="C33">
        <v>0.35</v>
      </c>
      <c r="D33">
        <v>0.25</v>
      </c>
      <c r="E33">
        <v>2.5000000000000001E-2</v>
      </c>
      <c r="F33">
        <v>0</v>
      </c>
      <c r="G33">
        <v>7.4999999999999997E-2</v>
      </c>
      <c r="H33" s="1">
        <f t="shared" si="1"/>
        <v>9.4730499999999995E-2</v>
      </c>
    </row>
    <row r="38" spans="1:8" x14ac:dyDescent="0.3">
      <c r="B38" t="s">
        <v>45</v>
      </c>
      <c r="C38" s="33"/>
      <c r="D38" s="33"/>
      <c r="G38" t="s">
        <v>43</v>
      </c>
    </row>
    <row r="39" spans="1:8" x14ac:dyDescent="0.3">
      <c r="B39" t="s">
        <v>1</v>
      </c>
      <c r="G39" t="s">
        <v>4</v>
      </c>
    </row>
    <row r="40" spans="1:8" x14ac:dyDescent="0.3">
      <c r="A40">
        <v>2020</v>
      </c>
      <c r="B40">
        <f>H3*Case!$C$11+Case!$B$12</f>
        <v>1365.9882563200001</v>
      </c>
      <c r="F40">
        <v>2020</v>
      </c>
      <c r="G40">
        <f>B40/Temperature!B2</f>
        <v>1365.9882563200001</v>
      </c>
    </row>
    <row r="41" spans="1:8" x14ac:dyDescent="0.3">
      <c r="A41">
        <v>2021</v>
      </c>
      <c r="B41">
        <f>H4*Case!$C$11+Case!$B$12</f>
        <v>1351.1842864386781</v>
      </c>
      <c r="F41">
        <v>2021</v>
      </c>
      <c r="G41">
        <f>B41/Temperature!B3</f>
        <v>1355.7032974301117</v>
      </c>
    </row>
    <row r="42" spans="1:8" x14ac:dyDescent="0.3">
      <c r="A42">
        <v>2022</v>
      </c>
      <c r="B42">
        <f>H5*Case!$C$11+Case!$B$12</f>
        <v>1336.3803165573561</v>
      </c>
      <c r="F42">
        <v>2022</v>
      </c>
      <c r="G42">
        <f>B42/Temperature!B4</f>
        <v>1345.3493119704926</v>
      </c>
    </row>
    <row r="43" spans="1:8" x14ac:dyDescent="0.3">
      <c r="A43">
        <v>2023</v>
      </c>
      <c r="B43">
        <f>H6*Case!$C$11+Case!$B$12</f>
        <v>1321.5763466760341</v>
      </c>
      <c r="F43">
        <v>2023</v>
      </c>
      <c r="G43">
        <f>B43/Temperature!B5</f>
        <v>1334.9256027030647</v>
      </c>
    </row>
    <row r="44" spans="1:8" x14ac:dyDescent="0.3">
      <c r="A44">
        <v>2024</v>
      </c>
      <c r="B44">
        <f>H7*Case!$C$11+Case!$B$12</f>
        <v>1306.7723767947118</v>
      </c>
      <c r="F44">
        <v>2024</v>
      </c>
      <c r="G44">
        <f>B44/Temperature!B6</f>
        <v>1324.4314629676132</v>
      </c>
    </row>
    <row r="45" spans="1:8" x14ac:dyDescent="0.3">
      <c r="A45">
        <v>2025</v>
      </c>
      <c r="B45">
        <f>H8*Case!$C$11+Case!$B$12</f>
        <v>1291.96840691339</v>
      </c>
      <c r="F45">
        <v>2025</v>
      </c>
      <c r="G45">
        <f>B45/Temperature!B7</f>
        <v>1313.8661765220913</v>
      </c>
    </row>
    <row r="46" spans="1:8" x14ac:dyDescent="0.3">
      <c r="A46">
        <v>2026</v>
      </c>
      <c r="B46">
        <f>H9*Case!$C$11+Case!$B$12</f>
        <v>1277.164437032068</v>
      </c>
      <c r="F46">
        <v>2026</v>
      </c>
      <c r="G46">
        <f>B46/Temperature!B8</f>
        <v>1303.2290173796609</v>
      </c>
    </row>
    <row r="47" spans="1:8" x14ac:dyDescent="0.3">
      <c r="A47">
        <v>2027</v>
      </c>
      <c r="B47">
        <f>H10*Case!$C$11+Case!$B$12</f>
        <v>1262.360467150746</v>
      </c>
      <c r="F47">
        <v>2027</v>
      </c>
      <c r="G47">
        <f>B47/Temperature!B9</f>
        <v>1292.5192496424017</v>
      </c>
    </row>
    <row r="48" spans="1:8" x14ac:dyDescent="0.3">
      <c r="A48">
        <v>2028</v>
      </c>
      <c r="B48">
        <f>H11*Case!$C$11+Case!$B$12</f>
        <v>1247.556497269424</v>
      </c>
      <c r="F48">
        <v>2028</v>
      </c>
      <c r="G48">
        <f>B48/Temperature!B10</f>
        <v>1281.7361273315996</v>
      </c>
    </row>
    <row r="49" spans="1:7" x14ac:dyDescent="0.3">
      <c r="A49">
        <v>2029</v>
      </c>
      <c r="B49">
        <f>H12*Case!$C$11+Case!$B$12</f>
        <v>1232.752527388102</v>
      </c>
      <c r="F49">
        <v>2029</v>
      </c>
      <c r="G49">
        <f>B49/Temperature!B11</f>
        <v>1270.8788942145377</v>
      </c>
    </row>
    <row r="50" spans="1:7" x14ac:dyDescent="0.3">
      <c r="A50">
        <v>2030</v>
      </c>
      <c r="B50">
        <f>H13*Case!$C$11+Case!$B$12</f>
        <v>1217.9485575067799</v>
      </c>
      <c r="F50">
        <v>2030</v>
      </c>
      <c r="G50">
        <f>B50/Temperature!B12</f>
        <v>1259.9467836277029</v>
      </c>
    </row>
    <row r="51" spans="1:7" x14ac:dyDescent="0.3">
      <c r="A51">
        <v>2031</v>
      </c>
      <c r="B51">
        <f>H14*Case!$C$11+Case!$B$12</f>
        <v>1203.1445876254579</v>
      </c>
      <c r="F51">
        <v>2031</v>
      </c>
      <c r="G51">
        <f>B51/Temperature!B13</f>
        <v>1248.9390182963225</v>
      </c>
    </row>
    <row r="52" spans="1:7" x14ac:dyDescent="0.3">
      <c r="A52">
        <v>2032</v>
      </c>
      <c r="B52">
        <f>H15*Case!$C$11+Case!$B$12</f>
        <v>1188.3406177441357</v>
      </c>
      <c r="F52">
        <v>2032</v>
      </c>
      <c r="G52">
        <f>B52/Temperature!B14</f>
        <v>1237.8548101501408</v>
      </c>
    </row>
    <row r="53" spans="1:7" x14ac:dyDescent="0.3">
      <c r="A53">
        <v>2033</v>
      </c>
      <c r="B53">
        <f>H16*Case!$C$11+Case!$B$12</f>
        <v>1173.5366478628139</v>
      </c>
      <c r="F53">
        <v>2033</v>
      </c>
      <c r="G53">
        <f>B53/Temperature!B15</f>
        <v>1226.6933601353448</v>
      </c>
    </row>
    <row r="54" spans="1:7" x14ac:dyDescent="0.3">
      <c r="A54">
        <v>2034</v>
      </c>
      <c r="B54">
        <f>H17*Case!$C$11+Case!$B$12</f>
        <v>1158.7326779814916</v>
      </c>
      <c r="F54">
        <v>2034</v>
      </c>
      <c r="G54">
        <f>B54/Temperature!B16</f>
        <v>1215.453858022543</v>
      </c>
    </row>
    <row r="55" spans="1:7" x14ac:dyDescent="0.3">
      <c r="A55">
        <v>2035</v>
      </c>
      <c r="B55">
        <f>H18*Case!$C$11+Case!$B$12</f>
        <v>1143.9287081001698</v>
      </c>
      <c r="F55">
        <v>2035</v>
      </c>
      <c r="G55">
        <f>B55/Temperature!B17</f>
        <v>1204.1354822107044</v>
      </c>
    </row>
    <row r="56" spans="1:7" x14ac:dyDescent="0.3">
      <c r="A56">
        <v>2036</v>
      </c>
      <c r="B56">
        <f>H19*Case!$C$11+Case!$B$12</f>
        <v>1129.1247382188476</v>
      </c>
      <c r="F56">
        <v>2036</v>
      </c>
      <c r="G56">
        <f>B56/Temperature!B18</f>
        <v>1192.7373995269511</v>
      </c>
    </row>
    <row r="57" spans="1:7" x14ac:dyDescent="0.3">
      <c r="A57">
        <v>2037</v>
      </c>
      <c r="B57">
        <f>H20*Case!$C$11+Case!$B$12</f>
        <v>1114.3207683375258</v>
      </c>
      <c r="F57">
        <v>2037</v>
      </c>
      <c r="G57">
        <f>B57/Temperature!B19</f>
        <v>1181.2587650221114</v>
      </c>
    </row>
    <row r="58" spans="1:7" x14ac:dyDescent="0.3">
      <c r="A58">
        <v>2038</v>
      </c>
      <c r="B58">
        <f>H21*Case!$C$11+Case!$B$12</f>
        <v>1099.5167984562036</v>
      </c>
      <c r="F58">
        <v>2038</v>
      </c>
      <c r="G58">
        <f>B58/Temperature!B20</f>
        <v>1169.698721761918</v>
      </c>
    </row>
    <row r="59" spans="1:7" x14ac:dyDescent="0.3">
      <c r="A59">
        <v>2039</v>
      </c>
      <c r="B59">
        <f>H22*Case!$C$11+Case!$B$12</f>
        <v>1084.7128285748815</v>
      </c>
      <c r="F59">
        <v>2039</v>
      </c>
      <c r="G59">
        <f>B59/Temperature!B21</f>
        <v>1158.0564006137517</v>
      </c>
    </row>
    <row r="60" spans="1:7" x14ac:dyDescent="0.3">
      <c r="A60">
        <v>2040</v>
      </c>
      <c r="B60">
        <f>H23*Case!$C$11+Case!$B$12</f>
        <v>1069.9088586935595</v>
      </c>
      <c r="F60">
        <v>2040</v>
      </c>
      <c r="G60">
        <f>B60/Temperature!B22</f>
        <v>1146.3309200288129</v>
      </c>
    </row>
    <row r="61" spans="1:7" x14ac:dyDescent="0.3">
      <c r="A61">
        <v>2041</v>
      </c>
      <c r="B61">
        <f>H24*Case!$C$11+Case!$B$12</f>
        <v>1055.1048888122377</v>
      </c>
      <c r="F61">
        <v>2041</v>
      </c>
      <c r="G61">
        <f>B61/Temperature!B23</f>
        <v>1134.5213858196096</v>
      </c>
    </row>
    <row r="62" spans="1:7" x14ac:dyDescent="0.3">
      <c r="A62">
        <v>2042</v>
      </c>
      <c r="B62">
        <f>H25*Case!$C$11+Case!$B$12</f>
        <v>1040.3009189309155</v>
      </c>
      <c r="F62">
        <v>2042</v>
      </c>
      <c r="G62">
        <f>B62/Temperature!B24</f>
        <v>1122.6268909326418</v>
      </c>
    </row>
    <row r="63" spans="1:7" x14ac:dyDescent="0.3">
      <c r="A63">
        <v>2043</v>
      </c>
      <c r="B63">
        <f>H26*Case!$C$11+Case!$B$12</f>
        <v>1025.4969490495937</v>
      </c>
      <c r="F63">
        <v>2043</v>
      </c>
      <c r="G63">
        <f>B63/Temperature!B25</f>
        <v>1110.6465152161654</v>
      </c>
    </row>
    <row r="64" spans="1:7" x14ac:dyDescent="0.3">
      <c r="A64">
        <v>2044</v>
      </c>
      <c r="B64">
        <f>H27*Case!$C$11+Case!$B$12</f>
        <v>1010.6929791682716</v>
      </c>
      <c r="F64">
        <v>2044</v>
      </c>
      <c r="G64">
        <f>B64/Temperature!B26</f>
        <v>1098.5793251829029</v>
      </c>
    </row>
    <row r="65" spans="1:7" x14ac:dyDescent="0.3">
      <c r="A65">
        <v>2045</v>
      </c>
      <c r="B65">
        <f>H28*Case!$C$11+Case!$B$12</f>
        <v>995.88900928694954</v>
      </c>
      <c r="F65">
        <v>2045</v>
      </c>
      <c r="G65">
        <f>B65/Temperature!B27</f>
        <v>1086.4243737675804</v>
      </c>
    </row>
    <row r="66" spans="1:7" x14ac:dyDescent="0.3">
      <c r="A66">
        <v>2046</v>
      </c>
      <c r="B66">
        <f>H29*Case!$C$11+Case!$B$12</f>
        <v>981.08503940562753</v>
      </c>
      <c r="F66">
        <v>2046</v>
      </c>
      <c r="G66">
        <f>B66/Temperature!B28</f>
        <v>1074.1807000791532</v>
      </c>
    </row>
    <row r="67" spans="1:7" x14ac:dyDescent="0.3">
      <c r="A67">
        <v>2047</v>
      </c>
      <c r="B67">
        <f>H30*Case!$C$11+Case!$B$12</f>
        <v>966.28106952430551</v>
      </c>
      <c r="F67">
        <v>2047</v>
      </c>
      <c r="G67">
        <f>B67/Temperature!B29</f>
        <v>1061.8473291475873</v>
      </c>
    </row>
    <row r="68" spans="1:7" x14ac:dyDescent="0.3">
      <c r="A68">
        <v>2048</v>
      </c>
      <c r="B68">
        <f>H31*Case!$C$11+Case!$B$12</f>
        <v>951.47709964298349</v>
      </c>
      <c r="F68">
        <v>2048</v>
      </c>
      <c r="G68">
        <f>B68/Temperature!B30</f>
        <v>1049.4232716650542</v>
      </c>
    </row>
    <row r="69" spans="1:7" x14ac:dyDescent="0.3">
      <c r="A69">
        <v>2049</v>
      </c>
      <c r="B69">
        <f>H32*Case!$C$11+Case!$B$12</f>
        <v>936.67312976166147</v>
      </c>
      <c r="F69">
        <v>2049</v>
      </c>
      <c r="G69">
        <f>B69/Temperature!B31</f>
        <v>1036.9075237213954</v>
      </c>
    </row>
    <row r="70" spans="1:7" x14ac:dyDescent="0.3">
      <c r="A70">
        <v>2050</v>
      </c>
      <c r="B70">
        <f>H33*Case!$C$11+Case!$B$12</f>
        <v>921.86915988033979</v>
      </c>
      <c r="F70">
        <v>2050</v>
      </c>
      <c r="G70">
        <f>B70/Temperature!B32</f>
        <v>1024.2990665337109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99CE-2EB8-4EBB-95CB-2B6E6A4CF208}">
  <dimension ref="A1:M33"/>
  <sheetViews>
    <sheetView workbookViewId="0">
      <selection activeCell="K1" sqref="K1"/>
    </sheetView>
  </sheetViews>
  <sheetFormatPr defaultColWidth="8.83203125" defaultRowHeight="14" x14ac:dyDescent="0.3"/>
  <sheetData>
    <row r="1" spans="1:13" x14ac:dyDescent="0.3">
      <c r="K1" s="1" t="s">
        <v>44</v>
      </c>
    </row>
    <row r="2" spans="1:13" x14ac:dyDescent="0.3">
      <c r="F2" s="14" t="s">
        <v>1</v>
      </c>
      <c r="G2" s="14"/>
      <c r="H2" s="14"/>
      <c r="I2" s="14"/>
      <c r="K2" s="14" t="s">
        <v>1</v>
      </c>
      <c r="L2" s="14"/>
      <c r="M2" s="14"/>
    </row>
    <row r="3" spans="1:13" x14ac:dyDescent="0.3">
      <c r="A3">
        <v>2020</v>
      </c>
      <c r="B3">
        <v>1</v>
      </c>
      <c r="C3">
        <f>(B13-B3)/(A13-A3)</f>
        <v>1.9999999999999997E-2</v>
      </c>
      <c r="E3">
        <v>2020</v>
      </c>
      <c r="F3">
        <f>Case!$B$8/Speed!B3</f>
        <v>1365.9882563200001</v>
      </c>
      <c r="J3">
        <v>2020</v>
      </c>
      <c r="K3">
        <f>Speed!F3/Temperature!B2</f>
        <v>1365.9882563200001</v>
      </c>
    </row>
    <row r="4" spans="1:13" x14ac:dyDescent="0.3">
      <c r="A4">
        <v>2021</v>
      </c>
      <c r="B4">
        <f>B3+$C$3</f>
        <v>1.02</v>
      </c>
      <c r="E4">
        <v>2021</v>
      </c>
      <c r="F4">
        <f>Case!$B$8/Speed!B4</f>
        <v>1339.2041728627453</v>
      </c>
      <c r="J4">
        <v>2021</v>
      </c>
      <c r="K4">
        <f>Speed!F4/Temperature!B3</f>
        <v>1343.6831165846943</v>
      </c>
    </row>
    <row r="5" spans="1:13" x14ac:dyDescent="0.3">
      <c r="A5">
        <v>2022</v>
      </c>
      <c r="B5">
        <f t="shared" ref="B5:B12" si="0">B4+$C$3</f>
        <v>1.04</v>
      </c>
      <c r="E5">
        <v>2022</v>
      </c>
      <c r="F5">
        <f>Case!$B$8/Speed!B5</f>
        <v>1313.4502464615384</v>
      </c>
      <c r="J5">
        <v>2022</v>
      </c>
      <c r="K5">
        <f>Speed!F5/Temperature!B4</f>
        <v>1322.2653487867835</v>
      </c>
    </row>
    <row r="6" spans="1:13" x14ac:dyDescent="0.3">
      <c r="A6">
        <v>2023</v>
      </c>
      <c r="B6">
        <f t="shared" si="0"/>
        <v>1.06</v>
      </c>
      <c r="E6">
        <v>2023</v>
      </c>
      <c r="F6">
        <f>Case!$B$8/Speed!B6</f>
        <v>1288.6681663396228</v>
      </c>
      <c r="J6">
        <v>2023</v>
      </c>
      <c r="K6">
        <f>Speed!F6/Temperature!B5</f>
        <v>1301.6850165046694</v>
      </c>
    </row>
    <row r="7" spans="1:13" x14ac:dyDescent="0.3">
      <c r="A7">
        <v>2024</v>
      </c>
      <c r="B7">
        <f t="shared" si="0"/>
        <v>1.08</v>
      </c>
      <c r="E7">
        <v>2024</v>
      </c>
      <c r="F7">
        <f>Case!$B$8/Speed!B7</f>
        <v>1264.803941037037</v>
      </c>
      <c r="J7">
        <v>2024</v>
      </c>
      <c r="K7">
        <f>Speed!F7/Temperature!B6</f>
        <v>1281.8958861861861</v>
      </c>
    </row>
    <row r="8" spans="1:13" x14ac:dyDescent="0.3">
      <c r="A8">
        <v>2025</v>
      </c>
      <c r="B8">
        <f t="shared" si="0"/>
        <v>1.1000000000000001</v>
      </c>
      <c r="E8">
        <v>2025</v>
      </c>
      <c r="F8">
        <f>Case!$B$8/Speed!B8</f>
        <v>1241.8075057454546</v>
      </c>
      <c r="J8">
        <v>2025</v>
      </c>
      <c r="K8">
        <f>Speed!F8/Temperature!B7</f>
        <v>1262.8550905885977</v>
      </c>
    </row>
    <row r="9" spans="1:13" x14ac:dyDescent="0.3">
      <c r="A9">
        <v>2026</v>
      </c>
      <c r="B9">
        <f t="shared" si="0"/>
        <v>1.1200000000000001</v>
      </c>
      <c r="E9">
        <v>2026</v>
      </c>
      <c r="F9">
        <f>Case!$B$8/Speed!B9</f>
        <v>1219.6323717142857</v>
      </c>
      <c r="J9">
        <v>2026</v>
      </c>
      <c r="K9">
        <f>Speed!F9/Temperature!B8</f>
        <v>1244.522828279883</v>
      </c>
    </row>
    <row r="10" spans="1:13" x14ac:dyDescent="0.3">
      <c r="A10">
        <v>2027</v>
      </c>
      <c r="B10">
        <f t="shared" si="0"/>
        <v>1.1400000000000001</v>
      </c>
      <c r="E10">
        <v>2027</v>
      </c>
      <c r="F10">
        <f>Case!$B$8/Speed!B10</f>
        <v>1198.2353125614036</v>
      </c>
      <c r="J10">
        <v>2027</v>
      </c>
      <c r="K10">
        <f>Speed!F10/Temperature!B9</f>
        <v>1226.8620947727679</v>
      </c>
    </row>
    <row r="11" spans="1:13" x14ac:dyDescent="0.3">
      <c r="A11">
        <v>2028</v>
      </c>
      <c r="B11">
        <f t="shared" si="0"/>
        <v>1.1600000000000001</v>
      </c>
      <c r="E11">
        <v>2028</v>
      </c>
      <c r="F11">
        <f>Case!$B$8/Speed!B11</f>
        <v>1177.5760830344827</v>
      </c>
      <c r="J11">
        <v>2028</v>
      </c>
      <c r="K11">
        <f>Speed!F11/Temperature!B10</f>
        <v>1209.8384414737834</v>
      </c>
    </row>
    <row r="12" spans="1:13" x14ac:dyDescent="0.3">
      <c r="A12">
        <v>2029</v>
      </c>
      <c r="B12">
        <f t="shared" si="0"/>
        <v>1.1800000000000002</v>
      </c>
      <c r="E12">
        <v>2029</v>
      </c>
      <c r="F12">
        <f>Case!$B$8/Speed!B12</f>
        <v>1157.6171663728812</v>
      </c>
      <c r="J12">
        <v>2029</v>
      </c>
      <c r="K12">
        <f>Speed!F12/Temperature!B11</f>
        <v>1193.4197591472998</v>
      </c>
    </row>
    <row r="13" spans="1:13" x14ac:dyDescent="0.3">
      <c r="A13">
        <v>2030</v>
      </c>
      <c r="B13">
        <v>1.2</v>
      </c>
      <c r="E13">
        <v>2030</v>
      </c>
      <c r="F13">
        <f>Case!$B$8/Speed!B13</f>
        <v>1138.3235469333335</v>
      </c>
      <c r="J13">
        <v>2030</v>
      </c>
      <c r="K13">
        <f>Speed!F13/Temperature!B12</f>
        <v>1177.5760830344825</v>
      </c>
    </row>
    <row r="14" spans="1:13" x14ac:dyDescent="0.3">
      <c r="A14">
        <v>2031</v>
      </c>
      <c r="B14">
        <f>B13+$C$3</f>
        <v>1.22</v>
      </c>
      <c r="E14">
        <v>2031</v>
      </c>
      <c r="F14">
        <f>Case!$B$8/Speed!B14</f>
        <v>1119.662505180328</v>
      </c>
      <c r="J14">
        <v>2031</v>
      </c>
      <c r="K14">
        <f>Speed!F14/Temperature!B13</f>
        <v>1162.2794171422086</v>
      </c>
    </row>
    <row r="15" spans="1:13" x14ac:dyDescent="0.3">
      <c r="A15">
        <v>2032</v>
      </c>
      <c r="B15">
        <f t="shared" ref="B15:B33" si="1">B14+$C$3</f>
        <v>1.24</v>
      </c>
      <c r="E15">
        <v>2032</v>
      </c>
      <c r="F15">
        <f>Case!$B$8/Speed!B15</f>
        <v>1101.603432516129</v>
      </c>
      <c r="J15">
        <v>2032</v>
      </c>
      <c r="K15">
        <f>Speed!F15/Temperature!B14</f>
        <v>1147.5035755376339</v>
      </c>
    </row>
    <row r="16" spans="1:13" x14ac:dyDescent="0.3">
      <c r="A16">
        <v>2033</v>
      </c>
      <c r="B16">
        <f t="shared" si="1"/>
        <v>1.26</v>
      </c>
      <c r="E16">
        <v>2033</v>
      </c>
      <c r="F16">
        <f>Case!$B$8/Speed!B16</f>
        <v>1084.1176637460319</v>
      </c>
      <c r="J16">
        <v>2033</v>
      </c>
      <c r="K16">
        <f>Speed!F16/Temperature!B15</f>
        <v>1133.2240387589179</v>
      </c>
    </row>
    <row r="17" spans="1:11" x14ac:dyDescent="0.3">
      <c r="A17">
        <v>2034</v>
      </c>
      <c r="B17">
        <f t="shared" si="1"/>
        <v>1.28</v>
      </c>
      <c r="E17">
        <v>2034</v>
      </c>
      <c r="F17">
        <f>Case!$B$8/Speed!B17</f>
        <v>1067.1783252500002</v>
      </c>
      <c r="J17">
        <v>2034</v>
      </c>
      <c r="K17">
        <f>Speed!F17/Temperature!B16</f>
        <v>1119.4178236888108</v>
      </c>
    </row>
    <row r="18" spans="1:11" x14ac:dyDescent="0.3">
      <c r="A18">
        <v>2035</v>
      </c>
      <c r="B18">
        <f t="shared" si="1"/>
        <v>1.3</v>
      </c>
      <c r="E18">
        <v>2035</v>
      </c>
      <c r="F18">
        <f>Case!$B$8/Speed!B18</f>
        <v>1050.7601971692309</v>
      </c>
      <c r="J18">
        <v>2035</v>
      </c>
      <c r="K18">
        <f>Speed!F18/Temperature!B17</f>
        <v>1106.063365441295</v>
      </c>
    </row>
    <row r="19" spans="1:11" x14ac:dyDescent="0.3">
      <c r="A19">
        <v>2036</v>
      </c>
      <c r="B19">
        <f t="shared" si="1"/>
        <v>1.32</v>
      </c>
      <c r="E19">
        <v>2036</v>
      </c>
      <c r="F19">
        <f>Case!$B$8/Speed!B19</f>
        <v>1034.8395881212123</v>
      </c>
      <c r="J19">
        <v>2036</v>
      </c>
      <c r="K19">
        <f>Speed!F19/Temperature!B18</f>
        <v>1093.1404099871954</v>
      </c>
    </row>
    <row r="20" spans="1:11" x14ac:dyDescent="0.3">
      <c r="A20">
        <v>2037</v>
      </c>
      <c r="B20">
        <f t="shared" si="1"/>
        <v>1.34</v>
      </c>
      <c r="E20">
        <v>2037</v>
      </c>
      <c r="F20">
        <f>Case!$B$8/Speed!B20</f>
        <v>1019.3942211343284</v>
      </c>
      <c r="J20">
        <v>2037</v>
      </c>
      <c r="K20">
        <f>Speed!F20/Temperature!B19</f>
        <v>1080.629916396814</v>
      </c>
    </row>
    <row r="21" spans="1:11" x14ac:dyDescent="0.3">
      <c r="A21">
        <v>2038</v>
      </c>
      <c r="B21">
        <f t="shared" si="1"/>
        <v>1.36</v>
      </c>
      <c r="E21">
        <v>2038</v>
      </c>
      <c r="F21">
        <f>Case!$B$8/Speed!B21</f>
        <v>1004.4031296470588</v>
      </c>
      <c r="J21">
        <v>2038</v>
      </c>
      <c r="K21">
        <f>Speed!F21/Temperature!B20</f>
        <v>1068.5139677096363</v>
      </c>
    </row>
    <row r="22" spans="1:11" x14ac:dyDescent="0.3">
      <c r="A22">
        <v>2039</v>
      </c>
      <c r="B22">
        <f t="shared" si="1"/>
        <v>1.3800000000000001</v>
      </c>
      <c r="E22">
        <v>2039</v>
      </c>
      <c r="F22">
        <f>Case!$B$8/Speed!B22</f>
        <v>989.84656255072468</v>
      </c>
      <c r="J22">
        <v>2039</v>
      </c>
      <c r="K22">
        <f>Speed!F22/Temperature!B21</f>
        <v>1056.775689555933</v>
      </c>
    </row>
    <row r="23" spans="1:11" x14ac:dyDescent="0.3">
      <c r="A23">
        <v>2040</v>
      </c>
      <c r="B23">
        <f t="shared" si="1"/>
        <v>1.4000000000000001</v>
      </c>
      <c r="E23">
        <v>2040</v>
      </c>
      <c r="F23">
        <f>Case!$B$8/Speed!B23</f>
        <v>975.70589737142859</v>
      </c>
      <c r="J23">
        <v>2040</v>
      </c>
      <c r="K23">
        <f>Speed!F23/Temperature!B22</f>
        <v>1045.3991757551014</v>
      </c>
    </row>
    <row r="24" spans="1:11" x14ac:dyDescent="0.3">
      <c r="A24">
        <v>2041</v>
      </c>
      <c r="B24">
        <f t="shared" si="1"/>
        <v>1.4200000000000002</v>
      </c>
      <c r="E24">
        <v>2041</v>
      </c>
      <c r="F24">
        <f>Case!$B$8/Speed!B24</f>
        <v>961.96356078873237</v>
      </c>
      <c r="J24">
        <v>2041</v>
      </c>
      <c r="K24">
        <f>Speed!F24/Temperature!B23</f>
        <v>1034.3694202029371</v>
      </c>
    </row>
    <row r="25" spans="1:11" x14ac:dyDescent="0.3">
      <c r="A25">
        <v>2042</v>
      </c>
      <c r="B25">
        <f t="shared" si="1"/>
        <v>1.4400000000000002</v>
      </c>
      <c r="E25">
        <v>2042</v>
      </c>
      <c r="F25">
        <f>Case!$B$8/Speed!B25</f>
        <v>948.60295577777777</v>
      </c>
      <c r="J25">
        <v>2042</v>
      </c>
      <c r="K25">
        <f>Speed!F25/Temperature!B24</f>
        <v>1023.67225443645</v>
      </c>
    </row>
    <row r="26" spans="1:11" x14ac:dyDescent="0.3">
      <c r="A26">
        <v>2043</v>
      </c>
      <c r="B26">
        <f t="shared" si="1"/>
        <v>1.4600000000000002</v>
      </c>
      <c r="E26">
        <v>2043</v>
      </c>
      <c r="F26">
        <f>Case!$B$8/Speed!B26</f>
        <v>935.60839473972601</v>
      </c>
      <c r="J26">
        <v>2043</v>
      </c>
      <c r="K26">
        <f>Speed!F26/Temperature!B25</f>
        <v>1013.2942903318324</v>
      </c>
    </row>
    <row r="27" spans="1:11" x14ac:dyDescent="0.3">
      <c r="A27">
        <v>2044</v>
      </c>
      <c r="B27">
        <f t="shared" si="1"/>
        <v>1.4800000000000002</v>
      </c>
      <c r="E27">
        <v>2044</v>
      </c>
      <c r="F27">
        <f>Case!$B$8/Speed!B27</f>
        <v>922.96503805405405</v>
      </c>
      <c r="J27">
        <v>2044</v>
      </c>
      <c r="K27">
        <f>Speed!F27/Temperature!B26</f>
        <v>1003.2228674500578</v>
      </c>
    </row>
    <row r="28" spans="1:11" x14ac:dyDescent="0.3">
      <c r="A28">
        <v>2045</v>
      </c>
      <c r="B28">
        <f t="shared" si="1"/>
        <v>1.5000000000000002</v>
      </c>
      <c r="E28">
        <v>2045</v>
      </c>
      <c r="F28">
        <f>Case!$B$8/Speed!B28</f>
        <v>910.65883754666663</v>
      </c>
      <c r="J28">
        <v>2045</v>
      </c>
      <c r="K28">
        <f>Speed!F28/Temperature!B27</f>
        <v>993.44600459636263</v>
      </c>
    </row>
    <row r="29" spans="1:11" x14ac:dyDescent="0.3">
      <c r="A29">
        <v>2046</v>
      </c>
      <c r="B29">
        <f t="shared" si="1"/>
        <v>1.5200000000000002</v>
      </c>
      <c r="E29">
        <v>2046</v>
      </c>
      <c r="F29">
        <f>Case!$B$8/Speed!B29</f>
        <v>898.67648442105258</v>
      </c>
      <c r="J29">
        <v>2046</v>
      </c>
      <c r="K29">
        <f>Speed!F29/Temperature!B28</f>
        <v>983.95235520553103</v>
      </c>
    </row>
    <row r="30" spans="1:11" x14ac:dyDescent="0.3">
      <c r="A30">
        <v>2047</v>
      </c>
      <c r="B30">
        <f t="shared" si="1"/>
        <v>1.5400000000000003</v>
      </c>
      <c r="E30">
        <v>2047</v>
      </c>
      <c r="F30">
        <f>Case!$B$8/Speed!B30</f>
        <v>887.00536124675318</v>
      </c>
      <c r="J30">
        <v>2047</v>
      </c>
      <c r="K30">
        <f>Speed!F30/Temperature!B29</f>
        <v>974.73116620522228</v>
      </c>
    </row>
    <row r="31" spans="1:11" x14ac:dyDescent="0.3">
      <c r="A31">
        <v>2048</v>
      </c>
      <c r="B31">
        <f t="shared" si="1"/>
        <v>1.5600000000000003</v>
      </c>
      <c r="E31">
        <v>2048</v>
      </c>
      <c r="F31">
        <f>Case!$B$8/Speed!B31</f>
        <v>875.63349764102554</v>
      </c>
      <c r="J31">
        <v>2048</v>
      </c>
      <c r="K31">
        <f>Speed!F31/Temperature!B30</f>
        <v>965.77224004524771</v>
      </c>
    </row>
    <row r="32" spans="1:11" x14ac:dyDescent="0.3">
      <c r="A32">
        <v>2049</v>
      </c>
      <c r="B32">
        <f t="shared" si="1"/>
        <v>1.5800000000000003</v>
      </c>
      <c r="E32">
        <v>2049</v>
      </c>
      <c r="F32">
        <f>Case!$B$8/Speed!B32</f>
        <v>864.54952931645562</v>
      </c>
      <c r="J32">
        <v>2049</v>
      </c>
      <c r="K32">
        <f>Speed!F32/Temperature!B31</f>
        <v>957.06589961231145</v>
      </c>
    </row>
    <row r="33" spans="1:11" x14ac:dyDescent="0.3">
      <c r="A33">
        <v>2050</v>
      </c>
      <c r="B33">
        <f t="shared" si="1"/>
        <v>1.6000000000000003</v>
      </c>
      <c r="E33">
        <v>2050</v>
      </c>
      <c r="F33">
        <f>Case!$B$8/Speed!B33</f>
        <v>853.74266019999993</v>
      </c>
      <c r="J33">
        <v>2050</v>
      </c>
      <c r="K33">
        <f>Speed!F33/Temperature!B32</f>
        <v>948.60295577777765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AA8E-57A7-4AB9-98E2-EFBF3BC979E4}">
  <dimension ref="A2:I34"/>
  <sheetViews>
    <sheetView workbookViewId="0">
      <selection activeCell="I2" sqref="I2"/>
    </sheetView>
  </sheetViews>
  <sheetFormatPr defaultColWidth="8.83203125" defaultRowHeight="14" x14ac:dyDescent="0.3"/>
  <cols>
    <col min="2" max="2" width="12.33203125" bestFit="1" customWidth="1"/>
  </cols>
  <sheetData>
    <row r="2" spans="1:9" x14ac:dyDescent="0.3">
      <c r="I2" s="1" t="s">
        <v>44</v>
      </c>
    </row>
    <row r="3" spans="1:9" x14ac:dyDescent="0.3">
      <c r="B3" t="s">
        <v>55</v>
      </c>
      <c r="E3" t="s">
        <v>1</v>
      </c>
      <c r="I3" t="s">
        <v>1</v>
      </c>
    </row>
    <row r="4" spans="1:9" x14ac:dyDescent="0.3">
      <c r="A4">
        <v>2020</v>
      </c>
      <c r="B4">
        <v>1</v>
      </c>
      <c r="C4">
        <f>(B34-B4)/(A34-A4)</f>
        <v>1.6666666666666666E-2</v>
      </c>
      <c r="E4">
        <f>Case!$B$13/Infrastructure!B4+Case!$B$14</f>
        <v>1365.9882563200001</v>
      </c>
      <c r="I4">
        <f>E4/Temperature!B2</f>
        <v>1365.9882563200001</v>
      </c>
    </row>
    <row r="5" spans="1:9" x14ac:dyDescent="0.3">
      <c r="A5">
        <v>2021</v>
      </c>
      <c r="B5">
        <f t="shared" ref="B5:B33" si="0">B4+$C$4</f>
        <v>1.0166666666666666</v>
      </c>
      <c r="E5">
        <f>Case!$B$13/Infrastructure!B5+Case!$B$14</f>
        <v>1358.9658589314756</v>
      </c>
      <c r="I5">
        <f>E5/Temperature!B3</f>
        <v>1363.5108952489722</v>
      </c>
    </row>
    <row r="6" spans="1:9" x14ac:dyDescent="0.3">
      <c r="A6">
        <v>2022</v>
      </c>
      <c r="B6">
        <f t="shared" si="0"/>
        <v>1.0333333333333332</v>
      </c>
      <c r="E6">
        <f>Case!$B$13/Infrastructure!B6+Case!$B$14</f>
        <v>1352.1699904909678</v>
      </c>
      <c r="I6">
        <f>E6/Temperature!B4</f>
        <v>1361.2449568701018</v>
      </c>
    </row>
    <row r="7" spans="1:9" x14ac:dyDescent="0.3">
      <c r="A7">
        <v>2023</v>
      </c>
      <c r="B7">
        <f t="shared" si="0"/>
        <v>1.0499999999999998</v>
      </c>
      <c r="E7">
        <f>Case!$B$13/Infrastructure!B7+Case!$B$14</f>
        <v>1345.5898639057145</v>
      </c>
      <c r="I7">
        <f>E7/Temperature!B5</f>
        <v>1359.1816807128428</v>
      </c>
    </row>
    <row r="8" spans="1:9" x14ac:dyDescent="0.3">
      <c r="A8">
        <v>2024</v>
      </c>
      <c r="B8">
        <f t="shared" si="0"/>
        <v>1.0666666666666664</v>
      </c>
      <c r="E8">
        <f>Case!$B$13/Infrastructure!B8+Case!$B$14</f>
        <v>1339.2153662762503</v>
      </c>
      <c r="I8">
        <f>E8/Temperature!B6</f>
        <v>1357.3128712259293</v>
      </c>
    </row>
    <row r="9" spans="1:9" x14ac:dyDescent="0.3">
      <c r="A9">
        <v>2025</v>
      </c>
      <c r="B9">
        <f t="shared" si="0"/>
        <v>1.083333333333333</v>
      </c>
      <c r="E9">
        <f>Case!$B$13/Infrastructure!B9+Case!$B$14</f>
        <v>1333.0370070353849</v>
      </c>
      <c r="I9">
        <f>E9/Temperature!B7</f>
        <v>1355.6308546122557</v>
      </c>
    </row>
    <row r="10" spans="1:9" x14ac:dyDescent="0.3">
      <c r="A10">
        <v>2026</v>
      </c>
      <c r="B10">
        <f t="shared" si="0"/>
        <v>1.0999999999999996</v>
      </c>
      <c r="E10">
        <f>Case!$B$13/Infrastructure!B10+Case!$B$14</f>
        <v>1327.0458708018184</v>
      </c>
      <c r="I10">
        <f>E10/Temperature!B8</f>
        <v>1354.1284395936921</v>
      </c>
    </row>
    <row r="11" spans="1:9" x14ac:dyDescent="0.3">
      <c r="A11">
        <v>2027</v>
      </c>
      <c r="B11">
        <f t="shared" si="0"/>
        <v>1.1166666666666663</v>
      </c>
      <c r="E11">
        <f>Case!$B$13/Infrastructure!B11+Case!$B$14</f>
        <v>1321.2335744558213</v>
      </c>
      <c r="I11">
        <f>E11/Temperature!B9</f>
        <v>1352.7988816953798</v>
      </c>
    </row>
    <row r="12" spans="1:9" x14ac:dyDescent="0.3">
      <c r="A12">
        <v>2028</v>
      </c>
      <c r="B12">
        <f t="shared" si="0"/>
        <v>1.1333333333333329</v>
      </c>
      <c r="E12">
        <f>Case!$B$13/Infrastructure!B12+Case!$B$14</f>
        <v>1315.5922280023533</v>
      </c>
      <c r="I12">
        <f>E12/Temperature!B10</f>
        <v>1351.6358506873489</v>
      </c>
    </row>
    <row r="13" spans="1:9" x14ac:dyDescent="0.3">
      <c r="A13">
        <v>2029</v>
      </c>
      <c r="B13">
        <f t="shared" si="0"/>
        <v>1.1499999999999995</v>
      </c>
      <c r="E13">
        <f>Case!$B$13/Infrastructure!B13+Case!$B$14</f>
        <v>1310.1143988373917</v>
      </c>
      <c r="I13">
        <f>E13/Temperature!B11</f>
        <v>1350.63340086329</v>
      </c>
    </row>
    <row r="14" spans="1:9" x14ac:dyDescent="0.3">
      <c r="A14">
        <v>2030</v>
      </c>
      <c r="B14">
        <f t="shared" si="0"/>
        <v>1.1666666666666661</v>
      </c>
      <c r="E14">
        <f>Case!$B$13/Infrastructure!B14+Case!$B$14</f>
        <v>1304.7930790771431</v>
      </c>
      <c r="I14">
        <f>E14/Temperature!B12</f>
        <v>1349.7859438729063</v>
      </c>
    </row>
    <row r="15" spans="1:9" x14ac:dyDescent="0.3">
      <c r="A15">
        <v>2031</v>
      </c>
      <c r="B15">
        <f t="shared" si="0"/>
        <v>1.1833333333333327</v>
      </c>
      <c r="E15">
        <f>Case!$B$13/Infrastructure!B15+Case!$B$14</f>
        <v>1299.6216556481695</v>
      </c>
      <c r="I15">
        <f>E15/Temperature!B13</f>
        <v>1349.0882238562308</v>
      </c>
    </row>
    <row r="16" spans="1:9" x14ac:dyDescent="0.3">
      <c r="A16">
        <v>2032</v>
      </c>
      <c r="B16">
        <f t="shared" si="0"/>
        <v>1.1999999999999993</v>
      </c>
      <c r="E16">
        <f>Case!$B$13/Infrastructure!B16+Case!$B$14</f>
        <v>1294.5938828700005</v>
      </c>
      <c r="I16">
        <f>E16/Temperature!B14</f>
        <v>1348.53529465625</v>
      </c>
    </row>
    <row r="17" spans="1:9" x14ac:dyDescent="0.3">
      <c r="A17">
        <v>2033</v>
      </c>
      <c r="B17">
        <f t="shared" si="0"/>
        <v>1.2166666666666659</v>
      </c>
      <c r="E17">
        <f>Case!$B$13/Infrastructure!B17+Case!$B$14</f>
        <v>1289.7038572912334</v>
      </c>
      <c r="I17">
        <f>E17/Temperature!B15</f>
        <v>1348.1224989106963</v>
      </c>
    </row>
    <row r="18" spans="1:9" x14ac:dyDescent="0.3">
      <c r="A18">
        <v>2034</v>
      </c>
      <c r="B18">
        <f t="shared" si="0"/>
        <v>1.2333333333333325</v>
      </c>
      <c r="E18">
        <f>Case!$B$13/Infrastructure!B18+Case!$B$14</f>
        <v>1284.9459945659464</v>
      </c>
      <c r="I18">
        <f>E18/Temperature!B16</f>
        <v>1347.8454488453976</v>
      </c>
    </row>
    <row r="19" spans="1:9" x14ac:dyDescent="0.3">
      <c r="A19">
        <v>2035</v>
      </c>
      <c r="B19">
        <f t="shared" si="0"/>
        <v>1.2499999999999991</v>
      </c>
      <c r="E19">
        <f>Case!$B$13/Infrastructure!B19+Case!$B$14</f>
        <v>1280.3150081800004</v>
      </c>
      <c r="I19">
        <f>E19/Temperature!B17</f>
        <v>1347.7000086105261</v>
      </c>
    </row>
    <row r="20" spans="1:9" x14ac:dyDescent="0.3">
      <c r="A20">
        <v>2036</v>
      </c>
      <c r="B20">
        <f t="shared" si="0"/>
        <v>1.2666666666666657</v>
      </c>
      <c r="E20">
        <f>Case!$B$13/Infrastructure!B20+Case!$B$14</f>
        <v>1275.8058898568424</v>
      </c>
      <c r="I20">
        <f>E20/Temperature!B18</f>
        <v>1347.6822780177906</v>
      </c>
    </row>
    <row r="21" spans="1:9" x14ac:dyDescent="0.3">
      <c r="A21">
        <v>2037</v>
      </c>
      <c r="B21">
        <f t="shared" si="0"/>
        <v>1.2833333333333323</v>
      </c>
      <c r="E21">
        <f>Case!$B$13/Infrastructure!B21+Case!$B$14</f>
        <v>1271.4138914901303</v>
      </c>
      <c r="I21">
        <f>E21/Temperature!B19</f>
        <v>1347.7885775513739</v>
      </c>
    </row>
    <row r="22" spans="1:9" x14ac:dyDescent="0.3">
      <c r="A22">
        <v>2038</v>
      </c>
      <c r="B22">
        <f t="shared" si="0"/>
        <v>1.2999999999999989</v>
      </c>
      <c r="E22">
        <f>Case!$B$13/Infrastructure!B22+Case!$B$14</f>
        <v>1267.1345084661543</v>
      </c>
      <c r="I22">
        <f>E22/Temperature!B20</f>
        <v>1348.0154345384612</v>
      </c>
    </row>
    <row r="23" spans="1:9" x14ac:dyDescent="0.3">
      <c r="A23">
        <v>2039</v>
      </c>
      <c r="B23">
        <f t="shared" si="0"/>
        <v>1.3166666666666655</v>
      </c>
      <c r="E23">
        <f>Case!$B$13/Infrastructure!B23+Case!$B$14</f>
        <v>1262.9634642529118</v>
      </c>
      <c r="I23">
        <f>E23/Temperature!B21</f>
        <v>1348.3595703767733</v>
      </c>
    </row>
    <row r="24" spans="1:9" x14ac:dyDescent="0.3">
      <c r="A24">
        <v>2040</v>
      </c>
      <c r="B24">
        <f t="shared" si="0"/>
        <v>1.3333333333333321</v>
      </c>
      <c r="E24">
        <f>Case!$B$13/Infrastructure!B24+Case!$B$14</f>
        <v>1258.8966961450005</v>
      </c>
      <c r="I24">
        <f>E24/Temperature!B22</f>
        <v>1348.8178887267852</v>
      </c>
    </row>
    <row r="25" spans="1:9" x14ac:dyDescent="0.3">
      <c r="A25">
        <v>2041</v>
      </c>
      <c r="B25">
        <f t="shared" si="0"/>
        <v>1.3499999999999988</v>
      </c>
      <c r="E25">
        <f>Case!$B$13/Infrastructure!B25+Case!$B$14</f>
        <v>1254.9303420644449</v>
      </c>
      <c r="I25">
        <f>E25/Temperature!B23</f>
        <v>1349.3874645854235</v>
      </c>
    </row>
    <row r="26" spans="1:9" x14ac:dyDescent="0.3">
      <c r="A26">
        <v>2042</v>
      </c>
      <c r="B26">
        <f t="shared" si="0"/>
        <v>1.3666666666666654</v>
      </c>
      <c r="E26">
        <f>Case!$B$13/Infrastructure!B26+Case!$B$14</f>
        <v>1251.0607283273175</v>
      </c>
      <c r="I26">
        <f>E26/Temperature!B24</f>
        <v>1350.0655341661688</v>
      </c>
    </row>
    <row r="27" spans="1:9" x14ac:dyDescent="0.3">
      <c r="A27">
        <v>2043</v>
      </c>
      <c r="B27">
        <f t="shared" si="0"/>
        <v>1.383333333333332</v>
      </c>
      <c r="E27">
        <f>Case!$B$13/Infrastructure!B27+Case!$B$14</f>
        <v>1247.2843582946994</v>
      </c>
      <c r="I27">
        <f>E27/Temperature!B25</f>
        <v>1350.8494855177237</v>
      </c>
    </row>
    <row r="28" spans="1:9" x14ac:dyDescent="0.3">
      <c r="A28">
        <v>2044</v>
      </c>
      <c r="B28">
        <f t="shared" si="0"/>
        <v>1.3999999999999986</v>
      </c>
      <c r="E28">
        <f>Case!$B$13/Infrastructure!B28+Case!$B$14</f>
        <v>1243.5979018342862</v>
      </c>
      <c r="I28">
        <f>E28/Temperature!B26</f>
        <v>1351.736849819875</v>
      </c>
    </row>
    <row r="29" spans="1:9" x14ac:dyDescent="0.3">
      <c r="A29">
        <v>2045</v>
      </c>
      <c r="B29">
        <f t="shared" si="0"/>
        <v>1.4166666666666652</v>
      </c>
      <c r="E29">
        <f>Case!$B$13/Infrastructure!B29+Case!$B$14</f>
        <v>1239.9981855258829</v>
      </c>
      <c r="I29">
        <f>E29/Temperature!B27</f>
        <v>1352.725293300962</v>
      </c>
    </row>
    <row r="30" spans="1:9" x14ac:dyDescent="0.3">
      <c r="A30">
        <v>2046</v>
      </c>
      <c r="B30">
        <f t="shared" si="0"/>
        <v>1.4333333333333318</v>
      </c>
      <c r="E30">
        <f>Case!$B$13/Infrastructure!B30+Case!$B$14</f>
        <v>1236.482183550233</v>
      </c>
      <c r="I30">
        <f>E30/Temperature!B28</f>
        <v>1353.8126097265313</v>
      </c>
    </row>
    <row r="31" spans="1:9" x14ac:dyDescent="0.3">
      <c r="A31">
        <v>2047</v>
      </c>
      <c r="B31">
        <f t="shared" si="0"/>
        <v>1.4499999999999984</v>
      </c>
      <c r="E31">
        <f>Case!$B$13/Infrastructure!B31+Case!$B$14</f>
        <v>1233.0470092062073</v>
      </c>
      <c r="I31">
        <f>E31/Temperature!B29</f>
        <v>1354.9967134134133</v>
      </c>
    </row>
    <row r="32" spans="1:9" x14ac:dyDescent="0.3">
      <c r="A32">
        <v>2048</v>
      </c>
      <c r="B32">
        <f t="shared" si="0"/>
        <v>1.466666666666665</v>
      </c>
      <c r="E32">
        <f>Case!$B$13/Infrastructure!B32+Case!$B$14</f>
        <v>1229.6899070063641</v>
      </c>
      <c r="I32">
        <f>E32/Temperature!B30</f>
        <v>1356.2756327276061</v>
      </c>
    </row>
    <row r="33" spans="1:9" x14ac:dyDescent="0.3">
      <c r="A33">
        <v>2049</v>
      </c>
      <c r="B33">
        <f t="shared" si="0"/>
        <v>1.4833333333333316</v>
      </c>
      <c r="E33">
        <f>Case!$B$13/Infrastructure!B33+Case!$B$14</f>
        <v>1226.4082453053938</v>
      </c>
      <c r="I33">
        <f>E33/Temperature!B31</f>
        <v>1357.6475040281098</v>
      </c>
    </row>
    <row r="34" spans="1:9" x14ac:dyDescent="0.3">
      <c r="A34">
        <v>2050</v>
      </c>
      <c r="B34">
        <v>1.5</v>
      </c>
      <c r="E34">
        <f>Case!$B$13/Infrastructure!B34+Case!$B$14</f>
        <v>1223.1995094200001</v>
      </c>
      <c r="I34">
        <f>E34/Temperature!B32</f>
        <v>1359.1105660222224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7592-A9C7-43F2-AB60-A73D193BFD7A}">
  <dimension ref="A4:S71"/>
  <sheetViews>
    <sheetView zoomScale="85" zoomScaleNormal="85" workbookViewId="0">
      <selection activeCell="F4" sqref="F4"/>
    </sheetView>
  </sheetViews>
  <sheetFormatPr defaultColWidth="8.83203125" defaultRowHeight="14" x14ac:dyDescent="0.3"/>
  <cols>
    <col min="6" max="6" width="21.33203125" bestFit="1" customWidth="1"/>
    <col min="12" max="12" width="12.1640625" bestFit="1" customWidth="1"/>
    <col min="14" max="14" width="20.5" bestFit="1" customWidth="1"/>
    <col min="16" max="16" width="23" bestFit="1" customWidth="1"/>
  </cols>
  <sheetData>
    <row r="4" spans="1:8" x14ac:dyDescent="0.3">
      <c r="B4" t="s">
        <v>36</v>
      </c>
      <c r="C4" t="s">
        <v>16</v>
      </c>
      <c r="D4" t="s">
        <v>58</v>
      </c>
      <c r="F4" s="1" t="s">
        <v>57</v>
      </c>
      <c r="G4" t="s">
        <v>1</v>
      </c>
      <c r="H4" t="s">
        <v>56</v>
      </c>
    </row>
    <row r="5" spans="1:8" x14ac:dyDescent="0.3">
      <c r="A5" s="22">
        <v>2020</v>
      </c>
      <c r="B5" s="22">
        <f>Case!$C$11*'Elec str'!H3</f>
        <v>523.05344630000002</v>
      </c>
      <c r="C5" s="22">
        <f>Case!$B$13/Infrastructure!B4</f>
        <v>428.36624069999999</v>
      </c>
      <c r="D5" s="22">
        <f>B5+C5+Case!$B$15</f>
        <v>1365.9882563200001</v>
      </c>
      <c r="E5" s="22"/>
      <c r="F5" s="22">
        <v>2020</v>
      </c>
      <c r="G5" s="22">
        <f>D5/Speed!B3/Temperature!B2</f>
        <v>1365.9882563200001</v>
      </c>
      <c r="H5">
        <f>G5*Temperature!B2</f>
        <v>1365.9882563200001</v>
      </c>
    </row>
    <row r="6" spans="1:8" x14ac:dyDescent="0.3">
      <c r="A6">
        <v>2021</v>
      </c>
      <c r="B6">
        <f>Case!$C$11*'Elec str'!H4</f>
        <v>508.24947641867789</v>
      </c>
      <c r="C6">
        <f>Case!$B$13/Infrastructure!B5</f>
        <v>421.34384331147544</v>
      </c>
      <c r="D6">
        <f>B6+C6+Case!$B$15</f>
        <v>1344.1618890501534</v>
      </c>
      <c r="F6">
        <v>2021</v>
      </c>
      <c r="G6">
        <f>D6/Speed!B4/Temperature!B3</f>
        <v>1322.2131507477409</v>
      </c>
      <c r="H6">
        <f>G6*Temperature!B3</f>
        <v>1317.8057735785817</v>
      </c>
    </row>
    <row r="7" spans="1:8" x14ac:dyDescent="0.3">
      <c r="A7">
        <v>2022</v>
      </c>
      <c r="B7">
        <f>Case!$C$11*'Elec str'!H5</f>
        <v>493.44550653735593</v>
      </c>
      <c r="C7">
        <f>Case!$B$13/Infrastructure!B6</f>
        <v>414.54797487096778</v>
      </c>
      <c r="D7">
        <f>B7+C7+Case!$B$15</f>
        <v>1322.5620507283238</v>
      </c>
      <c r="F7">
        <v>2022</v>
      </c>
      <c r="G7">
        <f>D7/Speed!B5/Temperature!B4</f>
        <v>1280.2291404830185</v>
      </c>
      <c r="H7">
        <f>G7*Temperature!B4</f>
        <v>1271.6942795464652</v>
      </c>
    </row>
    <row r="8" spans="1:8" x14ac:dyDescent="0.3">
      <c r="A8">
        <v>2023</v>
      </c>
      <c r="B8">
        <f>Case!$C$11*'Elec str'!H6</f>
        <v>478.64153665603402</v>
      </c>
      <c r="C8">
        <f>Case!$B$13/Infrastructure!B7</f>
        <v>407.96784828571435</v>
      </c>
      <c r="D8">
        <f>B8+C8+Case!$B$15</f>
        <v>1301.1779542617485</v>
      </c>
      <c r="F8">
        <v>2023</v>
      </c>
      <c r="G8">
        <f>D8/Speed!B6/Temperature!B5</f>
        <v>1239.9256282273186</v>
      </c>
      <c r="H8">
        <f>G8*Temperature!B5</f>
        <v>1227.5263719450456</v>
      </c>
    </row>
    <row r="9" spans="1:8" x14ac:dyDescent="0.3">
      <c r="A9">
        <v>2024</v>
      </c>
      <c r="B9">
        <f>Case!$C$11*'Elec str'!H7</f>
        <v>463.83756677471183</v>
      </c>
      <c r="C9">
        <f>Case!$B$13/Infrastructure!B8</f>
        <v>401.5933506562501</v>
      </c>
      <c r="D9">
        <f>B9+C9+Case!$B$15</f>
        <v>1279.999486750962</v>
      </c>
      <c r="F9">
        <v>2024</v>
      </c>
      <c r="G9">
        <f>D9/Speed!B7/Temperature!B6</f>
        <v>1201.2007195485753</v>
      </c>
      <c r="H9">
        <f>G9*Temperature!B6</f>
        <v>1185.1847099545944</v>
      </c>
    </row>
    <row r="10" spans="1:8" x14ac:dyDescent="0.3">
      <c r="A10" s="28">
        <v>2025</v>
      </c>
      <c r="B10" s="28">
        <f>Case!$C$11*'Elec str'!H8</f>
        <v>449.03359689338993</v>
      </c>
      <c r="C10" s="28">
        <f>Case!$B$13/Infrastructure!B9</f>
        <v>395.41499141538469</v>
      </c>
      <c r="D10" s="28">
        <f>B10+C10+Case!$B$15</f>
        <v>1259.0171576287746</v>
      </c>
      <c r="E10" s="28"/>
      <c r="F10" s="28">
        <v>2025</v>
      </c>
      <c r="G10" s="28">
        <f>D10/Speed!B8/Temperature!B7</f>
        <v>1163.9603922608085</v>
      </c>
      <c r="H10">
        <f>G10*Temperature!B7</f>
        <v>1144.5610523897951</v>
      </c>
    </row>
    <row r="11" spans="1:8" x14ac:dyDescent="0.3">
      <c r="A11">
        <v>2026</v>
      </c>
      <c r="B11">
        <f>Case!$C$11*'Elec str'!H9</f>
        <v>434.22962701206785</v>
      </c>
      <c r="C11">
        <f>Case!$B$13/Infrastructure!B10</f>
        <v>389.42385518181828</v>
      </c>
      <c r="D11">
        <f>B11+C11+Case!$B$15</f>
        <v>1238.2220515138863</v>
      </c>
      <c r="F11">
        <v>2026</v>
      </c>
      <c r="G11">
        <f>D11/Speed!B9/Temperature!B8</f>
        <v>1128.1177583034676</v>
      </c>
      <c r="H11">
        <f>G11*Temperature!B8</f>
        <v>1105.5554031373983</v>
      </c>
    </row>
    <row r="12" spans="1:8" x14ac:dyDescent="0.3">
      <c r="A12">
        <v>2027</v>
      </c>
      <c r="B12">
        <f>Case!$C$11*'Elec str'!H10</f>
        <v>419.42565713074583</v>
      </c>
      <c r="C12">
        <f>Case!$B$13/Infrastructure!B11</f>
        <v>383.61155883582103</v>
      </c>
      <c r="D12">
        <f>B12+C12+Case!$B$15</f>
        <v>1217.605785286567</v>
      </c>
      <c r="F12">
        <v>2027</v>
      </c>
      <c r="G12">
        <f>D12/Speed!B10/Temperature!B9</f>
        <v>1093.5924064007245</v>
      </c>
      <c r="H12">
        <f>G12*Temperature!B9</f>
        <v>1068.0752502513744</v>
      </c>
    </row>
    <row r="13" spans="1:8" x14ac:dyDescent="0.3">
      <c r="A13">
        <v>2028</v>
      </c>
      <c r="B13">
        <f>Case!$C$11*'Elec str'!H11</f>
        <v>404.62168724942387</v>
      </c>
      <c r="C13">
        <f>Case!$B$13/Infrastructure!B12</f>
        <v>377.97021238235311</v>
      </c>
      <c r="D13">
        <f>B13+C13+Case!$B$15</f>
        <v>1197.1604689517771</v>
      </c>
      <c r="F13">
        <v>2028</v>
      </c>
      <c r="G13">
        <f>D13/Speed!B11/Temperature!B10</f>
        <v>1060.3098154391032</v>
      </c>
      <c r="H13">
        <f>G13*Temperature!B10</f>
        <v>1032.034887027394</v>
      </c>
    </row>
    <row r="14" spans="1:8" x14ac:dyDescent="0.3">
      <c r="A14">
        <v>2029</v>
      </c>
      <c r="B14">
        <f>Case!$C$11*'Elec str'!H12</f>
        <v>389.81771736810174</v>
      </c>
      <c r="C14">
        <f>Case!$B$13/Infrastructure!B13</f>
        <v>372.49238321739148</v>
      </c>
      <c r="D14">
        <f>B14+C14+Case!$B$15</f>
        <v>1176.8786699054933</v>
      </c>
      <c r="F14">
        <v>2029</v>
      </c>
      <c r="G14">
        <f>D14/Speed!B12/Temperature!B11</f>
        <v>1028.2008299017061</v>
      </c>
      <c r="H14">
        <f>G14*Temperature!B11</f>
        <v>997.3548050046553</v>
      </c>
    </row>
    <row r="15" spans="1:8" x14ac:dyDescent="0.3">
      <c r="A15" s="22">
        <v>2030</v>
      </c>
      <c r="B15" s="22">
        <f>Case!$C$11*'Elec str'!H13</f>
        <v>375.01374748677978</v>
      </c>
      <c r="C15" s="22">
        <f>Case!$B$13/Infrastructure!B14</f>
        <v>367.17106345714302</v>
      </c>
      <c r="D15" s="22">
        <f>B15+C15+Case!$B$15</f>
        <v>1156.753380263923</v>
      </c>
      <c r="E15" s="22"/>
      <c r="F15" s="22">
        <v>2030</v>
      </c>
      <c r="G15" s="22">
        <f>D15/Speed!B13/Temperature!B12</f>
        <v>997.20118988269189</v>
      </c>
      <c r="H15">
        <f>G15*Temperature!B12</f>
        <v>963.9611502199358</v>
      </c>
    </row>
    <row r="16" spans="1:8" x14ac:dyDescent="0.3">
      <c r="A16">
        <v>2031</v>
      </c>
      <c r="B16">
        <f>Case!$C$11*'Elec str'!H14</f>
        <v>360.20977760545776</v>
      </c>
      <c r="C16">
        <f>Case!$B$13/Infrastructure!B15</f>
        <v>361.99964002816921</v>
      </c>
      <c r="D16">
        <f>B16+C16+Case!$B$15</f>
        <v>1136.7779869536271</v>
      </c>
      <c r="F16">
        <v>2031</v>
      </c>
      <c r="G16">
        <f>D16/Speed!B14/Temperature!B13</f>
        <v>967.25110921234329</v>
      </c>
      <c r="H16">
        <f>G16*Temperature!B13</f>
        <v>931.78523520789111</v>
      </c>
    </row>
    <row r="17" spans="1:19" x14ac:dyDescent="0.3">
      <c r="A17">
        <v>2032</v>
      </c>
      <c r="B17">
        <f>Case!$C$11*'Elec str'!H15</f>
        <v>345.40580772413568</v>
      </c>
      <c r="C17">
        <f>Case!$B$13/Infrastructure!B16</f>
        <v>356.97186725000023</v>
      </c>
      <c r="D17">
        <f>B17+C17+Case!$B$15</f>
        <v>1116.946244294136</v>
      </c>
      <c r="F17">
        <v>2032</v>
      </c>
      <c r="G17">
        <f>D17/Speed!B15/Temperature!B14</f>
        <v>938.29489608042297</v>
      </c>
      <c r="H17">
        <f>G17*Temperature!B14</f>
        <v>900.76310023720646</v>
      </c>
      <c r="S17" s="3"/>
    </row>
    <row r="18" spans="1:19" x14ac:dyDescent="0.3">
      <c r="A18">
        <v>2033</v>
      </c>
      <c r="B18">
        <f>Case!$C$11*'Elec str'!H16</f>
        <v>330.60183784281372</v>
      </c>
      <c r="C18">
        <f>Case!$B$13/Infrastructure!B17</f>
        <v>352.08184167123306</v>
      </c>
      <c r="D18">
        <f>B18+C18+Case!$B$15</f>
        <v>1097.2522488340469</v>
      </c>
      <c r="F18">
        <v>2033</v>
      </c>
      <c r="G18">
        <f>D18/Speed!B16/Temperature!B15</f>
        <v>910.28061127762271</v>
      </c>
      <c r="H18">
        <f>G18*Temperature!B15</f>
        <v>870.83511812225947</v>
      </c>
      <c r="S18" s="3"/>
    </row>
    <row r="19" spans="1:19" x14ac:dyDescent="0.3">
      <c r="A19">
        <v>2034</v>
      </c>
      <c r="B19">
        <f>Case!$C$11*'Elec str'!H17</f>
        <v>315.79786796149165</v>
      </c>
      <c r="C19">
        <f>Case!$B$13/Infrastructure!B18</f>
        <v>347.32397894594618</v>
      </c>
      <c r="D19">
        <f>B19+C19+Case!$B$15</f>
        <v>1077.6904162274379</v>
      </c>
      <c r="F19">
        <v>2034</v>
      </c>
      <c r="G19">
        <f>D19/Speed!B17/Temperature!B16</f>
        <v>883.15975980176802</v>
      </c>
      <c r="H19">
        <f>G19*Temperature!B16</f>
        <v>841.94563767768591</v>
      </c>
      <c r="S19" s="3"/>
    </row>
    <row r="20" spans="1:19" x14ac:dyDescent="0.3">
      <c r="A20" s="29">
        <v>2035</v>
      </c>
      <c r="B20" s="29">
        <f>Case!$C$11*'Elec str'!H18</f>
        <v>300.99389808016963</v>
      </c>
      <c r="C20" s="29">
        <f>Case!$B$13/Infrastructure!B19</f>
        <v>342.69299256000022</v>
      </c>
      <c r="D20" s="29">
        <f>B20+C20+Case!$B$15</f>
        <v>1058.2554599601699</v>
      </c>
      <c r="E20" s="29"/>
      <c r="F20" s="29">
        <v>2035</v>
      </c>
      <c r="G20" s="29">
        <f>D20/Speed!B18/Temperature!B17</f>
        <v>856.88701211349746</v>
      </c>
      <c r="H20">
        <f>G20*Temperature!B17</f>
        <v>814.04266150782303</v>
      </c>
      <c r="S20" s="3"/>
    </row>
    <row r="21" spans="1:19" x14ac:dyDescent="0.3">
      <c r="A21">
        <v>2036</v>
      </c>
      <c r="B21">
        <f>Case!$C$11*'Elec str'!H19</f>
        <v>286.18992819884761</v>
      </c>
      <c r="C21">
        <f>Case!$B$13/Infrastructure!B20</f>
        <v>338.18387423684237</v>
      </c>
      <c r="D21">
        <f>B21+C21+Case!$B$15</f>
        <v>1038.9423717556901</v>
      </c>
      <c r="F21">
        <v>2036</v>
      </c>
      <c r="G21">
        <f>D21/Speed!B19/Temperature!B18</f>
        <v>831.41995178912418</v>
      </c>
      <c r="H21">
        <f>G21*Temperature!B18</f>
        <v>787.07755436037132</v>
      </c>
    </row>
    <row r="22" spans="1:19" x14ac:dyDescent="0.3">
      <c r="A22">
        <v>2037</v>
      </c>
      <c r="B22">
        <f>Case!$C$11*'Elec str'!H20</f>
        <v>271.38595831752559</v>
      </c>
      <c r="C22">
        <f>Case!$B$13/Infrastructure!B21</f>
        <v>333.79187587013013</v>
      </c>
      <c r="D22">
        <f>B22+C22+Case!$B$15</f>
        <v>1019.7464035076557</v>
      </c>
      <c r="F22">
        <v>2037</v>
      </c>
      <c r="G22">
        <f>D22/Speed!B20/Temperature!B19</f>
        <v>806.71884671772716</v>
      </c>
      <c r="H22">
        <f>G22*Temperature!B19</f>
        <v>761.00477873705643</v>
      </c>
    </row>
    <row r="23" spans="1:19" x14ac:dyDescent="0.3">
      <c r="A23">
        <v>2038</v>
      </c>
      <c r="B23">
        <f>Case!$C$11*'Elec str'!H21</f>
        <v>256.58198843620357</v>
      </c>
      <c r="C23">
        <f>Case!$B$13/Infrastructure!B22</f>
        <v>329.51249284615409</v>
      </c>
      <c r="D23">
        <f>B23+C23+Case!$B$15</f>
        <v>1000.6630506023578</v>
      </c>
      <c r="F23">
        <v>2038</v>
      </c>
      <c r="G23">
        <f>D23/Speed!B21/Temperature!B20</f>
        <v>782.74644133475988</v>
      </c>
      <c r="H23">
        <f>G23*Temperature!B20</f>
        <v>735.7816548546748</v>
      </c>
    </row>
    <row r="24" spans="1:19" x14ac:dyDescent="0.3">
      <c r="A24">
        <v>2039</v>
      </c>
      <c r="B24">
        <f>Case!$C$11*'Elec str'!H22</f>
        <v>241.77801855488153</v>
      </c>
      <c r="C24">
        <f>Case!$B$13/Infrastructure!B23</f>
        <v>325.34144863291164</v>
      </c>
      <c r="D24">
        <f>B24+C24+Case!$B$15</f>
        <v>981.68803650779319</v>
      </c>
      <c r="F24">
        <v>2039</v>
      </c>
      <c r="G24">
        <f>D24/Speed!B22/Temperature!B21</f>
        <v>759.46776768357756</v>
      </c>
      <c r="H24">
        <f>G24*Temperature!B21</f>
        <v>711.3681423969515</v>
      </c>
      <c r="K24" t="str">
        <f>Case!A2</f>
        <v>Feed</v>
      </c>
      <c r="L24">
        <f>Case!B2</f>
        <v>312.00852350000002</v>
      </c>
      <c r="M24">
        <f>L24/L31</f>
        <v>0.75261017498691463</v>
      </c>
    </row>
    <row r="25" spans="1:19" x14ac:dyDescent="0.3">
      <c r="A25" s="22">
        <v>2040</v>
      </c>
      <c r="B25" s="22">
        <f>Case!$C$11*'Elec str'!H23</f>
        <v>226.97404867355951</v>
      </c>
      <c r="C25" s="22">
        <f>Case!$B$13/Infrastructure!B24</f>
        <v>321.27468052500029</v>
      </c>
      <c r="D25" s="22">
        <f>B25+C25+Case!$B$15</f>
        <v>962.81729851855994</v>
      </c>
      <c r="E25" s="22"/>
      <c r="F25" s="22">
        <v>2040</v>
      </c>
      <c r="G25" s="22">
        <f>D25/Speed!B23/Temperature!B22</f>
        <v>736.8499733560401</v>
      </c>
      <c r="H25">
        <f>G25*Temperature!B22</f>
        <v>687.72664179897129</v>
      </c>
      <c r="K25" t="str">
        <f>Case!A3</f>
        <v>Energy</v>
      </c>
      <c r="L25">
        <f>Case!B3</f>
        <v>523.05344630000002</v>
      </c>
    </row>
    <row r="26" spans="1:19" x14ac:dyDescent="0.3">
      <c r="A26">
        <v>2041</v>
      </c>
      <c r="B26">
        <f>Case!$C$11*'Elec str'!H24</f>
        <v>212.17007879223752</v>
      </c>
      <c r="C26">
        <f>Case!$B$13/Infrastructure!B25</f>
        <v>317.30832644444473</v>
      </c>
      <c r="D26">
        <f>B26+C26+Case!$B$15</f>
        <v>944.04697455668224</v>
      </c>
      <c r="F26">
        <v>2041</v>
      </c>
      <c r="G26">
        <f>D26/Speed!B24/Temperature!B23</f>
        <v>714.86216458933927</v>
      </c>
      <c r="H26">
        <f>G26*Temperature!B23</f>
        <v>664.82181306808604</v>
      </c>
      <c r="K26" t="str">
        <f>Case!A4</f>
        <v>Infrastructure</v>
      </c>
      <c r="L26">
        <f>Case!B4</f>
        <v>428.36624069999999</v>
      </c>
    </row>
    <row r="27" spans="1:19" x14ac:dyDescent="0.3">
      <c r="A27">
        <v>2042</v>
      </c>
      <c r="B27">
        <f>Case!$C$11*'Elec str'!H25</f>
        <v>197.36610891091547</v>
      </c>
      <c r="C27">
        <f>Case!$B$13/Infrastructure!B26</f>
        <v>313.43871270731739</v>
      </c>
      <c r="D27">
        <f>B27+C27+Case!$B$15</f>
        <v>925.37339093823289</v>
      </c>
      <c r="F27">
        <v>2042</v>
      </c>
      <c r="G27">
        <f>D27/Speed!B25/Temperature!B24</f>
        <v>693.47526299327944</v>
      </c>
      <c r="H27">
        <f>G27*Temperature!B24</f>
        <v>642.62041037377276</v>
      </c>
      <c r="K27" t="str">
        <f>Case!A5</f>
        <v>Equipment</v>
      </c>
      <c r="L27">
        <f>Case!B5</f>
        <v>10.11004582</v>
      </c>
      <c r="M27">
        <f>L27/L31</f>
        <v>2.4386908627885364E-2</v>
      </c>
    </row>
    <row r="28" spans="1:19" x14ac:dyDescent="0.3">
      <c r="A28">
        <v>2043</v>
      </c>
      <c r="B28">
        <f>Case!$C$11*'Elec str'!H26</f>
        <v>182.56213902959348</v>
      </c>
      <c r="C28">
        <f>Case!$B$13/Infrastructure!B27</f>
        <v>309.66234267469912</v>
      </c>
      <c r="D28">
        <f>B28+C28+Case!$B$15</f>
        <v>906.79305102429271</v>
      </c>
      <c r="F28">
        <v>2043</v>
      </c>
      <c r="G28">
        <f>D28/Speed!B26/Temperature!B25</f>
        <v>672.66187455439274</v>
      </c>
      <c r="H28">
        <f>G28*Temperature!B25</f>
        <v>621.09113083855652</v>
      </c>
      <c r="K28" t="str">
        <f>Case!A6</f>
        <v>Transport</v>
      </c>
      <c r="L28">
        <f>Case!B6</f>
        <v>92.45</v>
      </c>
      <c r="M28">
        <f>L28/L31</f>
        <v>0.22300291638520012</v>
      </c>
    </row>
    <row r="29" spans="1:19" x14ac:dyDescent="0.3">
      <c r="A29">
        <v>2044</v>
      </c>
      <c r="B29">
        <f>Case!$C$11*'Elec str'!H27</f>
        <v>167.75816914827143</v>
      </c>
      <c r="C29">
        <f>Case!$B$13/Infrastructure!B28</f>
        <v>305.97588621428599</v>
      </c>
      <c r="D29">
        <f>B29+C29+Case!$B$15</f>
        <v>888.30262468255751</v>
      </c>
      <c r="F29">
        <v>2044</v>
      </c>
      <c r="G29">
        <f>D29/Speed!B27/Temperature!B26</f>
        <v>652.39616971398107</v>
      </c>
      <c r="H29">
        <f>G29*Temperature!B26</f>
        <v>600.20447613686315</v>
      </c>
      <c r="K29" t="str">
        <f>Case!A8</f>
        <v>CF (without macroalgae)</v>
      </c>
      <c r="L29">
        <f>SUM(L24:L28)</f>
        <v>1365.9882563200001</v>
      </c>
    </row>
    <row r="30" spans="1:19" x14ac:dyDescent="0.3">
      <c r="A30" s="28">
        <v>2045</v>
      </c>
      <c r="B30" s="28">
        <f>Case!$C$11*'Elec str'!H28</f>
        <v>152.95419926694942</v>
      </c>
      <c r="C30" s="28">
        <f>Case!$B$13/Infrastructure!B29</f>
        <v>302.37616990588265</v>
      </c>
      <c r="D30" s="28">
        <f>B30+C30+Case!$B$15</f>
        <v>869.89893849283226</v>
      </c>
      <c r="E30" s="28"/>
      <c r="F30" s="28">
        <v>2045</v>
      </c>
      <c r="G30" s="28">
        <f>D30/Speed!B28/Temperature!B27</f>
        <v>632.65377344933188</v>
      </c>
      <c r="H30">
        <f>G30*Temperature!B27</f>
        <v>579.9326256618881</v>
      </c>
    </row>
    <row r="31" spans="1:19" x14ac:dyDescent="0.3">
      <c r="A31">
        <v>2046</v>
      </c>
      <c r="B31">
        <f>Case!$C$11*'Elec str'!H29</f>
        <v>138.15022938562743</v>
      </c>
      <c r="C31">
        <f>Case!$B$13/Infrastructure!B30</f>
        <v>298.86016793023288</v>
      </c>
      <c r="D31">
        <f>B31+C31+Case!$B$15</f>
        <v>851.57896663586041</v>
      </c>
      <c r="F31">
        <v>2046</v>
      </c>
      <c r="G31">
        <f>D31/Speed!B29/Temperature!B28</f>
        <v>613.4116644034716</v>
      </c>
      <c r="H31">
        <f>G31*Temperature!B28</f>
        <v>560.24932015517129</v>
      </c>
      <c r="K31" t="s">
        <v>79</v>
      </c>
      <c r="L31">
        <f>L24+L27+L28</f>
        <v>414.56856931999999</v>
      </c>
    </row>
    <row r="32" spans="1:19" x14ac:dyDescent="0.3">
      <c r="A32">
        <v>2047</v>
      </c>
      <c r="B32">
        <f>Case!$C$11*'Elec str'!H30</f>
        <v>123.34625950430542</v>
      </c>
      <c r="C32">
        <f>Case!$B$13/Infrastructure!B31</f>
        <v>295.42499358620722</v>
      </c>
      <c r="D32">
        <f>B32+C32+Case!$B$15</f>
        <v>833.33982241051274</v>
      </c>
      <c r="F32">
        <v>2047</v>
      </c>
      <c r="G32">
        <f>D32/Speed!B30/Temperature!B29</f>
        <v>594.64808221101168</v>
      </c>
      <c r="H32">
        <f>G32*Temperature!B29</f>
        <v>541.12975481202113</v>
      </c>
    </row>
    <row r="33" spans="1:13" x14ac:dyDescent="0.3">
      <c r="A33">
        <v>2048</v>
      </c>
      <c r="B33">
        <f>Case!$C$11*'Elec str'!H31</f>
        <v>108.5422896229834</v>
      </c>
      <c r="C33">
        <f>Case!$B$13/Infrastructure!B32</f>
        <v>292.06789138636395</v>
      </c>
      <c r="D33">
        <f>B33+C33+Case!$B$15</f>
        <v>815.17875032934739</v>
      </c>
      <c r="F33">
        <v>2048</v>
      </c>
      <c r="G33">
        <f>D33/Speed!B31/Temperature!B30</f>
        <v>576.34244225773921</v>
      </c>
      <c r="H33">
        <f>G33*Temperature!B30</f>
        <v>522.55048098035081</v>
      </c>
    </row>
    <row r="34" spans="1:13" x14ac:dyDescent="0.3">
      <c r="A34">
        <v>2049</v>
      </c>
      <c r="B34">
        <f>Case!$C$11*'Elec str'!H32</f>
        <v>93.7383197416614</v>
      </c>
      <c r="C34">
        <f>Case!$B$13/Infrastructure!B33</f>
        <v>288.78622968539361</v>
      </c>
      <c r="D34">
        <f>B34+C34+Case!$B$15</f>
        <v>797.09311874705509</v>
      </c>
      <c r="F34">
        <v>2049</v>
      </c>
      <c r="G34">
        <f>D34/Speed!B32/Temperature!B31</f>
        <v>558.47525719117243</v>
      </c>
      <c r="H34">
        <f>G34*Temperature!B31</f>
        <v>504.489315662693</v>
      </c>
    </row>
    <row r="35" spans="1:13" x14ac:dyDescent="0.3">
      <c r="A35" s="22">
        <v>2050</v>
      </c>
      <c r="B35" s="22">
        <f>Case!$C$11*'Elec str'!H33</f>
        <v>78.934349860339694</v>
      </c>
      <c r="C35" s="22">
        <f>Case!$B$13/Infrastructure!B34</f>
        <v>285.57749380000001</v>
      </c>
      <c r="D35" s="22">
        <f>B35+C35+Case!$B$15</f>
        <v>779.08041298033982</v>
      </c>
      <c r="E35" s="22"/>
      <c r="F35" s="22">
        <v>2050</v>
      </c>
      <c r="G35" s="22">
        <f>D35/Speed!B33/Temperature!B32</f>
        <v>541.02806456968028</v>
      </c>
      <c r="H35">
        <f>G35*Temperature!B32</f>
        <v>486.92525811271224</v>
      </c>
    </row>
    <row r="40" spans="1:13" x14ac:dyDescent="0.3">
      <c r="A40" t="s">
        <v>60</v>
      </c>
      <c r="B40" t="s">
        <v>36</v>
      </c>
      <c r="C40" t="s">
        <v>16</v>
      </c>
      <c r="D40" t="s">
        <v>59</v>
      </c>
    </row>
    <row r="41" spans="1:13" x14ac:dyDescent="0.3">
      <c r="A41" s="22">
        <v>2020</v>
      </c>
      <c r="B41">
        <f>B5/Speed!B3/Temperature!B2</f>
        <v>523.05344630000002</v>
      </c>
      <c r="C41">
        <f>C5/Speed!B3/Temperature!B2</f>
        <v>428.36624069999999</v>
      </c>
      <c r="D41">
        <f>G5-B41-C41</f>
        <v>414.56856932000011</v>
      </c>
    </row>
    <row r="42" spans="1:13" x14ac:dyDescent="0.3">
      <c r="A42">
        <v>2021</v>
      </c>
      <c r="B42">
        <f>B6/Speed!B4/Temperature!B3</f>
        <v>499.95030141518578</v>
      </c>
      <c r="C42">
        <f>C6/Speed!B4/Temperature!B3</f>
        <v>414.4637451421163</v>
      </c>
      <c r="D42">
        <f t="shared" ref="D42:D71" si="0">G6-B42-C42</f>
        <v>407.79910419043881</v>
      </c>
    </row>
    <row r="43" spans="1:13" x14ac:dyDescent="0.3">
      <c r="A43">
        <v>2022</v>
      </c>
      <c r="B43">
        <f>B7/Speed!B5/Temperature!B4</f>
        <v>477.65117437147256</v>
      </c>
      <c r="C43">
        <f>C7/Speed!B5/Temperature!B4</f>
        <v>401.27901542749845</v>
      </c>
      <c r="D43">
        <f t="shared" si="0"/>
        <v>401.2989506840475</v>
      </c>
    </row>
    <row r="44" spans="1:13" x14ac:dyDescent="0.3">
      <c r="A44">
        <v>2023</v>
      </c>
      <c r="B44">
        <f>B8/Speed!B6/Temperature!B5</f>
        <v>456.10971665335808</v>
      </c>
      <c r="C44">
        <f>C8/Speed!B6/Temperature!B5</f>
        <v>388.76295815295816</v>
      </c>
      <c r="D44">
        <f t="shared" si="0"/>
        <v>395.05295342100237</v>
      </c>
      <c r="F44" t="s">
        <v>61</v>
      </c>
      <c r="G44">
        <v>2020</v>
      </c>
      <c r="H44">
        <v>2025</v>
      </c>
      <c r="I44">
        <v>2030</v>
      </c>
      <c r="J44">
        <v>2035</v>
      </c>
      <c r="K44">
        <v>2040</v>
      </c>
      <c r="L44">
        <v>2045</v>
      </c>
      <c r="M44">
        <v>2050</v>
      </c>
    </row>
    <row r="45" spans="1:13" x14ac:dyDescent="0.3">
      <c r="A45">
        <v>2024</v>
      </c>
      <c r="B45">
        <f>B9/Speed!B7/Temperature!B6</f>
        <v>435.28300185314544</v>
      </c>
      <c r="C45">
        <f>C9/Speed!B7/Temperature!B6</f>
        <v>376.87063687711151</v>
      </c>
      <c r="D45">
        <f t="shared" si="0"/>
        <v>389.04708081831842</v>
      </c>
      <c r="F45" s="3" t="s">
        <v>8</v>
      </c>
      <c r="G45">
        <f>B41</f>
        <v>523.05344630000002</v>
      </c>
      <c r="H45">
        <f>B46</f>
        <v>415.13121438526019</v>
      </c>
      <c r="I45">
        <f>B51</f>
        <v>323.28771335067211</v>
      </c>
      <c r="J45">
        <f>B56</f>
        <v>243.7197555305016</v>
      </c>
      <c r="K45">
        <f>B61</f>
        <v>173.70462908690766</v>
      </c>
      <c r="L45">
        <f>B66</f>
        <v>111.23941764869038</v>
      </c>
      <c r="M45">
        <f>B71</f>
        <v>54.815520736346997</v>
      </c>
    </row>
    <row r="46" spans="1:13" x14ac:dyDescent="0.3">
      <c r="A46" s="28">
        <v>2025</v>
      </c>
      <c r="B46">
        <f>B10/Speed!B8/Temperature!B7</f>
        <v>415.13121438526019</v>
      </c>
      <c r="C46">
        <f>C10/Speed!B8/Temperature!B7</f>
        <v>365.56085492947727</v>
      </c>
      <c r="D46">
        <f t="shared" si="0"/>
        <v>383.26832294607107</v>
      </c>
      <c r="F46" s="3" t="s">
        <v>21</v>
      </c>
      <c r="G46">
        <f>C41+D41*M27</f>
        <v>438.47628651999997</v>
      </c>
      <c r="H46">
        <f>C46+D46*M27</f>
        <v>374.90758450112594</v>
      </c>
      <c r="I46">
        <f>C51+D51*M27</f>
        <v>325.24233558374391</v>
      </c>
      <c r="J46">
        <f>C56+D56*M27</f>
        <v>285.67047642105268</v>
      </c>
      <c r="K46">
        <f>C61+D61*M27</f>
        <v>253.61075995790816</v>
      </c>
      <c r="L46">
        <f>C66+D66*M27</f>
        <v>227.26270234609623</v>
      </c>
      <c r="M46">
        <f>C71+D71*M27</f>
        <v>205.33856918055554</v>
      </c>
    </row>
    <row r="47" spans="1:13" x14ac:dyDescent="0.3">
      <c r="A47">
        <v>2026</v>
      </c>
      <c r="B47">
        <f>B11/Speed!B9/Temperature!B8</f>
        <v>395.61737154889551</v>
      </c>
      <c r="C47">
        <f>C11/Speed!B9/Temperature!B8</f>
        <v>354.79578642658362</v>
      </c>
      <c r="D47">
        <f t="shared" si="0"/>
        <v>377.70460032798837</v>
      </c>
      <c r="F47" s="3" t="s">
        <v>9</v>
      </c>
      <c r="G47">
        <f>D41*M28</f>
        <v>92.450000000000017</v>
      </c>
      <c r="H47">
        <f>D46*M28</f>
        <v>85.469953775038562</v>
      </c>
      <c r="I47">
        <f>D51*M28</f>
        <v>79.698275862068968</v>
      </c>
      <c r="J47">
        <f>D56*M28</f>
        <v>74.858299595141659</v>
      </c>
      <c r="K47">
        <f>D61*M28</f>
        <v>70.75255102040812</v>
      </c>
      <c r="L47">
        <f>D66*M28</f>
        <v>67.236363636363578</v>
      </c>
      <c r="M47">
        <f>D71*M28</f>
        <v>64.201388888888886</v>
      </c>
    </row>
    <row r="48" spans="1:13" x14ac:dyDescent="0.3">
      <c r="A48">
        <v>2027</v>
      </c>
      <c r="B48">
        <f>B12/Speed!B10/Temperature!B9</f>
        <v>376.70707484349356</v>
      </c>
      <c r="C48">
        <f>C12/Speed!B10/Temperature!B9</f>
        <v>344.54064921485622</v>
      </c>
      <c r="D48">
        <f t="shared" si="0"/>
        <v>372.34468234237477</v>
      </c>
      <c r="F48" s="3" t="s">
        <v>18</v>
      </c>
      <c r="G48">
        <f>D41*M24</f>
        <v>312.00852350000014</v>
      </c>
      <c r="H48">
        <f>D46*M24</f>
        <v>288.45163959938384</v>
      </c>
      <c r="I48">
        <f>D51*M24</f>
        <v>268.97286508620698</v>
      </c>
      <c r="J48">
        <f>D56*M24</f>
        <v>252.63848056680152</v>
      </c>
      <c r="K48">
        <f>D61*M24</f>
        <v>238.7820332908162</v>
      </c>
      <c r="L48">
        <f>D66*M24</f>
        <v>226.91528981818166</v>
      </c>
      <c r="M48">
        <f>D71*M24</f>
        <v>216.67258576388892</v>
      </c>
    </row>
    <row r="49" spans="1:15" x14ac:dyDescent="0.3">
      <c r="A49">
        <v>2028</v>
      </c>
      <c r="B49">
        <f>B13/Speed!B11/Temperature!B10</f>
        <v>358.36828700645702</v>
      </c>
      <c r="C49">
        <f>C13/Speed!B11/Temperature!B10</f>
        <v>334.76341436793189</v>
      </c>
      <c r="D49">
        <f t="shared" si="0"/>
        <v>367.17811406471435</v>
      </c>
      <c r="O49" s="16" t="s">
        <v>62</v>
      </c>
    </row>
    <row r="50" spans="1:15" x14ac:dyDescent="0.3">
      <c r="A50">
        <v>2029</v>
      </c>
      <c r="B50">
        <f>B14/Speed!B12/Temperature!B11</f>
        <v>340.57113172121399</v>
      </c>
      <c r="C50">
        <f>C14/Speed!B12/Temperature!B11</f>
        <v>325.43454763008151</v>
      </c>
      <c r="D50">
        <f t="shared" si="0"/>
        <v>362.19515055041063</v>
      </c>
      <c r="G50">
        <f>SUM(G45:G48)</f>
        <v>1365.9882563200001</v>
      </c>
      <c r="H50">
        <f t="shared" ref="H50:M50" si="1">SUM(H45:H48)</f>
        <v>1163.9603922608085</v>
      </c>
      <c r="I50">
        <f t="shared" si="1"/>
        <v>997.20118988269201</v>
      </c>
      <c r="J50">
        <f t="shared" si="1"/>
        <v>856.88701211349735</v>
      </c>
      <c r="K50">
        <f t="shared" si="1"/>
        <v>736.8499733560401</v>
      </c>
      <c r="L50">
        <f t="shared" si="1"/>
        <v>632.65377344933188</v>
      </c>
      <c r="M50">
        <f t="shared" si="1"/>
        <v>541.0280645696804</v>
      </c>
      <c r="O50" s="13">
        <v>-1161.73179</v>
      </c>
    </row>
    <row r="51" spans="1:15" x14ac:dyDescent="0.3">
      <c r="A51" s="22">
        <v>2030</v>
      </c>
      <c r="B51">
        <f>B15/Speed!B13/Temperature!B12</f>
        <v>323.28771335067211</v>
      </c>
      <c r="C51">
        <f>C15/Speed!B13/Temperature!B12</f>
        <v>316.52677884236459</v>
      </c>
      <c r="D51">
        <f t="shared" si="0"/>
        <v>357.38669768965519</v>
      </c>
    </row>
    <row r="52" spans="1:15" x14ac:dyDescent="0.3">
      <c r="A52">
        <v>2031</v>
      </c>
      <c r="B52">
        <f>B16/Speed!B14/Temperature!B13</f>
        <v>306.4919543979729</v>
      </c>
      <c r="C52">
        <f>C16/Speed!B14/Temperature!B13</f>
        <v>308.01489593411634</v>
      </c>
      <c r="D52">
        <f t="shared" si="0"/>
        <v>352.74425888025405</v>
      </c>
    </row>
    <row r="53" spans="1:15" x14ac:dyDescent="0.3">
      <c r="A53">
        <v>2032</v>
      </c>
      <c r="B53">
        <f>B17/Speed!B15/Temperature!B14</f>
        <v>290.15944869299017</v>
      </c>
      <c r="C53">
        <f>C17/Speed!B15/Temperature!B14</f>
        <v>299.87556052587371</v>
      </c>
      <c r="D53">
        <f t="shared" si="0"/>
        <v>348.2598868615591</v>
      </c>
      <c r="F53" t="s">
        <v>63</v>
      </c>
      <c r="G53">
        <v>2020</v>
      </c>
      <c r="H53">
        <v>2025</v>
      </c>
      <c r="I53">
        <v>2030</v>
      </c>
      <c r="J53">
        <v>2035</v>
      </c>
      <c r="K53">
        <v>2040</v>
      </c>
      <c r="L53">
        <v>2045</v>
      </c>
      <c r="M53">
        <v>2050</v>
      </c>
    </row>
    <row r="54" spans="1:15" x14ac:dyDescent="0.3">
      <c r="A54">
        <v>2033</v>
      </c>
      <c r="B54">
        <f>B18/Speed!B16/Temperature!B15</f>
        <v>274.26732855717069</v>
      </c>
      <c r="C54">
        <f>C18/Speed!B16/Temperature!B15</f>
        <v>292.08714258439761</v>
      </c>
      <c r="D54">
        <f t="shared" si="0"/>
        <v>343.92614013605441</v>
      </c>
      <c r="F54" s="3" t="s">
        <v>8</v>
      </c>
      <c r="G54">
        <f>G45</f>
        <v>523.05344630000002</v>
      </c>
      <c r="H54">
        <f t="shared" ref="H54:M54" si="2">H45</f>
        <v>415.13121438526019</v>
      </c>
      <c r="I54">
        <f t="shared" si="2"/>
        <v>323.28771335067211</v>
      </c>
      <c r="J54">
        <f t="shared" si="2"/>
        <v>243.7197555305016</v>
      </c>
      <c r="K54">
        <f t="shared" si="2"/>
        <v>173.70462908690766</v>
      </c>
      <c r="L54">
        <f t="shared" si="2"/>
        <v>111.23941764869038</v>
      </c>
      <c r="M54">
        <f t="shared" si="2"/>
        <v>54.815520736346997</v>
      </c>
    </row>
    <row r="55" spans="1:15" x14ac:dyDescent="0.3">
      <c r="A55">
        <v>2034</v>
      </c>
      <c r="B55">
        <f>B19/Speed!B17/Temperature!B16</f>
        <v>258.79414441774327</v>
      </c>
      <c r="C55">
        <f>C19/Speed!B17/Temperature!B16</f>
        <v>284.62957190718913</v>
      </c>
      <c r="D55">
        <f t="shared" si="0"/>
        <v>339.73604347683562</v>
      </c>
      <c r="F55" s="3" t="s">
        <v>21</v>
      </c>
      <c r="G55">
        <f t="shared" ref="G55:M56" si="3">G46</f>
        <v>438.47628651999997</v>
      </c>
      <c r="H55">
        <f t="shared" si="3"/>
        <v>374.90758450112594</v>
      </c>
      <c r="I55">
        <f t="shared" si="3"/>
        <v>325.24233558374391</v>
      </c>
      <c r="J55">
        <f t="shared" si="3"/>
        <v>285.67047642105268</v>
      </c>
      <c r="K55">
        <f t="shared" si="3"/>
        <v>253.61075995790816</v>
      </c>
      <c r="L55">
        <f t="shared" si="3"/>
        <v>227.26270234609623</v>
      </c>
      <c r="M55">
        <f t="shared" si="3"/>
        <v>205.33856918055554</v>
      </c>
    </row>
    <row r="56" spans="1:15" x14ac:dyDescent="0.3">
      <c r="A56" s="29">
        <v>2035</v>
      </c>
      <c r="B56">
        <f>B20/Speed!B18/Temperature!B17</f>
        <v>243.7197555305016</v>
      </c>
      <c r="C56">
        <f>C20/Speed!B18/Temperature!B17</f>
        <v>277.48420450202434</v>
      </c>
      <c r="D56">
        <f t="shared" si="0"/>
        <v>335.68305208097149</v>
      </c>
      <c r="F56" s="3" t="s">
        <v>9</v>
      </c>
      <c r="G56">
        <f t="shared" si="3"/>
        <v>92.450000000000017</v>
      </c>
      <c r="H56">
        <f t="shared" si="3"/>
        <v>85.469953775038562</v>
      </c>
      <c r="I56">
        <f t="shared" si="3"/>
        <v>79.698275862068968</v>
      </c>
      <c r="J56">
        <f t="shared" si="3"/>
        <v>74.858299595141659</v>
      </c>
      <c r="K56">
        <f t="shared" si="3"/>
        <v>70.75255102040812</v>
      </c>
      <c r="L56">
        <f t="shared" si="3"/>
        <v>67.236363636363578</v>
      </c>
      <c r="M56">
        <f t="shared" si="3"/>
        <v>64.201388888888886</v>
      </c>
    </row>
    <row r="57" spans="1:15" x14ac:dyDescent="0.3">
      <c r="A57">
        <v>2036</v>
      </c>
      <c r="B57">
        <f>B21/Speed!B19/Temperature!B18</f>
        <v>229.02523063288047</v>
      </c>
      <c r="C57">
        <f>C21/Speed!B19/Temperature!B18</f>
        <v>270.63370217416946</v>
      </c>
      <c r="D57">
        <f t="shared" si="0"/>
        <v>331.76101898207423</v>
      </c>
      <c r="F57" s="3" t="s">
        <v>22</v>
      </c>
      <c r="G57">
        <f>G48+$O$50</f>
        <v>-849.72326649999991</v>
      </c>
      <c r="H57">
        <f t="shared" ref="H57:M57" si="4">H48+$O$50</f>
        <v>-873.28015040061621</v>
      </c>
      <c r="I57">
        <f t="shared" si="4"/>
        <v>-892.75892491379307</v>
      </c>
      <c r="J57">
        <f t="shared" si="4"/>
        <v>-909.09330943319856</v>
      </c>
      <c r="K57">
        <f t="shared" si="4"/>
        <v>-922.94975670918382</v>
      </c>
      <c r="L57">
        <f t="shared" si="4"/>
        <v>-934.81650018181836</v>
      </c>
      <c r="M57">
        <f t="shared" si="4"/>
        <v>-945.0592042361111</v>
      </c>
    </row>
    <row r="58" spans="1:15" x14ac:dyDescent="0.3">
      <c r="A58">
        <v>2037</v>
      </c>
      <c r="B58">
        <f>B22/Speed!B20/Temperature!B19</f>
        <v>214.69275748973581</v>
      </c>
      <c r="C58">
        <f>C22/Speed!B20/Temperature!B19</f>
        <v>264.06192384641889</v>
      </c>
      <c r="D58">
        <f t="shared" si="0"/>
        <v>327.96416538157251</v>
      </c>
    </row>
    <row r="59" spans="1:15" x14ac:dyDescent="0.3">
      <c r="A59">
        <v>2038</v>
      </c>
      <c r="B59">
        <f>B23/Speed!B21/Temperature!B20</f>
        <v>200.70556041630428</v>
      </c>
      <c r="C59">
        <f>C23/Speed!B21/Temperature!B20</f>
        <v>257.75382732020796</v>
      </c>
      <c r="D59">
        <f t="shared" si="0"/>
        <v>324.28705359824767</v>
      </c>
    </row>
    <row r="60" spans="1:15" x14ac:dyDescent="0.3">
      <c r="A60">
        <v>2039</v>
      </c>
      <c r="B60">
        <f>B24/Speed!B22/Temperature!B21</f>
        <v>187.0478249689628</v>
      </c>
      <c r="C60">
        <f>C24/Speed!B22/Temperature!B21</f>
        <v>251.69538034419881</v>
      </c>
      <c r="D60">
        <f t="shared" si="0"/>
        <v>320.72456237041592</v>
      </c>
    </row>
    <row r="61" spans="1:15" x14ac:dyDescent="0.3">
      <c r="A61" s="22">
        <v>2040</v>
      </c>
      <c r="B61">
        <f>B25/Speed!B23/Temperature!B22</f>
        <v>173.70462908690766</v>
      </c>
      <c r="C61">
        <f>C25/Speed!B23/Temperature!B22</f>
        <v>245.87347999362245</v>
      </c>
      <c r="D61">
        <f t="shared" si="0"/>
        <v>317.27186427550998</v>
      </c>
    </row>
    <row r="62" spans="1:15" x14ac:dyDescent="0.3">
      <c r="A62">
        <v>2041</v>
      </c>
      <c r="B62">
        <f>B26/Speed!B24/Temperature!B23</f>
        <v>160.66188004864253</v>
      </c>
      <c r="C62">
        <f>C26/Speed!B24/Temperature!B23</f>
        <v>240.27587948239017</v>
      </c>
      <c r="D62">
        <f t="shared" si="0"/>
        <v>313.9244050583066</v>
      </c>
    </row>
    <row r="63" spans="1:15" x14ac:dyDescent="0.3">
      <c r="A63">
        <v>2042</v>
      </c>
      <c r="B63">
        <f>B27/Speed!B25/Temperature!B24</f>
        <v>147.90625667784417</v>
      </c>
      <c r="C63">
        <f>C27/Speed!B25/Temperature!B24</f>
        <v>234.89112163318129</v>
      </c>
      <c r="D63">
        <f t="shared" si="0"/>
        <v>310.67788468225393</v>
      </c>
    </row>
    <row r="64" spans="1:15" x14ac:dyDescent="0.3">
      <c r="A64">
        <v>2043</v>
      </c>
      <c r="B64">
        <f>B28/Speed!B26/Temperature!B25</f>
        <v>135.42515629513375</v>
      </c>
      <c r="C64">
        <f>C28/Speed!B26/Temperature!B25</f>
        <v>229.70847832058169</v>
      </c>
      <c r="D64">
        <f t="shared" si="0"/>
        <v>307.5282399386773</v>
      </c>
    </row>
    <row r="65" spans="1:4" x14ac:dyDescent="0.3">
      <c r="A65">
        <v>2044</v>
      </c>
      <c r="B65">
        <f>B29/Speed!B27/Temperature!B26</f>
        <v>123.2066459667092</v>
      </c>
      <c r="C65">
        <f>C29/Speed!B27/Temperature!B26</f>
        <v>224.71789528076209</v>
      </c>
      <c r="D65">
        <f t="shared" si="0"/>
        <v>304.4716284665098</v>
      </c>
    </row>
    <row r="66" spans="1:4" x14ac:dyDescent="0.3">
      <c r="A66" s="28">
        <v>2045</v>
      </c>
      <c r="B66">
        <f>B30/Speed!B28/Temperature!B27</f>
        <v>111.23941764869038</v>
      </c>
      <c r="C66">
        <f>C30/Speed!B28/Temperature!B27</f>
        <v>219.90994174973261</v>
      </c>
      <c r="D66">
        <f t="shared" si="0"/>
        <v>301.50441405090885</v>
      </c>
    </row>
    <row r="67" spans="1:4" x14ac:dyDescent="0.3">
      <c r="A67">
        <v>2046</v>
      </c>
      <c r="B67">
        <f>B31/Speed!B29/Temperature!B28</f>
        <v>99.512746868248612</v>
      </c>
      <c r="C67">
        <f>C31/Speed!B29/Temperature!B28</f>
        <v>215.27576445224202</v>
      </c>
      <c r="D67">
        <f t="shared" si="0"/>
        <v>298.62315308298093</v>
      </c>
    </row>
    <row r="68" spans="1:4" x14ac:dyDescent="0.3">
      <c r="A68">
        <v>2047</v>
      </c>
      <c r="B68">
        <f>B32/Speed!B30/Temperature!B29</f>
        <v>88.016454619883888</v>
      </c>
      <c r="C68">
        <f>C32/Speed!B30/Temperature!B29</f>
        <v>210.80704551606027</v>
      </c>
      <c r="D68">
        <f t="shared" si="0"/>
        <v>295.8245820750675</v>
      </c>
    </row>
    <row r="69" spans="1:4" x14ac:dyDescent="0.3">
      <c r="A69">
        <v>2048</v>
      </c>
      <c r="B69">
        <f>B33/Speed!B31/Temperature!B30</f>
        <v>76.740872188195183</v>
      </c>
      <c r="C69">
        <f>C33/Speed!B31/Temperature!B30</f>
        <v>206.49596393266657</v>
      </c>
      <c r="D69">
        <f t="shared" si="0"/>
        <v>293.10560613687744</v>
      </c>
    </row>
    <row r="70" spans="1:4" x14ac:dyDescent="0.3">
      <c r="A70">
        <v>2049</v>
      </c>
      <c r="B70">
        <f>B34/Speed!B32/Temperature!B31</f>
        <v>65.676808637718679</v>
      </c>
      <c r="C70">
        <f>C34/Speed!B32/Temperature!B31</f>
        <v>202.33516022611511</v>
      </c>
      <c r="D70">
        <f t="shared" si="0"/>
        <v>290.46328832733866</v>
      </c>
    </row>
    <row r="71" spans="1:4" x14ac:dyDescent="0.3">
      <c r="A71" s="22">
        <v>2050</v>
      </c>
      <c r="B71">
        <f>B35/Speed!B33/Temperature!B32</f>
        <v>54.815520736346997</v>
      </c>
      <c r="C71">
        <f>C35/Speed!B33/Temperature!B32</f>
        <v>198.31770402777775</v>
      </c>
      <c r="D71">
        <f t="shared" si="0"/>
        <v>287.89483980555553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zoomScale="85" zoomScaleNormal="85" workbookViewId="0">
      <selection activeCell="I1" sqref="I1"/>
    </sheetView>
  </sheetViews>
  <sheetFormatPr defaultColWidth="8.6640625" defaultRowHeight="14" x14ac:dyDescent="0.3"/>
  <cols>
    <col min="1" max="1" width="19.4140625" style="13" bestFit="1" customWidth="1"/>
    <col min="2" max="2" width="17.08203125" style="13" bestFit="1" customWidth="1"/>
    <col min="3" max="3" width="27.5" style="13" bestFit="1" customWidth="1"/>
    <col min="4" max="4" width="18.33203125" style="13" bestFit="1" customWidth="1"/>
    <col min="5" max="5" width="13.33203125" style="13" customWidth="1"/>
    <col min="6" max="6" width="10.33203125" style="13" customWidth="1"/>
    <col min="7" max="7" width="16.58203125" style="13" bestFit="1" customWidth="1"/>
    <col min="8" max="8" width="8.6640625" style="13"/>
    <col min="9" max="9" width="11.08203125" style="13" bestFit="1" customWidth="1"/>
    <col min="10" max="10" width="19.9140625" style="13" bestFit="1" customWidth="1"/>
    <col min="11" max="11" width="27.5" style="13" bestFit="1" customWidth="1"/>
    <col min="12" max="12" width="15.5" style="13" bestFit="1" customWidth="1"/>
    <col min="13" max="13" width="21.4140625" style="13" bestFit="1" customWidth="1"/>
    <col min="14" max="14" width="13.58203125" style="13" bestFit="1" customWidth="1"/>
    <col min="15" max="15" width="15.6640625" style="13" bestFit="1" customWidth="1"/>
    <col min="16" max="16384" width="8.6640625" style="13"/>
  </cols>
  <sheetData>
    <row r="1" spans="1:15" ht="70" x14ac:dyDescent="0.3">
      <c r="A1" s="15" t="s">
        <v>64</v>
      </c>
      <c r="B1" s="31" t="s">
        <v>65</v>
      </c>
      <c r="C1" s="31" t="s">
        <v>67</v>
      </c>
      <c r="D1" s="32" t="s">
        <v>73</v>
      </c>
      <c r="E1" s="32" t="s">
        <v>74</v>
      </c>
      <c r="F1" s="32" t="s">
        <v>24</v>
      </c>
      <c r="G1" s="32" t="s">
        <v>23</v>
      </c>
      <c r="I1" s="34" t="s">
        <v>75</v>
      </c>
      <c r="J1" s="32" t="s">
        <v>65</v>
      </c>
      <c r="K1" s="32" t="s">
        <v>67</v>
      </c>
      <c r="L1" s="32" t="s">
        <v>73</v>
      </c>
      <c r="M1" s="32" t="s">
        <v>74</v>
      </c>
      <c r="N1" s="32" t="s">
        <v>24</v>
      </c>
      <c r="O1" s="32" t="s">
        <v>23</v>
      </c>
    </row>
    <row r="2" spans="1:15" ht="28" x14ac:dyDescent="0.3">
      <c r="A2" s="15" t="s">
        <v>68</v>
      </c>
      <c r="B2" s="31" t="s">
        <v>69</v>
      </c>
      <c r="C2" s="31" t="s">
        <v>66</v>
      </c>
      <c r="D2" s="31" t="s">
        <v>70</v>
      </c>
      <c r="E2" s="31" t="s">
        <v>71</v>
      </c>
      <c r="F2" s="31" t="s">
        <v>72</v>
      </c>
      <c r="G2" s="31" t="s">
        <v>72</v>
      </c>
      <c r="J2" s="32" t="s">
        <v>69</v>
      </c>
      <c r="K2" s="32" t="s">
        <v>66</v>
      </c>
      <c r="L2" s="32" t="s">
        <v>70</v>
      </c>
      <c r="M2" s="32" t="s">
        <v>71</v>
      </c>
      <c r="N2" s="32" t="s">
        <v>72</v>
      </c>
      <c r="O2" s="32" t="s">
        <v>72</v>
      </c>
    </row>
    <row r="3" spans="1:15" x14ac:dyDescent="0.3">
      <c r="A3" s="14" t="s">
        <v>0</v>
      </c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6" t="s">
        <v>62</v>
      </c>
      <c r="J3" s="14" t="s">
        <v>1</v>
      </c>
      <c r="K3" s="14" t="s">
        <v>1</v>
      </c>
      <c r="L3" s="14" t="s">
        <v>1</v>
      </c>
      <c r="M3" s="14" t="s">
        <v>1</v>
      </c>
      <c r="N3" s="14" t="s">
        <v>1</v>
      </c>
      <c r="O3" s="14" t="s">
        <v>1</v>
      </c>
    </row>
    <row r="4" spans="1:15" x14ac:dyDescent="0.3">
      <c r="A4" s="14">
        <v>2020</v>
      </c>
      <c r="B4" s="14">
        <f>Case!$B$8/Temperature!B2</f>
        <v>1365.9882563200001</v>
      </c>
      <c r="C4" s="14">
        <f>'Elec str'!B40</f>
        <v>1365.9882563200001</v>
      </c>
      <c r="D4" s="13">
        <f>Speed!F3</f>
        <v>1365.9882563200001</v>
      </c>
      <c r="E4" s="13">
        <f>Infrastructure!E4</f>
        <v>1365.9882563200001</v>
      </c>
      <c r="F4" s="13">
        <f>Best!G5</f>
        <v>1365.9882563200001</v>
      </c>
      <c r="G4" s="14">
        <f>Best!H5</f>
        <v>1365.9882563200001</v>
      </c>
      <c r="H4" s="13">
        <v>-1161.73179</v>
      </c>
      <c r="J4" s="16">
        <f t="shared" ref="J4:J34" si="0">B4+$H$4</f>
        <v>204.25646632000007</v>
      </c>
      <c r="K4" s="16">
        <f t="shared" ref="K4:K34" si="1">C4+$H$4</f>
        <v>204.25646632000007</v>
      </c>
      <c r="L4" s="16">
        <f t="shared" ref="L4:L34" si="2">D4+$H$4</f>
        <v>204.25646632000007</v>
      </c>
      <c r="M4" s="16">
        <f t="shared" ref="M4:M34" si="3">E4+$H$4</f>
        <v>204.25646632000007</v>
      </c>
      <c r="N4" s="16">
        <f t="shared" ref="N4:N34" si="4">F4+$H$4</f>
        <v>204.25646632000007</v>
      </c>
      <c r="O4" s="16">
        <f t="shared" ref="O4:O34" si="5">G4+$H$4</f>
        <v>204.25646632000007</v>
      </c>
    </row>
    <row r="5" spans="1:15" x14ac:dyDescent="0.3">
      <c r="A5" s="14">
        <v>2021</v>
      </c>
      <c r="B5" s="14">
        <f>Case!$B$8/Temperature!B3</f>
        <v>1370.5567789163881</v>
      </c>
      <c r="C5" s="14">
        <f>'Elec str'!B41</f>
        <v>1351.1842864386781</v>
      </c>
      <c r="D5" s="13">
        <f>Speed!F4</f>
        <v>1339.2041728627453</v>
      </c>
      <c r="E5" s="13">
        <f>Infrastructure!E5</f>
        <v>1358.9658589314756</v>
      </c>
      <c r="F5" s="13">
        <f>Best!G6</f>
        <v>1322.2131507477409</v>
      </c>
      <c r="G5" s="14">
        <f>Best!H6</f>
        <v>1317.8057735785817</v>
      </c>
      <c r="J5" s="16">
        <f t="shared" si="0"/>
        <v>208.82498891638807</v>
      </c>
      <c r="K5" s="16">
        <f t="shared" si="1"/>
        <v>189.45249643867805</v>
      </c>
      <c r="L5" s="16">
        <f t="shared" si="2"/>
        <v>177.47238286274523</v>
      </c>
      <c r="M5" s="16">
        <f t="shared" si="3"/>
        <v>197.23406893147558</v>
      </c>
      <c r="N5" s="16">
        <f t="shared" si="4"/>
        <v>160.48136074774084</v>
      </c>
      <c r="O5" s="16">
        <f t="shared" si="5"/>
        <v>156.07398357858165</v>
      </c>
    </row>
    <row r="6" spans="1:15" x14ac:dyDescent="0.3">
      <c r="A6" s="14">
        <v>2022</v>
      </c>
      <c r="B6" s="14">
        <f>Case!$B$8/Temperature!B4</f>
        <v>1375.1559627382551</v>
      </c>
      <c r="C6" s="14">
        <f>'Elec str'!B42</f>
        <v>1336.3803165573561</v>
      </c>
      <c r="D6" s="13">
        <f>Speed!F5</f>
        <v>1313.4502464615384</v>
      </c>
      <c r="E6" s="13">
        <f>Infrastructure!E6</f>
        <v>1352.1699904909678</v>
      </c>
      <c r="F6" s="13">
        <f>Best!G7</f>
        <v>1280.2291404830185</v>
      </c>
      <c r="G6" s="14">
        <f>Best!H7</f>
        <v>1271.6942795464652</v>
      </c>
      <c r="J6" s="16">
        <f t="shared" si="0"/>
        <v>213.42417273825504</v>
      </c>
      <c r="K6" s="16">
        <f t="shared" si="1"/>
        <v>174.64852655735604</v>
      </c>
      <c r="L6" s="16">
        <f t="shared" si="2"/>
        <v>151.71845646153838</v>
      </c>
      <c r="M6" s="16">
        <f t="shared" si="3"/>
        <v>190.4382004909678</v>
      </c>
      <c r="N6" s="16">
        <f t="shared" si="4"/>
        <v>118.49735048301841</v>
      </c>
      <c r="O6" s="16">
        <f t="shared" si="5"/>
        <v>109.96248954646512</v>
      </c>
    </row>
    <row r="7" spans="1:15" x14ac:dyDescent="0.3">
      <c r="A7" s="14">
        <v>2023</v>
      </c>
      <c r="B7" s="14">
        <f>Case!$B$8/Temperature!B5</f>
        <v>1379.7861174949494</v>
      </c>
      <c r="C7" s="14">
        <f>'Elec str'!B43</f>
        <v>1321.5763466760341</v>
      </c>
      <c r="D7" s="13">
        <f>Speed!F6</f>
        <v>1288.6681663396228</v>
      </c>
      <c r="E7" s="13">
        <f>Infrastructure!E7</f>
        <v>1345.5898639057145</v>
      </c>
      <c r="F7" s="13">
        <f>Best!G8</f>
        <v>1239.9256282273186</v>
      </c>
      <c r="G7" s="14">
        <f>Best!H8</f>
        <v>1227.5263719450456</v>
      </c>
      <c r="J7" s="16">
        <f t="shared" si="0"/>
        <v>218.05432749494935</v>
      </c>
      <c r="K7" s="16">
        <f t="shared" si="1"/>
        <v>159.84455667603402</v>
      </c>
      <c r="L7" s="16">
        <f t="shared" si="2"/>
        <v>126.93637633962271</v>
      </c>
      <c r="M7" s="16">
        <f t="shared" si="3"/>
        <v>183.85807390571449</v>
      </c>
      <c r="N7" s="16">
        <f t="shared" si="4"/>
        <v>78.193838227318565</v>
      </c>
      <c r="O7" s="16">
        <f t="shared" si="5"/>
        <v>65.794581945045593</v>
      </c>
    </row>
    <row r="8" spans="1:15" x14ac:dyDescent="0.3">
      <c r="A8" s="14">
        <v>2024</v>
      </c>
      <c r="B8" s="14">
        <f>Case!$B$8/Temperature!B6</f>
        <v>1384.447557081081</v>
      </c>
      <c r="C8" s="14">
        <f>'Elec str'!B44</f>
        <v>1306.7723767947118</v>
      </c>
      <c r="D8" s="13">
        <f>Speed!F7</f>
        <v>1264.803941037037</v>
      </c>
      <c r="E8" s="13">
        <f>Infrastructure!E8</f>
        <v>1339.2153662762503</v>
      </c>
      <c r="F8" s="13">
        <f>Best!G9</f>
        <v>1201.2007195485753</v>
      </c>
      <c r="G8" s="14">
        <f>Best!H9</f>
        <v>1185.1847099545944</v>
      </c>
      <c r="J8" s="16">
        <f t="shared" si="0"/>
        <v>222.71576708108091</v>
      </c>
      <c r="K8" s="16">
        <f t="shared" si="1"/>
        <v>145.04058679471177</v>
      </c>
      <c r="L8" s="16">
        <f t="shared" si="2"/>
        <v>103.07215103703697</v>
      </c>
      <c r="M8" s="16">
        <f t="shared" si="3"/>
        <v>177.48357627625023</v>
      </c>
      <c r="N8" s="16">
        <f t="shared" si="4"/>
        <v>39.468929548575261</v>
      </c>
      <c r="O8" s="16">
        <f t="shared" si="5"/>
        <v>23.452919954594336</v>
      </c>
    </row>
    <row r="9" spans="1:15" x14ac:dyDescent="0.3">
      <c r="A9" s="14">
        <v>2025</v>
      </c>
      <c r="B9" s="14">
        <f>Case!$B$8/Temperature!B7</f>
        <v>1389.1405996474575</v>
      </c>
      <c r="C9" s="14">
        <f>'Elec str'!B45</f>
        <v>1291.96840691339</v>
      </c>
      <c r="D9" s="13">
        <f>Speed!F8</f>
        <v>1241.8075057454546</v>
      </c>
      <c r="E9" s="13">
        <f>Infrastructure!E9</f>
        <v>1333.0370070353849</v>
      </c>
      <c r="F9" s="13">
        <f>Best!G10</f>
        <v>1163.9603922608085</v>
      </c>
      <c r="G9" s="14">
        <f>Best!H10</f>
        <v>1144.5610523897951</v>
      </c>
      <c r="J9" s="16">
        <f t="shared" si="0"/>
        <v>227.40880964745747</v>
      </c>
      <c r="K9" s="16">
        <f t="shared" si="1"/>
        <v>130.23661691338998</v>
      </c>
      <c r="L9" s="16">
        <f t="shared" si="2"/>
        <v>80.075715745454545</v>
      </c>
      <c r="M9" s="16">
        <f t="shared" si="3"/>
        <v>171.30521703538489</v>
      </c>
      <c r="N9" s="16">
        <f t="shared" si="4"/>
        <v>2.2286022608084295</v>
      </c>
      <c r="O9" s="16">
        <f t="shared" si="5"/>
        <v>-17.170737610204924</v>
      </c>
    </row>
    <row r="10" spans="1:15" x14ac:dyDescent="0.3">
      <c r="A10" s="14">
        <v>2026</v>
      </c>
      <c r="B10" s="14">
        <f>Case!$B$8/Temperature!B8</f>
        <v>1393.8655676734693</v>
      </c>
      <c r="C10" s="14">
        <f>'Elec str'!B46</f>
        <v>1277.164437032068</v>
      </c>
      <c r="D10" s="13">
        <f>Speed!F9</f>
        <v>1219.6323717142857</v>
      </c>
      <c r="E10" s="13">
        <f>Infrastructure!E10</f>
        <v>1327.0458708018184</v>
      </c>
      <c r="F10" s="13">
        <f>Best!G11</f>
        <v>1128.1177583034676</v>
      </c>
      <c r="G10" s="14">
        <f>Best!H11</f>
        <v>1105.5554031373983</v>
      </c>
      <c r="J10" s="16">
        <f t="shared" si="0"/>
        <v>232.13377767346924</v>
      </c>
      <c r="K10" s="16">
        <f t="shared" si="1"/>
        <v>115.43264703206796</v>
      </c>
      <c r="L10" s="16">
        <f t="shared" si="2"/>
        <v>57.900581714285636</v>
      </c>
      <c r="M10" s="16">
        <f t="shared" si="3"/>
        <v>165.31408080181836</v>
      </c>
      <c r="N10" s="16">
        <f t="shared" si="4"/>
        <v>-33.614031696532493</v>
      </c>
      <c r="O10" s="16">
        <f t="shared" si="5"/>
        <v>-56.176386862601703</v>
      </c>
    </row>
    <row r="11" spans="1:15" x14ac:dyDescent="0.3">
      <c r="A11" s="14">
        <v>2027</v>
      </c>
      <c r="B11" s="14">
        <f>Case!$B$8/Temperature!B9</f>
        <v>1398.6227880409554</v>
      </c>
      <c r="C11" s="14">
        <f>'Elec str'!B47</f>
        <v>1262.360467150746</v>
      </c>
      <c r="D11" s="13">
        <f>Speed!F10</f>
        <v>1198.2353125614036</v>
      </c>
      <c r="E11" s="13">
        <f>Infrastructure!E11</f>
        <v>1321.2335744558213</v>
      </c>
      <c r="F11" s="13">
        <f>Best!G12</f>
        <v>1093.5924064007245</v>
      </c>
      <c r="G11" s="14">
        <f>Best!H12</f>
        <v>1068.0752502513744</v>
      </c>
      <c r="J11" s="16">
        <f t="shared" si="0"/>
        <v>236.89099804095531</v>
      </c>
      <c r="K11" s="16">
        <f t="shared" si="1"/>
        <v>100.62867715074594</v>
      </c>
      <c r="L11" s="16">
        <f t="shared" si="2"/>
        <v>36.503522561403543</v>
      </c>
      <c r="M11" s="16">
        <f t="shared" si="3"/>
        <v>159.50178445582128</v>
      </c>
      <c r="N11" s="16">
        <f t="shared" si="4"/>
        <v>-68.139383599275561</v>
      </c>
      <c r="O11" s="16">
        <f t="shared" si="5"/>
        <v>-93.656539748625619</v>
      </c>
    </row>
    <row r="12" spans="1:15" x14ac:dyDescent="0.3">
      <c r="A12" s="14">
        <v>2028</v>
      </c>
      <c r="B12" s="14">
        <f>Case!$B$8/Temperature!B10</f>
        <v>1403.4125921095888</v>
      </c>
      <c r="C12" s="14">
        <f>'Elec str'!B48</f>
        <v>1247.556497269424</v>
      </c>
      <c r="D12" s="13">
        <f>Speed!F11</f>
        <v>1177.5760830344827</v>
      </c>
      <c r="E12" s="13">
        <f>Infrastructure!E12</f>
        <v>1315.5922280023533</v>
      </c>
      <c r="F12" s="13">
        <f>Best!G13</f>
        <v>1060.3098154391032</v>
      </c>
      <c r="G12" s="14">
        <f>Best!H13</f>
        <v>1032.034887027394</v>
      </c>
      <c r="J12" s="16">
        <f t="shared" si="0"/>
        <v>241.68080210958874</v>
      </c>
      <c r="K12" s="16">
        <f t="shared" si="1"/>
        <v>85.824707269423925</v>
      </c>
      <c r="L12" s="16">
        <f t="shared" si="2"/>
        <v>15.844293034482689</v>
      </c>
      <c r="M12" s="16">
        <f t="shared" si="3"/>
        <v>153.86043800235325</v>
      </c>
      <c r="N12" s="16">
        <f t="shared" si="4"/>
        <v>-101.42197456089684</v>
      </c>
      <c r="O12" s="16">
        <f t="shared" si="5"/>
        <v>-129.69690297260604</v>
      </c>
    </row>
    <row r="13" spans="1:15" x14ac:dyDescent="0.3">
      <c r="A13" s="14">
        <v>2029</v>
      </c>
      <c r="B13" s="14">
        <f>Case!$B$8/Temperature!B11</f>
        <v>1408.2353157938142</v>
      </c>
      <c r="C13" s="14">
        <f>'Elec str'!B49</f>
        <v>1232.752527388102</v>
      </c>
      <c r="D13" s="13">
        <f>Speed!F12</f>
        <v>1157.6171663728812</v>
      </c>
      <c r="E13" s="13">
        <f>Infrastructure!E13</f>
        <v>1310.1143988373917</v>
      </c>
      <c r="F13" s="13">
        <f>Best!G14</f>
        <v>1028.2008299017061</v>
      </c>
      <c r="G13" s="14">
        <f>Best!H14</f>
        <v>997.3548050046553</v>
      </c>
      <c r="J13" s="16">
        <f t="shared" si="0"/>
        <v>246.50352579381411</v>
      </c>
      <c r="K13" s="16">
        <f t="shared" si="1"/>
        <v>71.020737388101907</v>
      </c>
      <c r="L13" s="16">
        <f t="shared" si="2"/>
        <v>-4.1146236271188172</v>
      </c>
      <c r="M13" s="16">
        <f t="shared" si="3"/>
        <v>148.38260883739167</v>
      </c>
      <c r="N13" s="16">
        <f t="shared" si="4"/>
        <v>-133.53096009829392</v>
      </c>
      <c r="O13" s="16">
        <f t="shared" si="5"/>
        <v>-164.37698499534474</v>
      </c>
    </row>
    <row r="14" spans="1:15" x14ac:dyDescent="0.3">
      <c r="A14" s="14">
        <v>2030</v>
      </c>
      <c r="B14" s="14">
        <f>Case!$B$8/Temperature!B12</f>
        <v>1413.091299641379</v>
      </c>
      <c r="C14" s="14">
        <f>'Elec str'!B50</f>
        <v>1217.9485575067799</v>
      </c>
      <c r="D14" s="13">
        <f>Speed!F13</f>
        <v>1138.3235469333335</v>
      </c>
      <c r="E14" s="13">
        <f>Infrastructure!E14</f>
        <v>1304.7930790771431</v>
      </c>
      <c r="F14" s="13">
        <f>Best!G15</f>
        <v>997.20118988269189</v>
      </c>
      <c r="G14" s="14">
        <f>Best!H15</f>
        <v>963.9611502199358</v>
      </c>
      <c r="J14" s="16">
        <f t="shared" si="0"/>
        <v>251.35950964137896</v>
      </c>
      <c r="K14" s="16">
        <f t="shared" si="1"/>
        <v>56.216767506779888</v>
      </c>
      <c r="L14" s="16">
        <f t="shared" si="2"/>
        <v>-23.4082430666665</v>
      </c>
      <c r="M14" s="16">
        <f t="shared" si="3"/>
        <v>143.0612890771431</v>
      </c>
      <c r="N14" s="16">
        <f t="shared" si="4"/>
        <v>-164.53060011730815</v>
      </c>
      <c r="O14" s="16">
        <f t="shared" si="5"/>
        <v>-197.77063978006424</v>
      </c>
    </row>
    <row r="15" spans="1:15" x14ac:dyDescent="0.3">
      <c r="A15" s="14">
        <v>2031</v>
      </c>
      <c r="B15" s="14">
        <f>Case!$B$8/Temperature!B13</f>
        <v>1417.9808889134945</v>
      </c>
      <c r="C15" s="14">
        <f>'Elec str'!B51</f>
        <v>1203.1445876254579</v>
      </c>
      <c r="D15" s="13">
        <f>Speed!F14</f>
        <v>1119.662505180328</v>
      </c>
      <c r="E15" s="13">
        <f>Infrastructure!E15</f>
        <v>1299.6216556481695</v>
      </c>
      <c r="F15" s="13">
        <f>Best!G16</f>
        <v>967.25110921234329</v>
      </c>
      <c r="G15" s="14">
        <f>Best!H16</f>
        <v>931.78523520789111</v>
      </c>
      <c r="J15" s="16">
        <f t="shared" si="0"/>
        <v>256.24909891349444</v>
      </c>
      <c r="K15" s="16">
        <f t="shared" si="1"/>
        <v>41.41279762545787</v>
      </c>
      <c r="L15" s="16">
        <f t="shared" si="2"/>
        <v>-42.069284819672021</v>
      </c>
      <c r="M15" s="16">
        <f t="shared" si="3"/>
        <v>137.88986564816946</v>
      </c>
      <c r="N15" s="16">
        <f t="shared" si="4"/>
        <v>-194.48068078765675</v>
      </c>
      <c r="O15" s="16">
        <f t="shared" si="5"/>
        <v>-229.94655479210894</v>
      </c>
    </row>
    <row r="16" spans="1:15" x14ac:dyDescent="0.3">
      <c r="A16" s="14">
        <v>2032</v>
      </c>
      <c r="B16" s="14">
        <f>Case!$B$8/Temperature!B14</f>
        <v>1422.9044336666661</v>
      </c>
      <c r="C16" s="14">
        <f>'Elec str'!B52</f>
        <v>1188.3406177441357</v>
      </c>
      <c r="D16" s="13">
        <f>Speed!F15</f>
        <v>1101.603432516129</v>
      </c>
      <c r="E16" s="13">
        <f>Infrastructure!E16</f>
        <v>1294.5938828700005</v>
      </c>
      <c r="F16" s="13">
        <f>Best!G17</f>
        <v>938.29489608042297</v>
      </c>
      <c r="G16" s="14">
        <f>Best!H17</f>
        <v>900.76310023720646</v>
      </c>
      <c r="J16" s="16">
        <f t="shared" si="0"/>
        <v>261.17264366666609</v>
      </c>
      <c r="K16" s="16">
        <f t="shared" si="1"/>
        <v>26.608827744135624</v>
      </c>
      <c r="L16" s="16">
        <f t="shared" si="2"/>
        <v>-60.128357483871014</v>
      </c>
      <c r="M16" s="16">
        <f t="shared" si="3"/>
        <v>132.86209287000042</v>
      </c>
      <c r="N16" s="16">
        <f t="shared" si="4"/>
        <v>-223.43689391957707</v>
      </c>
      <c r="O16" s="16">
        <f t="shared" si="5"/>
        <v>-260.96868976279359</v>
      </c>
    </row>
    <row r="17" spans="1:15" x14ac:dyDescent="0.3">
      <c r="A17" s="14">
        <v>2033</v>
      </c>
      <c r="B17" s="14">
        <f>Case!$B$8/Temperature!B15</f>
        <v>1427.8622888362363</v>
      </c>
      <c r="C17" s="14">
        <f>'Elec str'!B53</f>
        <v>1173.5366478628139</v>
      </c>
      <c r="D17" s="13">
        <f>Speed!F16</f>
        <v>1084.1176637460319</v>
      </c>
      <c r="E17" s="13">
        <f>Infrastructure!E17</f>
        <v>1289.7038572912334</v>
      </c>
      <c r="F17" s="13">
        <f>Best!G18</f>
        <v>910.28061127762271</v>
      </c>
      <c r="G17" s="14">
        <f>Best!H18</f>
        <v>870.83511812225947</v>
      </c>
      <c r="J17" s="16">
        <f t="shared" si="0"/>
        <v>266.13049883623626</v>
      </c>
      <c r="K17" s="16">
        <f t="shared" si="1"/>
        <v>11.804857862813833</v>
      </c>
      <c r="L17" s="16">
        <f t="shared" si="2"/>
        <v>-77.614126253968152</v>
      </c>
      <c r="M17" s="16">
        <f t="shared" si="3"/>
        <v>127.97206729123332</v>
      </c>
      <c r="N17" s="16">
        <f t="shared" si="4"/>
        <v>-251.45117872237734</v>
      </c>
      <c r="O17" s="16">
        <f t="shared" si="5"/>
        <v>-290.89667187774057</v>
      </c>
    </row>
    <row r="18" spans="1:15" x14ac:dyDescent="0.3">
      <c r="A18" s="14">
        <v>2034</v>
      </c>
      <c r="B18" s="14">
        <f>Case!$B$8/Temperature!B16</f>
        <v>1432.8548143216776</v>
      </c>
      <c r="C18" s="14">
        <f>'Elec str'!B54</f>
        <v>1158.7326779814916</v>
      </c>
      <c r="D18" s="13">
        <f>Speed!F17</f>
        <v>1067.1783252500002</v>
      </c>
      <c r="E18" s="13">
        <f>Infrastructure!E18</f>
        <v>1284.9459945659464</v>
      </c>
      <c r="F18" s="13">
        <f>Best!G19</f>
        <v>883.15975980176802</v>
      </c>
      <c r="G18" s="14">
        <f>Best!H19</f>
        <v>841.94563767768591</v>
      </c>
      <c r="J18" s="16">
        <f t="shared" si="0"/>
        <v>271.12302432167758</v>
      </c>
      <c r="K18" s="16">
        <f t="shared" si="1"/>
        <v>-2.9991120185084128</v>
      </c>
      <c r="L18" s="16">
        <f t="shared" si="2"/>
        <v>-94.553464749999875</v>
      </c>
      <c r="M18" s="16">
        <f t="shared" si="3"/>
        <v>123.21420456594637</v>
      </c>
      <c r="N18" s="16">
        <f t="shared" si="4"/>
        <v>-278.57203019823203</v>
      </c>
      <c r="O18" s="16">
        <f t="shared" si="5"/>
        <v>-319.78615232231414</v>
      </c>
    </row>
    <row r="19" spans="1:15" x14ac:dyDescent="0.3">
      <c r="A19" s="14">
        <v>2035</v>
      </c>
      <c r="B19" s="14">
        <f>Case!$B$8/Temperature!B17</f>
        <v>1437.8823750736835</v>
      </c>
      <c r="C19" s="14">
        <f>'Elec str'!B55</f>
        <v>1143.9287081001698</v>
      </c>
      <c r="D19" s="13">
        <f>Speed!F18</f>
        <v>1050.7601971692309</v>
      </c>
      <c r="E19" s="13">
        <f>Infrastructure!E19</f>
        <v>1280.3150081800004</v>
      </c>
      <c r="F19" s="13">
        <f>Best!G20</f>
        <v>856.88701211349746</v>
      </c>
      <c r="G19" s="14">
        <f>Best!H20</f>
        <v>814.04266150782303</v>
      </c>
      <c r="J19" s="16">
        <f t="shared" si="0"/>
        <v>276.15058507368349</v>
      </c>
      <c r="K19" s="16">
        <f t="shared" si="1"/>
        <v>-17.803081899830204</v>
      </c>
      <c r="L19" s="16">
        <f t="shared" si="2"/>
        <v>-110.97159283076917</v>
      </c>
      <c r="M19" s="16">
        <f t="shared" si="3"/>
        <v>118.58321818000036</v>
      </c>
      <c r="N19" s="16">
        <f t="shared" si="4"/>
        <v>-304.84477788650258</v>
      </c>
      <c r="O19" s="16">
        <f t="shared" si="5"/>
        <v>-347.68912849217702</v>
      </c>
    </row>
    <row r="20" spans="1:15" x14ac:dyDescent="0.3">
      <c r="A20" s="14">
        <v>2036</v>
      </c>
      <c r="B20" s="14">
        <f>Case!$B$8/Temperature!B18</f>
        <v>1442.945341183098</v>
      </c>
      <c r="C20" s="14">
        <f>'Elec str'!B56</f>
        <v>1129.1247382188476</v>
      </c>
      <c r="D20" s="13">
        <f>Speed!F19</f>
        <v>1034.8395881212123</v>
      </c>
      <c r="E20" s="13">
        <f>Infrastructure!E20</f>
        <v>1275.8058898568424</v>
      </c>
      <c r="F20" s="13">
        <f>Best!G21</f>
        <v>831.41995178912418</v>
      </c>
      <c r="G20" s="14">
        <f>Best!H21</f>
        <v>787.07755436037132</v>
      </c>
      <c r="J20" s="16">
        <f t="shared" si="0"/>
        <v>281.21355118309793</v>
      </c>
      <c r="K20" s="16">
        <f t="shared" si="1"/>
        <v>-32.60705178115245</v>
      </c>
      <c r="L20" s="16">
        <f t="shared" si="2"/>
        <v>-126.89220187878777</v>
      </c>
      <c r="M20" s="16">
        <f t="shared" si="3"/>
        <v>114.07409985684239</v>
      </c>
      <c r="N20" s="16">
        <f t="shared" si="4"/>
        <v>-330.31183821087586</v>
      </c>
      <c r="O20" s="16">
        <f t="shared" si="5"/>
        <v>-374.65423563962872</v>
      </c>
    </row>
    <row r="21" spans="1:15" x14ac:dyDescent="0.3">
      <c r="A21" s="14">
        <v>2037</v>
      </c>
      <c r="B21" s="14">
        <f>Case!$B$8/Temperature!B19</f>
        <v>1448.0440879717307</v>
      </c>
      <c r="C21" s="14">
        <f>'Elec str'!B57</f>
        <v>1114.3207683375258</v>
      </c>
      <c r="D21" s="13">
        <f>Speed!F20</f>
        <v>1019.3942211343284</v>
      </c>
      <c r="E21" s="13">
        <f>Infrastructure!E21</f>
        <v>1271.4138914901303</v>
      </c>
      <c r="F21" s="13">
        <f>Best!G22</f>
        <v>806.71884671772716</v>
      </c>
      <c r="G21" s="14">
        <f>Best!H22</f>
        <v>761.00477873705643</v>
      </c>
      <c r="J21" s="16">
        <f t="shared" si="0"/>
        <v>286.31229797173069</v>
      </c>
      <c r="K21" s="16">
        <f t="shared" si="1"/>
        <v>-47.411021662474241</v>
      </c>
      <c r="L21" s="16">
        <f t="shared" si="2"/>
        <v>-142.33756886567164</v>
      </c>
      <c r="M21" s="16">
        <f t="shared" si="3"/>
        <v>109.68210149013021</v>
      </c>
      <c r="N21" s="16">
        <f t="shared" si="4"/>
        <v>-355.01294328227289</v>
      </c>
      <c r="O21" s="16">
        <f t="shared" si="5"/>
        <v>-400.72701126294362</v>
      </c>
    </row>
    <row r="22" spans="1:15" x14ac:dyDescent="0.3">
      <c r="A22" s="14">
        <v>2038</v>
      </c>
      <c r="B22" s="14">
        <f>Case!$B$8/Temperature!B20</f>
        <v>1453.1789960851056</v>
      </c>
      <c r="C22" s="14">
        <f>'Elec str'!B58</f>
        <v>1099.5167984562036</v>
      </c>
      <c r="D22" s="13">
        <f>Speed!F21</f>
        <v>1004.4031296470588</v>
      </c>
      <c r="E22" s="13">
        <f>Infrastructure!E22</f>
        <v>1267.1345084661543</v>
      </c>
      <c r="F22" s="13">
        <f>Best!G23</f>
        <v>782.74644133475988</v>
      </c>
      <c r="G22" s="14">
        <f>Best!H23</f>
        <v>735.7816548546748</v>
      </c>
      <c r="J22" s="16">
        <f t="shared" si="0"/>
        <v>291.44720608510556</v>
      </c>
      <c r="K22" s="16">
        <f t="shared" si="1"/>
        <v>-62.214991543796486</v>
      </c>
      <c r="L22" s="16">
        <f t="shared" si="2"/>
        <v>-157.32866035294126</v>
      </c>
      <c r="M22" s="16">
        <f t="shared" si="3"/>
        <v>105.40271846615428</v>
      </c>
      <c r="N22" s="16">
        <f t="shared" si="4"/>
        <v>-378.98534866524017</v>
      </c>
      <c r="O22" s="16">
        <f t="shared" si="5"/>
        <v>-425.95013514532525</v>
      </c>
    </row>
    <row r="23" spans="1:15" x14ac:dyDescent="0.3">
      <c r="A23" s="14">
        <v>2039</v>
      </c>
      <c r="B23" s="14">
        <f>Case!$B$8/Temperature!B21</f>
        <v>1458.3504515871878</v>
      </c>
      <c r="C23" s="14">
        <f>'Elec str'!B59</f>
        <v>1084.7128285748815</v>
      </c>
      <c r="D23" s="13">
        <f>Speed!F22</f>
        <v>989.84656255072468</v>
      </c>
      <c r="E23" s="13">
        <f>Infrastructure!E23</f>
        <v>1262.9634642529118</v>
      </c>
      <c r="F23" s="13">
        <f>Best!G24</f>
        <v>759.46776768357756</v>
      </c>
      <c r="G23" s="14">
        <f>Best!H24</f>
        <v>711.3681423969515</v>
      </c>
      <c r="J23" s="16">
        <f t="shared" si="0"/>
        <v>296.61866158718772</v>
      </c>
      <c r="K23" s="16">
        <f t="shared" si="1"/>
        <v>-77.018961425118505</v>
      </c>
      <c r="L23" s="16">
        <f t="shared" si="2"/>
        <v>-171.88522744927536</v>
      </c>
      <c r="M23" s="16">
        <f t="shared" si="3"/>
        <v>101.23167425291172</v>
      </c>
      <c r="N23" s="16">
        <f t="shared" si="4"/>
        <v>-402.26402231642248</v>
      </c>
      <c r="O23" s="16">
        <f t="shared" si="5"/>
        <v>-450.36364760304855</v>
      </c>
    </row>
    <row r="24" spans="1:15" x14ac:dyDescent="0.3">
      <c r="A24" s="14">
        <v>2040</v>
      </c>
      <c r="B24" s="14">
        <f>Case!$B$8/Temperature!B22</f>
        <v>1463.5588460571419</v>
      </c>
      <c r="C24" s="14">
        <f>'Elec str'!B60</f>
        <v>1069.9088586935595</v>
      </c>
      <c r="D24" s="13">
        <f>Speed!F23</f>
        <v>975.70589737142859</v>
      </c>
      <c r="E24" s="13">
        <f>Infrastructure!E24</f>
        <v>1258.8966961450005</v>
      </c>
      <c r="F24" s="13">
        <f>Best!G25</f>
        <v>736.8499733560401</v>
      </c>
      <c r="G24" s="14">
        <f>Best!H25</f>
        <v>687.72664179897129</v>
      </c>
      <c r="J24" s="16">
        <f t="shared" si="0"/>
        <v>301.82705605714182</v>
      </c>
      <c r="K24" s="16">
        <f t="shared" si="1"/>
        <v>-91.822931306440523</v>
      </c>
      <c r="L24" s="16">
        <f t="shared" si="2"/>
        <v>-186.02589262857146</v>
      </c>
      <c r="M24" s="16">
        <f t="shared" si="3"/>
        <v>97.164906145000487</v>
      </c>
      <c r="N24" s="16">
        <f t="shared" si="4"/>
        <v>-424.88181664395995</v>
      </c>
      <c r="O24" s="16">
        <f t="shared" si="5"/>
        <v>-474.00514820102876</v>
      </c>
    </row>
    <row r="25" spans="1:15" x14ac:dyDescent="0.3">
      <c r="A25" s="14">
        <v>2041</v>
      </c>
      <c r="B25" s="14">
        <f>Case!$B$8/Temperature!B23</f>
        <v>1468.804576688171</v>
      </c>
      <c r="C25" s="14">
        <f>'Elec str'!B61</f>
        <v>1055.1048888122377</v>
      </c>
      <c r="D25" s="13">
        <f>Speed!F24</f>
        <v>961.96356078873237</v>
      </c>
      <c r="E25" s="13">
        <f>Infrastructure!E25</f>
        <v>1254.9303420644449</v>
      </c>
      <c r="F25" s="13">
        <f>Best!G26</f>
        <v>714.86216458933927</v>
      </c>
      <c r="G25" s="14">
        <f>Best!H26</f>
        <v>664.82181306808604</v>
      </c>
      <c r="J25" s="16">
        <f t="shared" si="0"/>
        <v>307.07278668817094</v>
      </c>
      <c r="K25" s="16">
        <f t="shared" si="1"/>
        <v>-106.62690118776231</v>
      </c>
      <c r="L25" s="16">
        <f t="shared" si="2"/>
        <v>-199.76822921126768</v>
      </c>
      <c r="M25" s="16">
        <f t="shared" si="3"/>
        <v>93.198552064444812</v>
      </c>
      <c r="N25" s="16">
        <f t="shared" si="4"/>
        <v>-446.86962541066077</v>
      </c>
      <c r="O25" s="16">
        <f t="shared" si="5"/>
        <v>-496.909976931914</v>
      </c>
    </row>
    <row r="26" spans="1:15" x14ac:dyDescent="0.3">
      <c r="A26" s="14">
        <v>2042</v>
      </c>
      <c r="B26" s="14">
        <f>Case!$B$8/Temperature!B24</f>
        <v>1474.0880463884882</v>
      </c>
      <c r="C26" s="14">
        <f>'Elec str'!B62</f>
        <v>1040.3009189309155</v>
      </c>
      <c r="D26" s="13">
        <f>Speed!F25</f>
        <v>948.60295577777777</v>
      </c>
      <c r="E26" s="13">
        <f>Infrastructure!E26</f>
        <v>1251.0607283273175</v>
      </c>
      <c r="F26" s="13">
        <f>Best!G27</f>
        <v>693.47526299327944</v>
      </c>
      <c r="G26" s="14">
        <f>Best!H27</f>
        <v>642.62041037377276</v>
      </c>
      <c r="J26" s="16">
        <f t="shared" si="0"/>
        <v>312.35625638848819</v>
      </c>
      <c r="K26" s="16">
        <f t="shared" si="1"/>
        <v>-121.43087106908456</v>
      </c>
      <c r="L26" s="16">
        <f t="shared" si="2"/>
        <v>-213.12883422222228</v>
      </c>
      <c r="M26" s="16">
        <f t="shared" si="3"/>
        <v>89.328938327317474</v>
      </c>
      <c r="N26" s="16">
        <f t="shared" si="4"/>
        <v>-468.2565270067206</v>
      </c>
      <c r="O26" s="16">
        <f t="shared" si="5"/>
        <v>-519.11137962622729</v>
      </c>
    </row>
    <row r="27" spans="1:15" x14ac:dyDescent="0.3">
      <c r="A27" s="14">
        <v>2043</v>
      </c>
      <c r="B27" s="14">
        <f>Case!$B$8/Temperature!B25</f>
        <v>1479.4096638844753</v>
      </c>
      <c r="C27" s="14">
        <f>'Elec str'!B63</f>
        <v>1025.4969490495937</v>
      </c>
      <c r="D27" s="13">
        <f>Speed!F26</f>
        <v>935.60839473972601</v>
      </c>
      <c r="E27" s="13">
        <f>Infrastructure!E27</f>
        <v>1247.2843582946994</v>
      </c>
      <c r="F27" s="13">
        <f>Best!G28</f>
        <v>672.66187455439274</v>
      </c>
      <c r="G27" s="14">
        <f>Best!H28</f>
        <v>621.09113083855652</v>
      </c>
      <c r="J27" s="16">
        <f t="shared" si="0"/>
        <v>317.67787388447528</v>
      </c>
      <c r="K27" s="16">
        <f t="shared" si="1"/>
        <v>-136.23484095040635</v>
      </c>
      <c r="L27" s="16">
        <f t="shared" si="2"/>
        <v>-226.12339526027404</v>
      </c>
      <c r="M27" s="16">
        <f t="shared" si="3"/>
        <v>85.552568294699313</v>
      </c>
      <c r="N27" s="16">
        <f t="shared" si="4"/>
        <v>-489.06991544560731</v>
      </c>
      <c r="O27" s="16">
        <f t="shared" si="5"/>
        <v>-540.64065916144352</v>
      </c>
    </row>
    <row r="28" spans="1:15" x14ac:dyDescent="0.3">
      <c r="A28" s="14">
        <v>2044</v>
      </c>
      <c r="B28" s="14">
        <f>Case!$B$8/Temperature!B26</f>
        <v>1484.7698438260857</v>
      </c>
      <c r="C28" s="14">
        <f>'Elec str'!B64</f>
        <v>1010.6929791682716</v>
      </c>
      <c r="D28" s="13">
        <f>Speed!F27</f>
        <v>922.96503805405405</v>
      </c>
      <c r="E28" s="13">
        <f>Infrastructure!E28</f>
        <v>1243.5979018342862</v>
      </c>
      <c r="F28" s="13">
        <f>Best!G29</f>
        <v>652.39616971398107</v>
      </c>
      <c r="G28" s="14">
        <f>Best!H29</f>
        <v>600.20447613686315</v>
      </c>
      <c r="J28" s="16">
        <f t="shared" si="0"/>
        <v>323.03805382608562</v>
      </c>
      <c r="K28" s="16">
        <f t="shared" si="1"/>
        <v>-151.03881083172848</v>
      </c>
      <c r="L28" s="16">
        <f t="shared" si="2"/>
        <v>-238.766751945946</v>
      </c>
      <c r="M28" s="16">
        <f t="shared" si="3"/>
        <v>81.86611183428613</v>
      </c>
      <c r="N28" s="16">
        <f t="shared" si="4"/>
        <v>-509.33562028601898</v>
      </c>
      <c r="O28" s="16">
        <f t="shared" si="5"/>
        <v>-561.5273138631369</v>
      </c>
    </row>
    <row r="29" spans="1:15" x14ac:dyDescent="0.3">
      <c r="A29" s="14">
        <v>2045</v>
      </c>
      <c r="B29" s="14">
        <f>Case!$B$8/Temperature!B27</f>
        <v>1490.1690068945443</v>
      </c>
      <c r="C29" s="14">
        <f>'Elec str'!B65</f>
        <v>995.88900928694954</v>
      </c>
      <c r="D29" s="13">
        <f>Speed!F28</f>
        <v>910.65883754666663</v>
      </c>
      <c r="E29" s="13">
        <f>Infrastructure!E29</f>
        <v>1239.9981855258829</v>
      </c>
      <c r="F29" s="13">
        <f>Best!G30</f>
        <v>632.65377344933188</v>
      </c>
      <c r="G29" s="14">
        <f>Best!H30</f>
        <v>579.9326256618881</v>
      </c>
      <c r="J29" s="16">
        <f t="shared" si="0"/>
        <v>328.43721689454424</v>
      </c>
      <c r="K29" s="16">
        <f t="shared" si="1"/>
        <v>-165.8427807130505</v>
      </c>
      <c r="L29" s="16">
        <f t="shared" si="2"/>
        <v>-251.07295245333341</v>
      </c>
      <c r="M29" s="16">
        <f t="shared" si="3"/>
        <v>78.266395525882899</v>
      </c>
      <c r="N29" s="16">
        <f t="shared" si="4"/>
        <v>-529.07801655066817</v>
      </c>
      <c r="O29" s="16">
        <f t="shared" si="5"/>
        <v>-581.79916433811195</v>
      </c>
    </row>
    <row r="30" spans="1:15" x14ac:dyDescent="0.3">
      <c r="A30" s="14">
        <v>2046</v>
      </c>
      <c r="B30" s="14">
        <f>Case!$B$8/Temperature!B28</f>
        <v>1495.6075799124073</v>
      </c>
      <c r="C30" s="14">
        <f>'Elec str'!B66</f>
        <v>981.08503940562753</v>
      </c>
      <c r="D30" s="13">
        <f>Speed!F29</f>
        <v>898.67648442105258</v>
      </c>
      <c r="E30" s="13">
        <f>Infrastructure!E30</f>
        <v>1236.482183550233</v>
      </c>
      <c r="F30" s="13">
        <f>Best!G31</f>
        <v>613.4116644034716</v>
      </c>
      <c r="G30" s="14">
        <f>Best!H31</f>
        <v>560.24932015517129</v>
      </c>
      <c r="J30" s="16">
        <f t="shared" si="0"/>
        <v>333.8757899124073</v>
      </c>
      <c r="K30" s="16">
        <f t="shared" si="1"/>
        <v>-180.64675059437252</v>
      </c>
      <c r="L30" s="16">
        <f t="shared" si="2"/>
        <v>-263.05530557894747</v>
      </c>
      <c r="M30" s="16">
        <f t="shared" si="3"/>
        <v>74.750393550232957</v>
      </c>
      <c r="N30" s="16">
        <f t="shared" si="4"/>
        <v>-548.32012559652844</v>
      </c>
      <c r="O30" s="16">
        <f t="shared" si="5"/>
        <v>-601.48246984482876</v>
      </c>
    </row>
    <row r="31" spans="1:15" x14ac:dyDescent="0.3">
      <c r="A31" s="14">
        <v>2047</v>
      </c>
      <c r="B31" s="14">
        <f>Case!$B$8/Temperature!B29</f>
        <v>1501.0859959560426</v>
      </c>
      <c r="C31" s="14">
        <f>'Elec str'!B67</f>
        <v>966.28106952430551</v>
      </c>
      <c r="D31" s="13">
        <f>Speed!F30</f>
        <v>887.00536124675318</v>
      </c>
      <c r="E31" s="13">
        <f>Infrastructure!E31</f>
        <v>1233.0470092062073</v>
      </c>
      <c r="F31" s="13">
        <f>Best!G32</f>
        <v>594.64808221101168</v>
      </c>
      <c r="G31" s="14">
        <f>Best!H32</f>
        <v>541.12975481202113</v>
      </c>
      <c r="J31" s="16">
        <f t="shared" si="0"/>
        <v>339.35420595604251</v>
      </c>
      <c r="K31" s="16">
        <f t="shared" si="1"/>
        <v>-195.45072047569454</v>
      </c>
      <c r="L31" s="16">
        <f t="shared" si="2"/>
        <v>-274.72642875324686</v>
      </c>
      <c r="M31" s="16">
        <f t="shared" si="3"/>
        <v>71.315219206207303</v>
      </c>
      <c r="N31" s="16">
        <f t="shared" si="4"/>
        <v>-567.08370778898836</v>
      </c>
      <c r="O31" s="16">
        <f t="shared" si="5"/>
        <v>-620.60203518797891</v>
      </c>
    </row>
    <row r="32" spans="1:15" x14ac:dyDescent="0.3">
      <c r="A32" s="14">
        <v>2048</v>
      </c>
      <c r="B32" s="14">
        <f>Case!$B$8/Temperature!B30</f>
        <v>1506.6046944705868</v>
      </c>
      <c r="C32" s="14">
        <f>'Elec str'!B68</f>
        <v>951.47709964298349</v>
      </c>
      <c r="D32" s="13">
        <f>Speed!F31</f>
        <v>875.63349764102554</v>
      </c>
      <c r="E32" s="13">
        <f>Infrastructure!E32</f>
        <v>1229.6899070063641</v>
      </c>
      <c r="F32" s="13">
        <f>Best!G33</f>
        <v>576.34244225773921</v>
      </c>
      <c r="G32" s="14">
        <f>Best!H33</f>
        <v>522.55048098035081</v>
      </c>
      <c r="J32" s="16">
        <f t="shared" si="0"/>
        <v>344.87290447058672</v>
      </c>
      <c r="K32" s="16">
        <f t="shared" si="1"/>
        <v>-210.25469035701656</v>
      </c>
      <c r="L32" s="16">
        <f t="shared" si="2"/>
        <v>-286.0982923589745</v>
      </c>
      <c r="M32" s="16">
        <f t="shared" si="3"/>
        <v>67.958117006364091</v>
      </c>
      <c r="N32" s="16">
        <f t="shared" si="4"/>
        <v>-585.38934774226084</v>
      </c>
      <c r="O32" s="16">
        <f t="shared" si="5"/>
        <v>-639.18130901964923</v>
      </c>
    </row>
    <row r="33" spans="1:15" x14ac:dyDescent="0.3">
      <c r="A33" s="14">
        <v>2049</v>
      </c>
      <c r="B33" s="14">
        <f>Case!$B$8/Temperature!B31</f>
        <v>1512.1641213874523</v>
      </c>
      <c r="C33" s="14">
        <f>'Elec str'!B69</f>
        <v>936.67312976166147</v>
      </c>
      <c r="D33" s="13">
        <f>Speed!F32</f>
        <v>864.54952931645562</v>
      </c>
      <c r="E33" s="13">
        <f>Infrastructure!E33</f>
        <v>1226.4082453053938</v>
      </c>
      <c r="F33" s="13">
        <f>Best!G34</f>
        <v>558.47525719117243</v>
      </c>
      <c r="G33" s="14">
        <f>Best!H34</f>
        <v>504.489315662693</v>
      </c>
      <c r="J33" s="16">
        <f t="shared" si="0"/>
        <v>350.43233138745222</v>
      </c>
      <c r="K33" s="16">
        <f t="shared" si="1"/>
        <v>-225.05866023833858</v>
      </c>
      <c r="L33" s="16">
        <f t="shared" si="2"/>
        <v>-297.18226068354443</v>
      </c>
      <c r="M33" s="16">
        <f t="shared" si="3"/>
        <v>64.676455305393802</v>
      </c>
      <c r="N33" s="16">
        <f t="shared" si="4"/>
        <v>-603.25653280882761</v>
      </c>
      <c r="O33" s="16">
        <f t="shared" si="5"/>
        <v>-657.24247433730704</v>
      </c>
    </row>
    <row r="34" spans="1:15" x14ac:dyDescent="0.3">
      <c r="A34" s="14">
        <v>2050</v>
      </c>
      <c r="B34" s="14">
        <f>Case!$B$8/Temperature!B32</f>
        <v>1517.7647292444447</v>
      </c>
      <c r="C34" s="14">
        <f>'Elec str'!B70</f>
        <v>921.86915988033979</v>
      </c>
      <c r="D34" s="13">
        <f>Speed!F33</f>
        <v>853.74266019999993</v>
      </c>
      <c r="E34" s="13">
        <f>Infrastructure!E34</f>
        <v>1223.1995094200001</v>
      </c>
      <c r="F34" s="13">
        <f>Best!G35</f>
        <v>541.02806456968028</v>
      </c>
      <c r="G34" s="14">
        <f>Best!H35</f>
        <v>486.92525811271224</v>
      </c>
      <c r="J34" s="16">
        <f t="shared" si="0"/>
        <v>356.03293924444461</v>
      </c>
      <c r="K34" s="16">
        <f t="shared" si="1"/>
        <v>-239.86263011966025</v>
      </c>
      <c r="L34" s="16">
        <f t="shared" si="2"/>
        <v>-307.98912980000011</v>
      </c>
      <c r="M34" s="16">
        <f t="shared" si="3"/>
        <v>61.467719420000094</v>
      </c>
      <c r="N34" s="16">
        <f t="shared" si="4"/>
        <v>-620.70372543031976</v>
      </c>
      <c r="O34" s="16">
        <f t="shared" si="5"/>
        <v>-674.80653188728775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A272-E505-43B2-9CC3-094D5EFABE93}">
  <dimension ref="A1:H54"/>
  <sheetViews>
    <sheetView workbookViewId="0">
      <selection activeCell="B2" sqref="B2"/>
    </sheetView>
  </sheetViews>
  <sheetFormatPr defaultColWidth="8.83203125" defaultRowHeight="14" x14ac:dyDescent="0.3"/>
  <cols>
    <col min="2" max="2" width="40.83203125" bestFit="1" customWidth="1"/>
    <col min="3" max="3" width="12.33203125" bestFit="1" customWidth="1"/>
    <col min="4" max="4" width="10.33203125" bestFit="1" customWidth="1"/>
    <col min="8" max="8" width="17.75" bestFit="1" customWidth="1"/>
  </cols>
  <sheetData>
    <row r="1" spans="1:8" x14ac:dyDescent="0.3">
      <c r="G1" t="s">
        <v>33</v>
      </c>
      <c r="H1" t="s">
        <v>76</v>
      </c>
    </row>
    <row r="2" spans="1:8" x14ac:dyDescent="0.3">
      <c r="A2" t="s">
        <v>33</v>
      </c>
      <c r="B2" t="s">
        <v>77</v>
      </c>
      <c r="G2">
        <v>2000</v>
      </c>
      <c r="H2">
        <v>2E-3</v>
      </c>
    </row>
    <row r="3" spans="1:8" x14ac:dyDescent="0.3">
      <c r="A3">
        <v>2020</v>
      </c>
      <c r="B3" s="1">
        <f>H22*10000</f>
        <v>20059</v>
      </c>
      <c r="G3">
        <v>2001</v>
      </c>
      <c r="H3">
        <v>2.8999999999999998E-3</v>
      </c>
    </row>
    <row r="4" spans="1:8" x14ac:dyDescent="0.3">
      <c r="A4">
        <v>2021</v>
      </c>
      <c r="B4" s="1">
        <f t="shared" ref="B4:B32" si="0">H23*10000</f>
        <v>23199.489999999998</v>
      </c>
      <c r="G4">
        <v>2002</v>
      </c>
      <c r="H4">
        <v>8.5000000000000006E-3</v>
      </c>
    </row>
    <row r="5" spans="1:8" x14ac:dyDescent="0.3">
      <c r="A5">
        <v>2022</v>
      </c>
      <c r="B5" s="1">
        <f t="shared" si="0"/>
        <v>22078.34</v>
      </c>
      <c r="G5">
        <v>2003</v>
      </c>
      <c r="H5">
        <v>0.1065</v>
      </c>
    </row>
    <row r="6" spans="1:8" x14ac:dyDescent="0.3">
      <c r="A6">
        <v>2023</v>
      </c>
      <c r="B6" s="1">
        <f t="shared" si="0"/>
        <v>25373.299267137299</v>
      </c>
      <c r="G6">
        <v>2004</v>
      </c>
      <c r="H6">
        <v>0.126</v>
      </c>
    </row>
    <row r="7" spans="1:8" x14ac:dyDescent="0.3">
      <c r="A7">
        <v>2024</v>
      </c>
      <c r="B7" s="1">
        <f t="shared" si="0"/>
        <v>26935.156234845599</v>
      </c>
      <c r="G7">
        <v>2005</v>
      </c>
      <c r="H7">
        <v>0.20619999999999999</v>
      </c>
    </row>
    <row r="8" spans="1:8" x14ac:dyDescent="0.3">
      <c r="A8">
        <v>2025</v>
      </c>
      <c r="B8" s="1">
        <f t="shared" si="0"/>
        <v>28399.047690024101</v>
      </c>
      <c r="G8">
        <v>2006</v>
      </c>
      <c r="H8">
        <v>0.30499999999999999</v>
      </c>
    </row>
    <row r="9" spans="1:8" x14ac:dyDescent="0.3">
      <c r="A9">
        <v>2026</v>
      </c>
      <c r="B9" s="1">
        <f t="shared" si="0"/>
        <v>29754.240899174998</v>
      </c>
      <c r="G9">
        <v>2007</v>
      </c>
      <c r="H9">
        <v>0.435</v>
      </c>
    </row>
    <row r="10" spans="1:8" x14ac:dyDescent="0.3">
      <c r="A10">
        <v>2027</v>
      </c>
      <c r="B10" s="1">
        <f t="shared" si="0"/>
        <v>30994.525206448601</v>
      </c>
      <c r="G10">
        <v>2008</v>
      </c>
      <c r="H10">
        <v>0.51459999999999995</v>
      </c>
    </row>
    <row r="11" spans="1:8" x14ac:dyDescent="0.3">
      <c r="A11">
        <v>2028</v>
      </c>
      <c r="B11" s="1">
        <f t="shared" si="0"/>
        <v>32117.821835128201</v>
      </c>
      <c r="G11">
        <v>2009</v>
      </c>
      <c r="H11">
        <v>0.62070000000000003</v>
      </c>
    </row>
    <row r="12" spans="1:8" x14ac:dyDescent="0.3">
      <c r="A12">
        <v>2029</v>
      </c>
      <c r="B12" s="1">
        <f t="shared" si="0"/>
        <v>33125.5739544631</v>
      </c>
      <c r="G12">
        <v>2010</v>
      </c>
      <c r="H12">
        <v>0.62280000000000002</v>
      </c>
    </row>
    <row r="13" spans="1:8" x14ac:dyDescent="0.3">
      <c r="A13">
        <v>2030</v>
      </c>
      <c r="B13" s="1">
        <f t="shared" si="0"/>
        <v>34022.024682097501</v>
      </c>
      <c r="G13">
        <v>2011</v>
      </c>
      <c r="H13">
        <v>0.67789999999999995</v>
      </c>
    </row>
    <row r="14" spans="1:8" x14ac:dyDescent="0.3">
      <c r="A14">
        <v>2031</v>
      </c>
      <c r="B14" s="1">
        <f t="shared" si="0"/>
        <v>34813.475938240997</v>
      </c>
      <c r="G14">
        <v>2012</v>
      </c>
      <c r="H14">
        <v>0.65639999999999998</v>
      </c>
    </row>
    <row r="15" spans="1:8" x14ac:dyDescent="0.3">
      <c r="A15">
        <v>2032</v>
      </c>
      <c r="B15" s="1">
        <f t="shared" si="0"/>
        <v>35507.597011640202</v>
      </c>
      <c r="G15">
        <v>2013</v>
      </c>
      <c r="H15">
        <v>0.74790000000000001</v>
      </c>
    </row>
    <row r="16" spans="1:8" x14ac:dyDescent="0.3">
      <c r="A16">
        <v>2033</v>
      </c>
      <c r="B16" s="1">
        <f t="shared" si="0"/>
        <v>36112.8256676284</v>
      </c>
      <c r="G16">
        <v>2014</v>
      </c>
      <c r="H16">
        <v>0.89770000000000005</v>
      </c>
    </row>
    <row r="17" spans="1:8" x14ac:dyDescent="0.3">
      <c r="A17">
        <v>2034</v>
      </c>
      <c r="B17" s="1">
        <f t="shared" si="0"/>
        <v>36637.881645817499</v>
      </c>
      <c r="G17">
        <v>2015</v>
      </c>
      <c r="H17">
        <v>1.0089999999999999</v>
      </c>
    </row>
    <row r="18" spans="1:8" x14ac:dyDescent="0.3">
      <c r="A18">
        <v>2035</v>
      </c>
      <c r="B18" s="1">
        <f t="shared" si="0"/>
        <v>37091.394944113199</v>
      </c>
      <c r="G18">
        <v>2016</v>
      </c>
      <c r="H18">
        <v>1.2343</v>
      </c>
    </row>
    <row r="19" spans="1:8" x14ac:dyDescent="0.3">
      <c r="A19">
        <v>2036</v>
      </c>
      <c r="B19" s="1">
        <f t="shared" si="0"/>
        <v>37481.639840814903</v>
      </c>
      <c r="G19">
        <v>2017</v>
      </c>
      <c r="H19">
        <v>1.6027</v>
      </c>
    </row>
    <row r="20" spans="1:8" x14ac:dyDescent="0.3">
      <c r="A20">
        <v>2037</v>
      </c>
      <c r="B20" s="1">
        <f t="shared" si="0"/>
        <v>37816.359409766803</v>
      </c>
      <c r="G20">
        <v>2018</v>
      </c>
      <c r="H20">
        <v>2.0049999999999999</v>
      </c>
    </row>
    <row r="21" spans="1:8" x14ac:dyDescent="0.3">
      <c r="A21">
        <v>2038</v>
      </c>
      <c r="B21" s="1">
        <f t="shared" si="0"/>
        <v>38102.663045471898</v>
      </c>
      <c r="G21">
        <v>2019</v>
      </c>
      <c r="H21">
        <v>1.8435999999999999</v>
      </c>
    </row>
    <row r="22" spans="1:8" ht="15.5" x14ac:dyDescent="0.35">
      <c r="A22">
        <v>2039</v>
      </c>
      <c r="B22" s="1">
        <f t="shared" si="0"/>
        <v>38346.979896826997</v>
      </c>
      <c r="G22">
        <v>2020</v>
      </c>
      <c r="H22" s="25">
        <v>2.0059</v>
      </c>
    </row>
    <row r="23" spans="1:8" ht="15.5" x14ac:dyDescent="0.35">
      <c r="A23">
        <v>2040</v>
      </c>
      <c r="B23" s="1">
        <f t="shared" si="0"/>
        <v>38555.052978792199</v>
      </c>
      <c r="G23">
        <v>2021</v>
      </c>
      <c r="H23" s="25">
        <v>2.3199489999999998</v>
      </c>
    </row>
    <row r="24" spans="1:8" ht="15.5" x14ac:dyDescent="0.35">
      <c r="A24">
        <v>2041</v>
      </c>
      <c r="B24" s="1">
        <f t="shared" si="0"/>
        <v>38731.961257743198</v>
      </c>
      <c r="G24">
        <v>2022</v>
      </c>
      <c r="H24" s="25">
        <v>2.2078340000000001</v>
      </c>
    </row>
    <row r="25" spans="1:8" ht="15.5" x14ac:dyDescent="0.35">
      <c r="A25">
        <v>2042</v>
      </c>
      <c r="B25" s="1">
        <f t="shared" si="0"/>
        <v>38882.159642717801</v>
      </c>
      <c r="G25">
        <v>2023</v>
      </c>
      <c r="H25" s="24">
        <v>2.5373299267137299</v>
      </c>
    </row>
    <row r="26" spans="1:8" ht="15.5" x14ac:dyDescent="0.35">
      <c r="A26">
        <v>2043</v>
      </c>
      <c r="B26" s="1">
        <f t="shared" si="0"/>
        <v>39009.529247166902</v>
      </c>
      <c r="G26">
        <v>2024</v>
      </c>
      <c r="H26" s="24">
        <v>2.6935156234845601</v>
      </c>
    </row>
    <row r="27" spans="1:8" ht="15.5" x14ac:dyDescent="0.35">
      <c r="A27">
        <v>2044</v>
      </c>
      <c r="B27" s="1">
        <f t="shared" si="0"/>
        <v>39117.4323653721</v>
      </c>
      <c r="G27">
        <v>2025</v>
      </c>
      <c r="H27" s="24">
        <v>2.83990476900241</v>
      </c>
    </row>
    <row r="28" spans="1:8" ht="15.5" x14ac:dyDescent="0.35">
      <c r="A28">
        <v>2045</v>
      </c>
      <c r="B28" s="1">
        <f t="shared" si="0"/>
        <v>39208.768291877896</v>
      </c>
      <c r="G28">
        <v>2026</v>
      </c>
      <c r="H28" s="24">
        <v>2.9754240899175</v>
      </c>
    </row>
    <row r="29" spans="1:8" ht="15.5" x14ac:dyDescent="0.35">
      <c r="A29">
        <v>2046</v>
      </c>
      <c r="B29" s="1">
        <f t="shared" si="0"/>
        <v>39286.027419560196</v>
      </c>
      <c r="G29">
        <v>2027</v>
      </c>
      <c r="H29" s="24">
        <v>3.09945252064486</v>
      </c>
    </row>
    <row r="30" spans="1:8" ht="15.5" x14ac:dyDescent="0.35">
      <c r="A30">
        <v>2047</v>
      </c>
      <c r="B30" s="1">
        <f t="shared" si="0"/>
        <v>39351.342030564199</v>
      </c>
      <c r="G30">
        <v>2028</v>
      </c>
      <c r="H30" s="24">
        <v>3.21178218351282</v>
      </c>
    </row>
    <row r="31" spans="1:8" ht="15.5" x14ac:dyDescent="0.35">
      <c r="A31">
        <v>2048</v>
      </c>
      <c r="B31" s="1">
        <f t="shared" si="0"/>
        <v>39406.532902659303</v>
      </c>
      <c r="G31">
        <v>2029</v>
      </c>
      <c r="H31" s="24">
        <v>3.3125573954463099</v>
      </c>
    </row>
    <row r="32" spans="1:8" ht="15.5" x14ac:dyDescent="0.35">
      <c r="A32">
        <v>2049</v>
      </c>
      <c r="B32" s="1">
        <f t="shared" si="0"/>
        <v>39453.151348952</v>
      </c>
      <c r="G32">
        <v>2030</v>
      </c>
      <c r="H32" s="24">
        <v>3.40220246820975</v>
      </c>
    </row>
    <row r="33" spans="1:8" ht="15.5" x14ac:dyDescent="0.35">
      <c r="A33">
        <v>2050</v>
      </c>
      <c r="B33" s="1">
        <f>H52*10000</f>
        <v>39492.516642207906</v>
      </c>
      <c r="G33">
        <v>2031</v>
      </c>
      <c r="H33" s="24">
        <v>3.4813475938241001</v>
      </c>
    </row>
    <row r="34" spans="1:8" ht="15.5" x14ac:dyDescent="0.35">
      <c r="G34">
        <v>2032</v>
      </c>
      <c r="H34" s="24">
        <v>3.55075970116402</v>
      </c>
    </row>
    <row r="35" spans="1:8" ht="15.5" x14ac:dyDescent="0.35">
      <c r="G35">
        <v>2033</v>
      </c>
      <c r="H35" s="24">
        <v>3.6112825667628399</v>
      </c>
    </row>
    <row r="36" spans="1:8" ht="15.5" x14ac:dyDescent="0.35">
      <c r="G36">
        <v>2034</v>
      </c>
      <c r="H36" s="24">
        <v>3.6637881645817498</v>
      </c>
    </row>
    <row r="37" spans="1:8" ht="15.5" x14ac:dyDescent="0.35">
      <c r="G37">
        <v>2035</v>
      </c>
      <c r="H37" s="24">
        <v>3.7091394944113198</v>
      </c>
    </row>
    <row r="38" spans="1:8" ht="15.5" x14ac:dyDescent="0.35">
      <c r="G38">
        <v>2036</v>
      </c>
      <c r="H38" s="24">
        <v>3.74816398408149</v>
      </c>
    </row>
    <row r="39" spans="1:8" ht="15.5" x14ac:dyDescent="0.35">
      <c r="G39">
        <v>2037</v>
      </c>
      <c r="H39" s="24">
        <v>3.7816359409766802</v>
      </c>
    </row>
    <row r="40" spans="1:8" ht="15.5" x14ac:dyDescent="0.35">
      <c r="G40">
        <v>2038</v>
      </c>
      <c r="H40" s="24">
        <v>3.8102663045471901</v>
      </c>
    </row>
    <row r="41" spans="1:8" ht="15.5" x14ac:dyDescent="0.35">
      <c r="G41">
        <v>2039</v>
      </c>
      <c r="H41" s="24">
        <v>3.8346979896827</v>
      </c>
    </row>
    <row r="42" spans="1:8" ht="15.5" x14ac:dyDescent="0.35">
      <c r="G42">
        <v>2040</v>
      </c>
      <c r="H42" s="24">
        <v>3.8555052978792199</v>
      </c>
    </row>
    <row r="43" spans="1:8" ht="15.5" x14ac:dyDescent="0.35">
      <c r="G43">
        <v>2041</v>
      </c>
      <c r="H43" s="24">
        <v>3.8731961257743199</v>
      </c>
    </row>
    <row r="44" spans="1:8" ht="15.5" x14ac:dyDescent="0.35">
      <c r="G44">
        <v>2042</v>
      </c>
      <c r="H44" s="24">
        <v>3.88821596427178</v>
      </c>
    </row>
    <row r="45" spans="1:8" ht="15.5" x14ac:dyDescent="0.35">
      <c r="G45">
        <v>2043</v>
      </c>
      <c r="H45" s="24">
        <v>3.9009529247166901</v>
      </c>
    </row>
    <row r="46" spans="1:8" ht="15.5" x14ac:dyDescent="0.35">
      <c r="G46">
        <v>2044</v>
      </c>
      <c r="H46" s="24">
        <v>3.9117432365372098</v>
      </c>
    </row>
    <row r="47" spans="1:8" ht="15.5" x14ac:dyDescent="0.35">
      <c r="G47">
        <v>2045</v>
      </c>
      <c r="H47" s="24">
        <v>3.9208768291877898</v>
      </c>
    </row>
    <row r="48" spans="1:8" ht="15.5" x14ac:dyDescent="0.35">
      <c r="G48">
        <v>2046</v>
      </c>
      <c r="H48" s="24">
        <v>3.9286027419560199</v>
      </c>
    </row>
    <row r="49" spans="7:8" ht="15.5" x14ac:dyDescent="0.35">
      <c r="G49">
        <v>2047</v>
      </c>
      <c r="H49" s="24">
        <v>3.9351342030564198</v>
      </c>
    </row>
    <row r="50" spans="7:8" ht="15.5" x14ac:dyDescent="0.35">
      <c r="G50">
        <v>2048</v>
      </c>
      <c r="H50" s="24">
        <v>3.9406532902659301</v>
      </c>
    </row>
    <row r="51" spans="7:8" ht="15.5" x14ac:dyDescent="0.35">
      <c r="G51">
        <v>2049</v>
      </c>
      <c r="H51" s="24">
        <v>3.9453151348951998</v>
      </c>
    </row>
    <row r="52" spans="7:8" ht="15.5" x14ac:dyDescent="0.35">
      <c r="G52">
        <v>2050</v>
      </c>
      <c r="H52" s="24">
        <v>3.9492516642207902</v>
      </c>
    </row>
    <row r="53" spans="7:8" x14ac:dyDescent="0.3">
      <c r="H53">
        <v>3.952574899</v>
      </c>
    </row>
    <row r="54" spans="7:8" x14ac:dyDescent="0.3">
      <c r="H54">
        <v>3.9553798339999999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096-E160-4B2D-99DF-9BA092B13700}">
  <dimension ref="A1:B32"/>
  <sheetViews>
    <sheetView workbookViewId="0">
      <selection activeCell="G36" sqref="G36"/>
    </sheetView>
  </sheetViews>
  <sheetFormatPr defaultRowHeight="14" x14ac:dyDescent="0.3"/>
  <sheetData>
    <row r="1" spans="1:2" x14ac:dyDescent="0.3">
      <c r="A1" t="s">
        <v>33</v>
      </c>
      <c r="B1" t="s">
        <v>34</v>
      </c>
    </row>
    <row r="2" spans="1:2" x14ac:dyDescent="0.3">
      <c r="A2">
        <v>2020</v>
      </c>
      <c r="B2">
        <v>11158.392618522161</v>
      </c>
    </row>
    <row r="3" spans="1:2" x14ac:dyDescent="0.3">
      <c r="A3">
        <v>2021</v>
      </c>
      <c r="B3">
        <v>11926.649340962989</v>
      </c>
    </row>
    <row r="4" spans="1:2" x14ac:dyDescent="0.3">
      <c r="A4">
        <v>2022</v>
      </c>
      <c r="B4">
        <v>12694.90606340382</v>
      </c>
    </row>
    <row r="5" spans="1:2" x14ac:dyDescent="0.3">
      <c r="A5">
        <v>2023</v>
      </c>
      <c r="B5">
        <v>13463.16278584465</v>
      </c>
    </row>
    <row r="6" spans="1:2" x14ac:dyDescent="0.3">
      <c r="A6">
        <v>2024</v>
      </c>
      <c r="B6">
        <v>14231.41950828548</v>
      </c>
    </row>
    <row r="7" spans="1:2" x14ac:dyDescent="0.3">
      <c r="A7">
        <v>2025</v>
      </c>
      <c r="B7">
        <v>14999.676230726311</v>
      </c>
    </row>
    <row r="8" spans="1:2" x14ac:dyDescent="0.3">
      <c r="A8">
        <v>2026</v>
      </c>
      <c r="B8">
        <v>15431.75530167441</v>
      </c>
    </row>
    <row r="9" spans="1:2" x14ac:dyDescent="0.3">
      <c r="A9">
        <v>2027</v>
      </c>
      <c r="B9">
        <v>15863.834372622519</v>
      </c>
    </row>
    <row r="10" spans="1:2" x14ac:dyDescent="0.3">
      <c r="A10">
        <v>2028</v>
      </c>
      <c r="B10">
        <v>16295.91344357062</v>
      </c>
    </row>
    <row r="11" spans="1:2" x14ac:dyDescent="0.3">
      <c r="A11">
        <v>2029</v>
      </c>
      <c r="B11">
        <v>16727.992514518719</v>
      </c>
    </row>
    <row r="12" spans="1:2" x14ac:dyDescent="0.3">
      <c r="A12">
        <v>2030</v>
      </c>
      <c r="B12">
        <v>17160.071585466831</v>
      </c>
    </row>
    <row r="13" spans="1:2" x14ac:dyDescent="0.3">
      <c r="A13">
        <v>2031</v>
      </c>
      <c r="B13">
        <v>17323.85036905569</v>
      </c>
    </row>
    <row r="14" spans="1:2" x14ac:dyDescent="0.3">
      <c r="A14">
        <v>2032</v>
      </c>
      <c r="B14">
        <v>17487.629152644549</v>
      </c>
    </row>
    <row r="15" spans="1:2" x14ac:dyDescent="0.3">
      <c r="A15">
        <v>2033</v>
      </c>
      <c r="B15">
        <v>17651.40793623342</v>
      </c>
    </row>
    <row r="16" spans="1:2" x14ac:dyDescent="0.3">
      <c r="A16">
        <v>2034</v>
      </c>
      <c r="B16">
        <v>17815.186719822279</v>
      </c>
    </row>
    <row r="17" spans="1:2" x14ac:dyDescent="0.3">
      <c r="A17">
        <v>2035</v>
      </c>
      <c r="B17">
        <v>17978.965503411138</v>
      </c>
    </row>
    <row r="18" spans="1:2" x14ac:dyDescent="0.3">
      <c r="A18">
        <v>2036</v>
      </c>
      <c r="B18">
        <v>17992.472398695671</v>
      </c>
    </row>
    <row r="19" spans="1:2" x14ac:dyDescent="0.3">
      <c r="A19">
        <v>2037</v>
      </c>
      <c r="B19">
        <v>18005.979293980199</v>
      </c>
    </row>
    <row r="20" spans="1:2" x14ac:dyDescent="0.3">
      <c r="A20">
        <v>2038</v>
      </c>
      <c r="B20">
        <v>18019.486189264731</v>
      </c>
    </row>
    <row r="21" spans="1:2" x14ac:dyDescent="0.3">
      <c r="A21">
        <v>2039</v>
      </c>
      <c r="B21">
        <v>18032.993084549249</v>
      </c>
    </row>
    <row r="22" spans="1:2" x14ac:dyDescent="0.3">
      <c r="A22">
        <v>2040</v>
      </c>
      <c r="B22">
        <v>18046.499979833781</v>
      </c>
    </row>
    <row r="23" spans="1:2" x14ac:dyDescent="0.3">
      <c r="A23">
        <v>2041</v>
      </c>
      <c r="B23">
        <v>17977.352664813901</v>
      </c>
    </row>
    <row r="24" spans="1:2" x14ac:dyDescent="0.3">
      <c r="A24">
        <v>2042</v>
      </c>
      <c r="B24">
        <v>17908.205349794029</v>
      </c>
    </row>
    <row r="25" spans="1:2" x14ac:dyDescent="0.3">
      <c r="A25">
        <v>2043</v>
      </c>
      <c r="B25">
        <v>17839.058034774149</v>
      </c>
    </row>
    <row r="26" spans="1:2" x14ac:dyDescent="0.3">
      <c r="A26">
        <v>2044</v>
      </c>
      <c r="B26">
        <v>17769.910719754269</v>
      </c>
    </row>
    <row r="27" spans="1:2" x14ac:dyDescent="0.3">
      <c r="A27">
        <v>2045</v>
      </c>
      <c r="B27">
        <v>17700.7634047344</v>
      </c>
    </row>
    <row r="28" spans="1:2" x14ac:dyDescent="0.3">
      <c r="A28">
        <v>2046</v>
      </c>
      <c r="B28">
        <v>17618.150378295872</v>
      </c>
    </row>
    <row r="29" spans="1:2" x14ac:dyDescent="0.3">
      <c r="A29">
        <v>2047</v>
      </c>
      <c r="B29">
        <v>17535.537351857351</v>
      </c>
    </row>
    <row r="30" spans="1:2" x14ac:dyDescent="0.3">
      <c r="A30">
        <v>2048</v>
      </c>
      <c r="B30">
        <v>17452.924325418819</v>
      </c>
    </row>
    <row r="31" spans="1:2" x14ac:dyDescent="0.3">
      <c r="A31">
        <v>2049</v>
      </c>
      <c r="B31">
        <v>17370.311298980301</v>
      </c>
    </row>
    <row r="32" spans="1:2" x14ac:dyDescent="0.3">
      <c r="A32">
        <v>2050</v>
      </c>
      <c r="B32">
        <v>17287.698272541769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568E-90EF-40FE-88D6-920C71E6F4C3}">
  <dimension ref="A1:S33"/>
  <sheetViews>
    <sheetView tabSelected="1" topLeftCell="B1" zoomScaleNormal="100" workbookViewId="0">
      <selection activeCell="K9" sqref="K9"/>
    </sheetView>
  </sheetViews>
  <sheetFormatPr defaultColWidth="8.83203125" defaultRowHeight="14" x14ac:dyDescent="0.3"/>
  <cols>
    <col min="2" max="2" width="11.33203125" bestFit="1" customWidth="1"/>
    <col min="3" max="3" width="8.6640625" bestFit="1" customWidth="1"/>
    <col min="4" max="5" width="9.6640625" bestFit="1" customWidth="1"/>
    <col min="6" max="6" width="8.6640625" bestFit="1" customWidth="1"/>
    <col min="7" max="11" width="9.6640625" bestFit="1" customWidth="1"/>
    <col min="12" max="12" width="8.6640625" bestFit="1" customWidth="1"/>
    <col min="13" max="19" width="9.6640625" bestFit="1" customWidth="1"/>
  </cols>
  <sheetData>
    <row r="1" spans="1:19" x14ac:dyDescent="0.3">
      <c r="B1" s="41" t="s">
        <v>65</v>
      </c>
      <c r="C1" s="42"/>
      <c r="D1" s="43"/>
      <c r="E1" s="44" t="s">
        <v>67</v>
      </c>
      <c r="F1" s="45"/>
      <c r="G1" s="46"/>
      <c r="H1" s="47" t="s">
        <v>73</v>
      </c>
      <c r="I1" s="40"/>
      <c r="J1" s="40"/>
      <c r="K1" s="37" t="s">
        <v>74</v>
      </c>
      <c r="L1" s="38"/>
      <c r="M1" s="39"/>
      <c r="N1" s="40" t="s">
        <v>24</v>
      </c>
      <c r="O1" s="40"/>
      <c r="P1" s="40"/>
      <c r="Q1" s="37" t="s">
        <v>23</v>
      </c>
      <c r="R1" s="38"/>
      <c r="S1" s="39"/>
    </row>
    <row r="2" spans="1:19" x14ac:dyDescent="0.3">
      <c r="B2" s="18" t="s">
        <v>1</v>
      </c>
      <c r="C2" s="14" t="s">
        <v>2</v>
      </c>
      <c r="D2" s="20" t="s">
        <v>3</v>
      </c>
      <c r="E2" s="21" t="s">
        <v>1</v>
      </c>
      <c r="F2" s="21" t="s">
        <v>2</v>
      </c>
      <c r="G2" s="21" t="s">
        <v>3</v>
      </c>
      <c r="H2" s="14" t="s">
        <v>1</v>
      </c>
      <c r="I2" s="14" t="s">
        <v>2</v>
      </c>
      <c r="J2" s="14" t="s">
        <v>3</v>
      </c>
      <c r="K2" s="26" t="s">
        <v>1</v>
      </c>
      <c r="L2" s="21" t="s">
        <v>2</v>
      </c>
      <c r="M2" s="27" t="s">
        <v>3</v>
      </c>
      <c r="N2" s="14" t="s">
        <v>1</v>
      </c>
      <c r="O2" s="14" t="s">
        <v>2</v>
      </c>
      <c r="P2" s="14" t="s">
        <v>3</v>
      </c>
      <c r="Q2" s="26" t="s">
        <v>1</v>
      </c>
      <c r="R2" s="21" t="s">
        <v>2</v>
      </c>
      <c r="S2" s="27" t="s">
        <v>3</v>
      </c>
    </row>
    <row r="3" spans="1:19" x14ac:dyDescent="0.3">
      <c r="A3">
        <v>2020</v>
      </c>
      <c r="B3" s="19">
        <f>'Unit carbon footprint'!J4*Production!$B3/1000</f>
        <v>4097.1804579128811</v>
      </c>
      <c r="C3" s="19">
        <f>$B3+Error!$B2</f>
        <v>15255.573076435041</v>
      </c>
      <c r="D3" s="19">
        <f>$B3-Error!$B2</f>
        <v>-7061.2121606092796</v>
      </c>
      <c r="E3" s="19">
        <f>'Unit carbon footprint'!K4*Production!$B3/1000</f>
        <v>4097.1804579128811</v>
      </c>
      <c r="F3" s="19">
        <f>$E3+Error!$B2</f>
        <v>15255.573076435041</v>
      </c>
      <c r="G3" s="19">
        <f>$E3-Error!$B2</f>
        <v>-7061.2121606092796</v>
      </c>
      <c r="H3" s="19">
        <f>'Unit carbon footprint'!L4*Production!$B3/1000</f>
        <v>4097.1804579128811</v>
      </c>
      <c r="I3" s="19">
        <f>$H3+Error!$B2</f>
        <v>15255.573076435041</v>
      </c>
      <c r="J3" s="19">
        <f>$H3-Error!$B2</f>
        <v>-7061.2121606092796</v>
      </c>
      <c r="K3" s="19">
        <f>'Unit carbon footprint'!M4*Production!$B3/1000</f>
        <v>4097.1804579128811</v>
      </c>
      <c r="L3" s="19">
        <f>$K3+Error!$B2</f>
        <v>15255.573076435041</v>
      </c>
      <c r="M3" s="19">
        <f>$K3-Error!$B2</f>
        <v>-7061.2121606092796</v>
      </c>
      <c r="N3" s="19">
        <f>'Unit carbon footprint'!N4*Production!$B3/1000</f>
        <v>4097.1804579128811</v>
      </c>
      <c r="O3" s="19">
        <f>$N3+Error!$B2</f>
        <v>15255.573076435041</v>
      </c>
      <c r="P3" s="19">
        <f>$N3-Error!$B2</f>
        <v>-7061.2121606092796</v>
      </c>
      <c r="Q3" s="19">
        <f>'Unit carbon footprint'!O4*Production!$B3/1000</f>
        <v>4097.1804579128811</v>
      </c>
      <c r="R3" s="19">
        <f>$Q3+Error!$B2</f>
        <v>15255.573076435041</v>
      </c>
      <c r="S3" s="19">
        <f>$Q3-Error!$B2</f>
        <v>-7061.2121606092796</v>
      </c>
    </row>
    <row r="4" spans="1:19" x14ac:dyDescent="0.3">
      <c r="A4">
        <v>2021</v>
      </c>
      <c r="B4" s="19">
        <f>'Unit carbon footprint'!J5*Production!$B4/1000</f>
        <v>4844.633242115855</v>
      </c>
      <c r="C4" s="19">
        <f>$B4+Error!$B3</f>
        <v>16771.282583078842</v>
      </c>
      <c r="D4" s="19">
        <f>$B4-Error!$B3</f>
        <v>-7082.0160988471343</v>
      </c>
      <c r="E4" s="19">
        <f>'Unit carbon footprint'!K5*Production!$B4/1000</f>
        <v>4395.2012966041475</v>
      </c>
      <c r="F4" s="19">
        <f>$E4+Error!$B3</f>
        <v>16321.850637567137</v>
      </c>
      <c r="G4" s="19">
        <f>$E4-Error!$B3</f>
        <v>-7531.4480443588418</v>
      </c>
      <c r="H4" s="19">
        <f>'Unit carbon footprint'!L5*Production!$B4/1000</f>
        <v>4117.2687715004295</v>
      </c>
      <c r="I4" s="19">
        <f>$H4+Error!$B3</f>
        <v>16043.91811246342</v>
      </c>
      <c r="J4" s="19">
        <f>$H4-Error!$B3</f>
        <v>-7809.3805694625598</v>
      </c>
      <c r="K4" s="19">
        <f>'Unit carbon footprint'!M5*Production!$B4/1000</f>
        <v>4575.7298098350784</v>
      </c>
      <c r="L4" s="19">
        <f>$K4+Error!$B3</f>
        <v>16502.379150798068</v>
      </c>
      <c r="M4" s="19">
        <f>$K4-Error!$B3</f>
        <v>-7350.9195311279109</v>
      </c>
      <c r="N4" s="19">
        <f>'Unit carbon footprint'!N5*Production!$B4/1000</f>
        <v>3723.0857238536059</v>
      </c>
      <c r="O4" s="19">
        <f>$N4+Error!$B3</f>
        <v>15649.735064816596</v>
      </c>
      <c r="P4" s="19">
        <f>$N4-Error!$B3</f>
        <v>-8203.5636171093829</v>
      </c>
      <c r="Q4" s="19">
        <f>'Unit carbon footprint'!O5*Production!$B4/1000</f>
        <v>3620.8368212914688</v>
      </c>
      <c r="R4" s="19">
        <f>$Q4+Error!$B3</f>
        <v>15547.486162254458</v>
      </c>
      <c r="S4" s="19">
        <f>$Q4-Error!$B3</f>
        <v>-8305.8125196715209</v>
      </c>
    </row>
    <row r="5" spans="1:19" x14ac:dyDescent="0.3">
      <c r="A5">
        <v>2022</v>
      </c>
      <c r="B5" s="19">
        <f>'Unit carbon footprint'!J6*Production!$B5/1000</f>
        <v>4712.0514499339261</v>
      </c>
      <c r="C5" s="19">
        <f>$B5+Error!$B4</f>
        <v>17406.957513337744</v>
      </c>
      <c r="D5" s="19">
        <f>$B5-Error!$B4</f>
        <v>-7982.8546134698936</v>
      </c>
      <c r="E5" s="19">
        <f>'Unit carbon footprint'!K6*Production!$B5/1000</f>
        <v>3855.9495498323363</v>
      </c>
      <c r="F5" s="19">
        <f>$E5+Error!$B4</f>
        <v>16550.855613236155</v>
      </c>
      <c r="G5" s="19">
        <f>$E5-Error!$B4</f>
        <v>-8838.9565135714838</v>
      </c>
      <c r="H5" s="19">
        <f>'Unit carbon footprint'!L6*Production!$B5/1000</f>
        <v>3349.6916660330412</v>
      </c>
      <c r="I5" s="19">
        <f>$H5+Error!$B4</f>
        <v>16044.59772943686</v>
      </c>
      <c r="J5" s="19">
        <f>$H5-Error!$B4</f>
        <v>-9345.2143973707789</v>
      </c>
      <c r="K5" s="19">
        <f>'Unit carbon footprint'!M6*Production!$B5/1000</f>
        <v>4204.5593394277539</v>
      </c>
      <c r="L5" s="19">
        <f>$K5+Error!$B4</f>
        <v>16899.465402831574</v>
      </c>
      <c r="M5" s="19">
        <f>$K5-Error!$B4</f>
        <v>-8490.3467239760648</v>
      </c>
      <c r="N5" s="19">
        <f>'Unit carbon footprint'!N6*Production!$B5/1000</f>
        <v>2616.2247930632448</v>
      </c>
      <c r="O5" s="19">
        <f>$N5+Error!$B4</f>
        <v>15311.130856467065</v>
      </c>
      <c r="P5" s="19">
        <f>$N5-Error!$B4</f>
        <v>-10078.681270340574</v>
      </c>
      <c r="Q5" s="19">
        <f>'Unit carbon footprint'!O6*Production!$B5/1000</f>
        <v>2427.7892314533028</v>
      </c>
      <c r="R5" s="19">
        <f>$Q5+Error!$B4</f>
        <v>15122.695294857123</v>
      </c>
      <c r="S5" s="19">
        <f>$Q5-Error!$B4</f>
        <v>-10267.116831950516</v>
      </c>
    </row>
    <row r="6" spans="1:19" x14ac:dyDescent="0.3">
      <c r="A6">
        <v>2023</v>
      </c>
      <c r="B6" s="19">
        <f>'Unit carbon footprint'!J7*Production!$B6/1000</f>
        <v>5532.7577080237152</v>
      </c>
      <c r="C6" s="19">
        <f>$B6+Error!$B5</f>
        <v>18995.920493868365</v>
      </c>
      <c r="D6" s="19">
        <f>$B6-Error!$B5</f>
        <v>-7930.4050778209348</v>
      </c>
      <c r="E6" s="19">
        <f>'Unit carbon footprint'!K7*Production!$B6/1000</f>
        <v>4055.7837727639003</v>
      </c>
      <c r="F6" s="19">
        <f>$E6+Error!$B5</f>
        <v>17518.94655860855</v>
      </c>
      <c r="G6" s="19">
        <f>$E6-Error!$B5</f>
        <v>-9407.3790130807502</v>
      </c>
      <c r="H6" s="19">
        <f>'Unit carbon footprint'!L7*Production!$B6/1000</f>
        <v>3220.7946647512135</v>
      </c>
      <c r="I6" s="19">
        <f>$H6+Error!$B5</f>
        <v>16683.957450595863</v>
      </c>
      <c r="J6" s="19">
        <f>$H6-Error!$B5</f>
        <v>-10242.368121093437</v>
      </c>
      <c r="K6" s="19">
        <f>'Unit carbon footprint'!M7*Production!$B6/1000</f>
        <v>4665.0859318891407</v>
      </c>
      <c r="L6" s="19">
        <f>$K6+Error!$B5</f>
        <v>18128.24871773379</v>
      </c>
      <c r="M6" s="19">
        <f>$K6-Error!$B5</f>
        <v>-8798.0768539555102</v>
      </c>
      <c r="N6" s="19">
        <f>'Unit carbon footprint'!N7*Production!$B6/1000</f>
        <v>1984.0356581878746</v>
      </c>
      <c r="O6" s="19">
        <f>$N6+Error!$B5</f>
        <v>15447.198444032525</v>
      </c>
      <c r="P6" s="19">
        <f>$N6-Error!$B5</f>
        <v>-11479.127127656775</v>
      </c>
      <c r="Q6" s="19">
        <f>'Unit carbon footprint'!O7*Production!$B6/1000</f>
        <v>1669.4256178478304</v>
      </c>
      <c r="R6" s="19">
        <f>$Q6+Error!$B5</f>
        <v>15132.58840369248</v>
      </c>
      <c r="S6" s="19">
        <f>$Q6-Error!$B5</f>
        <v>-11793.73716799682</v>
      </c>
    </row>
    <row r="7" spans="1:19" x14ac:dyDescent="0.3">
      <c r="A7">
        <v>2024</v>
      </c>
      <c r="B7" s="19">
        <f>'Unit carbon footprint'!J8*Production!$B7/1000</f>
        <v>5998.8839822923974</v>
      </c>
      <c r="C7" s="19">
        <f>$B7+Error!$B6</f>
        <v>20230.303490577877</v>
      </c>
      <c r="D7" s="19">
        <f>$B7-Error!$B6</f>
        <v>-8232.5355259930839</v>
      </c>
      <c r="E7" s="19">
        <f>'Unit carbon footprint'!K8*Production!$B7/1000</f>
        <v>3906.6908657092454</v>
      </c>
      <c r="F7" s="19">
        <f>$E7+Error!$B6</f>
        <v>18138.110373994725</v>
      </c>
      <c r="G7" s="19">
        <f>$E7-Error!$B6</f>
        <v>-10324.728642576236</v>
      </c>
      <c r="H7" s="19">
        <f>'Unit carbon footprint'!L8*Production!$B7/1000</f>
        <v>2776.2644916441941</v>
      </c>
      <c r="I7" s="19">
        <f>$H7+Error!$B6</f>
        <v>17007.683999929675</v>
      </c>
      <c r="J7" s="19">
        <f>$H7-Error!$B6</f>
        <v>-11455.155016641285</v>
      </c>
      <c r="K7" s="19">
        <f>'Unit carbon footprint'!M8*Production!$B7/1000</f>
        <v>4780.5478561199361</v>
      </c>
      <c r="L7" s="19">
        <f>$K7+Error!$B6</f>
        <v>19011.967364405416</v>
      </c>
      <c r="M7" s="19">
        <f>$K7-Error!$B6</f>
        <v>-9450.8716521655442</v>
      </c>
      <c r="N7" s="19">
        <f>'Unit carbon footprint'!N8*Production!$B7/1000</f>
        <v>1063.1017838129885</v>
      </c>
      <c r="O7" s="19">
        <f>$N7+Error!$B6</f>
        <v>15294.521292098469</v>
      </c>
      <c r="P7" s="19">
        <f>$N7-Error!$B6</f>
        <v>-13168.317724472492</v>
      </c>
      <c r="Q7" s="19">
        <f>'Unit carbon footprint'!O8*Production!$B7/1000</f>
        <v>631.70806314032643</v>
      </c>
      <c r="R7" s="19">
        <f>$Q7+Error!$B6</f>
        <v>14863.127571425806</v>
      </c>
      <c r="S7" s="19">
        <f>$Q7-Error!$B6</f>
        <v>-13599.711445145154</v>
      </c>
    </row>
    <row r="8" spans="1:19" x14ac:dyDescent="0.3">
      <c r="A8">
        <v>2025</v>
      </c>
      <c r="B8" s="19">
        <f>'Unit carbon footprint'!J9*Production!$B8/1000</f>
        <v>6458.1936303097582</v>
      </c>
      <c r="C8" s="19">
        <f>$B8+Error!$B7</f>
        <v>21457.86986103607</v>
      </c>
      <c r="D8" s="19">
        <f>$B8-Error!$B7</f>
        <v>-8541.4826004165516</v>
      </c>
      <c r="E8" s="19">
        <f>'Unit carbon footprint'!K9*Production!$B8/1000</f>
        <v>3698.5958947107615</v>
      </c>
      <c r="F8" s="19">
        <f>$E8+Error!$B7</f>
        <v>18698.272125437074</v>
      </c>
      <c r="G8" s="19">
        <f>$E8-Error!$B7</f>
        <v>-11301.08033601555</v>
      </c>
      <c r="H8" s="19">
        <f>'Unit carbon footprint'!L9*Production!$B8/1000</f>
        <v>2274.0740702679777</v>
      </c>
      <c r="I8" s="19">
        <f>$H8+Error!$B7</f>
        <v>17273.750300994288</v>
      </c>
      <c r="J8" s="19">
        <f>$H8-Error!$B7</f>
        <v>-12725.602160458333</v>
      </c>
      <c r="K8" s="19">
        <f>'Unit carbon footprint'!M9*Production!$B8/1000</f>
        <v>4864.905028137824</v>
      </c>
      <c r="L8" s="19">
        <f>$K8+Error!$B7</f>
        <v>19864.581258864135</v>
      </c>
      <c r="M8" s="19">
        <f>$K8-Error!$B7</f>
        <v>-10134.771202588487</v>
      </c>
      <c r="N8" s="19">
        <f>'Unit carbon footprint'!N9*Production!$B8/1000</f>
        <v>63.290181886794116</v>
      </c>
      <c r="O8" s="19">
        <f>$N8+Error!$B7</f>
        <v>15062.966412613105</v>
      </c>
      <c r="P8" s="19">
        <f>$N8-Error!$B7</f>
        <v>-14936.386048839517</v>
      </c>
      <c r="Q8" s="19">
        <f>'Unit carbon footprint'!O9*Production!$B8/1000</f>
        <v>-487.63259626510012</v>
      </c>
      <c r="R8" s="19">
        <f>$Q8+Error!$B7</f>
        <v>14512.04363446121</v>
      </c>
      <c r="S8" s="19">
        <f>$Q8-Error!$B7</f>
        <v>-15487.308826991411</v>
      </c>
    </row>
    <row r="9" spans="1:19" x14ac:dyDescent="0.3">
      <c r="A9">
        <v>2026</v>
      </c>
      <c r="B9" s="19">
        <f>'Unit carbon footprint'!J10*Production!$B9/1000</f>
        <v>6906.9643417319348</v>
      </c>
      <c r="C9" s="19">
        <f>$B9+Error!$B8</f>
        <v>22338.719643406344</v>
      </c>
      <c r="D9" s="19">
        <f>$B9-Error!$B8</f>
        <v>-8524.7909599424747</v>
      </c>
      <c r="E9" s="19">
        <f>'Unit carbon footprint'!K10*Production!$B9/1000</f>
        <v>3434.6107874215877</v>
      </c>
      <c r="F9" s="19">
        <f>$E9+Error!$B8</f>
        <v>18866.366089095998</v>
      </c>
      <c r="G9" s="19">
        <f>$E9-Error!$B8</f>
        <v>-11997.144514252821</v>
      </c>
      <c r="H9" s="19">
        <f>'Unit carbon footprint'!L10*Production!$B9/1000</f>
        <v>1722.7878565292217</v>
      </c>
      <c r="I9" s="19">
        <f>$H9+Error!$B8</f>
        <v>17154.543158203633</v>
      </c>
      <c r="J9" s="19">
        <f>$H9-Error!$B8</f>
        <v>-13708.967445145188</v>
      </c>
      <c r="K9" s="19">
        <f>'Unit carbon footprint'!M10*Production!$B9/1000</f>
        <v>4918.7949842029848</v>
      </c>
      <c r="L9" s="19">
        <f>$K9+Error!$B8</f>
        <v>20350.550285877394</v>
      </c>
      <c r="M9" s="19">
        <f>$K9-Error!$B8</f>
        <v>-10512.960317471425</v>
      </c>
      <c r="N9" s="19">
        <f>'Unit carbon footprint'!N10*Production!$B9/1000</f>
        <v>-1000.1599966911318</v>
      </c>
      <c r="O9" s="19">
        <f>$N9+Error!$B8</f>
        <v>14431.595304983277</v>
      </c>
      <c r="P9" s="19">
        <f>$N9-Error!$B8</f>
        <v>-16431.91529836554</v>
      </c>
      <c r="Q9" s="19">
        <f>'Unit carbon footprint'!O10*Production!$B9/1000</f>
        <v>-1671.4857475551005</v>
      </c>
      <c r="R9" s="19">
        <f>$Q9+Error!$B8</f>
        <v>13760.26955411931</v>
      </c>
      <c r="S9" s="19">
        <f>$Q9-Error!$B8</f>
        <v>-17103.241049229509</v>
      </c>
    </row>
    <row r="10" spans="1:19" x14ac:dyDescent="0.3">
      <c r="A10">
        <v>2027</v>
      </c>
      <c r="B10" s="19">
        <f>'Unit carbon footprint'!J11*Production!$B10/1000</f>
        <v>7342.3240099611548</v>
      </c>
      <c r="C10" s="19">
        <f>$B10+Error!$B9</f>
        <v>23206.158382583675</v>
      </c>
      <c r="D10" s="19">
        <f>$B10-Error!$B9</f>
        <v>-8521.5103626613636</v>
      </c>
      <c r="E10" s="19">
        <f>'Unit carbon footprint'!K11*Production!$B10/1000</f>
        <v>3118.9380704403734</v>
      </c>
      <c r="F10" s="19">
        <f>$E10+Error!$B9</f>
        <v>18982.772443062891</v>
      </c>
      <c r="G10" s="19">
        <f>$E10-Error!$B9</f>
        <v>-12744.896302182146</v>
      </c>
      <c r="H10" s="19">
        <f>'Unit carbon footprint'!L11*Production!$B10/1000</f>
        <v>1131.4093501535872</v>
      </c>
      <c r="I10" s="19">
        <f>$H10+Error!$B9</f>
        <v>16995.243722776107</v>
      </c>
      <c r="J10" s="19">
        <f>$H10-Error!$B9</f>
        <v>-14732.425022468931</v>
      </c>
      <c r="K10" s="19">
        <f>'Unit carbon footprint'!M11*Production!$B10/1000</f>
        <v>4943.6820787894849</v>
      </c>
      <c r="L10" s="19">
        <f>$K10+Error!$B9</f>
        <v>20807.516451412004</v>
      </c>
      <c r="M10" s="19">
        <f>$K10-Error!$B9</f>
        <v>-10920.152293833034</v>
      </c>
      <c r="N10" s="19">
        <f>'Unit carbon footprint'!N11*Production!$B10/1000</f>
        <v>-2111.9478425196166</v>
      </c>
      <c r="O10" s="19">
        <f>$N10+Error!$B9</f>
        <v>13751.886530102904</v>
      </c>
      <c r="P10" s="19">
        <f>$N10-Error!$B9</f>
        <v>-17975.782215142135</v>
      </c>
      <c r="Q10" s="19">
        <f>'Unit carbon footprint'!O11*Production!$B10/1000</f>
        <v>-2902.8399819875322</v>
      </c>
      <c r="R10" s="19">
        <f>$Q10+Error!$B9</f>
        <v>12960.994390634987</v>
      </c>
      <c r="S10" s="19">
        <f>$Q10-Error!$B9</f>
        <v>-18766.674354610052</v>
      </c>
    </row>
    <row r="11" spans="1:19" x14ac:dyDescent="0.3">
      <c r="A11">
        <v>2028</v>
      </c>
      <c r="B11" s="19">
        <f>'Unit carbon footprint'!J12*Production!$B11/1000</f>
        <v>7762.2609431266465</v>
      </c>
      <c r="C11" s="19">
        <f>$B11+Error!$B10</f>
        <v>24058.174386697268</v>
      </c>
      <c r="D11" s="19">
        <f>$B11-Error!$B10</f>
        <v>-8533.6525004439736</v>
      </c>
      <c r="E11" s="19">
        <f>'Unit carbon footprint'!K12*Production!$B11/1000</f>
        <v>2756.5026571313897</v>
      </c>
      <c r="F11" s="19">
        <f>$E11+Error!$B10</f>
        <v>19052.416100702008</v>
      </c>
      <c r="G11" s="19">
        <f>$E11-Error!$B10</f>
        <v>-13539.41078643923</v>
      </c>
      <c r="H11" s="19">
        <f>'Unit carbon footprint'!L12*Production!$B11/1000</f>
        <v>508.88418078507777</v>
      </c>
      <c r="I11" s="19">
        <f>$H11+Error!$B10</f>
        <v>16804.797624355699</v>
      </c>
      <c r="J11" s="19">
        <f>$H11-Error!$B10</f>
        <v>-15787.029262785542</v>
      </c>
      <c r="K11" s="19">
        <f>'Unit carbon footprint'!M12*Production!$B11/1000</f>
        <v>4941.66213523437</v>
      </c>
      <c r="L11" s="19">
        <f>$K11+Error!$B10</f>
        <v>21237.57557880499</v>
      </c>
      <c r="M11" s="19">
        <f>$K11-Error!$B10</f>
        <v>-11354.25130833625</v>
      </c>
      <c r="N11" s="19">
        <f>'Unit carbon footprint'!N12*Production!$B11/1000</f>
        <v>-3257.4529091137892</v>
      </c>
      <c r="O11" s="19">
        <f>$N11+Error!$B10</f>
        <v>13038.46053445683</v>
      </c>
      <c r="P11" s="19">
        <f>$N11-Error!$B10</f>
        <v>-19553.36635268441</v>
      </c>
      <c r="Q11" s="19">
        <f>'Unit carbon footprint'!O12*Production!$B11/1000</f>
        <v>-4165.5820222420698</v>
      </c>
      <c r="R11" s="19">
        <f>$Q11+Error!$B10</f>
        <v>12130.33142132855</v>
      </c>
      <c r="S11" s="19">
        <f>$Q11-Error!$B10</f>
        <v>-20461.495465812688</v>
      </c>
    </row>
    <row r="12" spans="1:19" x14ac:dyDescent="0.3">
      <c r="A12">
        <v>2029</v>
      </c>
      <c r="B12" s="19">
        <f>'Unit carbon footprint'!J13*Production!$B12/1000</f>
        <v>8165.5707737188914</v>
      </c>
      <c r="C12" s="19">
        <f>$B12+Error!$B11</f>
        <v>24893.563288237609</v>
      </c>
      <c r="D12" s="19">
        <f>$B12-Error!$B11</f>
        <v>-8562.4217407998276</v>
      </c>
      <c r="E12" s="19">
        <f>'Unit carbon footprint'!K13*Production!$B12/1000</f>
        <v>2352.6026886500722</v>
      </c>
      <c r="F12" s="19">
        <f>$E12+Error!$B11</f>
        <v>19080.595203168792</v>
      </c>
      <c r="G12" s="19">
        <f>$E12-Error!$B11</f>
        <v>-14375.389825868646</v>
      </c>
      <c r="H12" s="19">
        <f>'Unit carbon footprint'!L13*Production!$B12/1000</f>
        <v>-136.29926925490557</v>
      </c>
      <c r="I12" s="19">
        <f>$H12+Error!$B11</f>
        <v>16591.693245263814</v>
      </c>
      <c r="J12" s="19">
        <f>$H12-Error!$B11</f>
        <v>-16864.291783773624</v>
      </c>
      <c r="K12" s="19">
        <f>'Unit carbon footprint'!M13*Production!$B12/1000</f>
        <v>4915.2590825991874</v>
      </c>
      <c r="L12" s="19">
        <f>$K12+Error!$B11</f>
        <v>21643.251597117905</v>
      </c>
      <c r="M12" s="19">
        <f>$K12-Error!$B11</f>
        <v>-11812.733431919532</v>
      </c>
      <c r="N12" s="19">
        <f>'Unit carbon footprint'!N13*Production!$B12/1000</f>
        <v>-4423.2896939464963</v>
      </c>
      <c r="O12" s="19">
        <f>$N12+Error!$B11</f>
        <v>12304.702820572224</v>
      </c>
      <c r="P12" s="19">
        <f>$N12-Error!$B11</f>
        <v>-21151.282208465214</v>
      </c>
      <c r="Q12" s="19">
        <f>'Unit carbon footprint'!O13*Production!$B12/1000</f>
        <v>-5445.0819728749639</v>
      </c>
      <c r="R12" s="19">
        <f>$Q12+Error!$B11</f>
        <v>11282.910541643756</v>
      </c>
      <c r="S12" s="19">
        <f>$Q12-Error!$B11</f>
        <v>-22173.074487393682</v>
      </c>
    </row>
    <row r="13" spans="1:19" x14ac:dyDescent="0.3">
      <c r="A13">
        <v>2030</v>
      </c>
      <c r="B13" s="19">
        <f>'Unit carbon footprint'!J14*Production!$B13/1000</f>
        <v>8551.7594410989186</v>
      </c>
      <c r="C13" s="19">
        <f>$B13+Error!$B12</f>
        <v>25711.831026565749</v>
      </c>
      <c r="D13" s="19">
        <f>$B13-Error!$B12</f>
        <v>-8608.312144367912</v>
      </c>
      <c r="E13" s="19">
        <f>'Unit carbon footprint'!K14*Production!$B13/1000</f>
        <v>1912.6082516634021</v>
      </c>
      <c r="F13" s="19">
        <f>$E13+Error!$B12</f>
        <v>19072.679837130232</v>
      </c>
      <c r="G13" s="19">
        <f>$E13-Error!$B12</f>
        <v>-15247.463333803429</v>
      </c>
      <c r="H13" s="19">
        <f>'Unit carbon footprint'!L14*Production!$B13/1000</f>
        <v>-796.39582337866534</v>
      </c>
      <c r="I13" s="19">
        <f>$H13+Error!$B12</f>
        <v>16363.675762088165</v>
      </c>
      <c r="J13" s="19">
        <f>$H13-Error!$B12</f>
        <v>-17956.467408845496</v>
      </c>
      <c r="K13" s="19">
        <f>'Unit carbon footprint'!M14*Production!$B13/1000</f>
        <v>4867.2347080352483</v>
      </c>
      <c r="L13" s="19">
        <f>$K13+Error!$B12</f>
        <v>22027.306293502079</v>
      </c>
      <c r="M13" s="19">
        <f>$K13-Error!$B12</f>
        <v>-12292.836877431582</v>
      </c>
      <c r="N13" s="19">
        <f>'Unit carbon footprint'!N14*Production!$B13/1000</f>
        <v>-5597.6641381513718</v>
      </c>
      <c r="O13" s="19">
        <f>$N13+Error!$B12</f>
        <v>11562.407447315458</v>
      </c>
      <c r="P13" s="19">
        <f>$N13-Error!$B12</f>
        <v>-22757.735723618203</v>
      </c>
      <c r="Q13" s="19">
        <f>'Unit carbon footprint'!O14*Production!$B13/1000</f>
        <v>-6728.5575879915596</v>
      </c>
      <c r="R13" s="19">
        <f>$Q13+Error!$B12</f>
        <v>10431.513997475271</v>
      </c>
      <c r="S13" s="19">
        <f>$Q13-Error!$B12</f>
        <v>-23888.62917345839</v>
      </c>
    </row>
    <row r="14" spans="1:19" x14ac:dyDescent="0.3">
      <c r="A14">
        <v>2031</v>
      </c>
      <c r="B14" s="19">
        <f>'Unit carbon footprint'!J15*Production!$B14/1000</f>
        <v>8920.921839220875</v>
      </c>
      <c r="C14" s="19">
        <f>$B14+Error!$B13</f>
        <v>26244.772208276565</v>
      </c>
      <c r="D14" s="19">
        <f>$B14-Error!$B13</f>
        <v>-8402.928529834815</v>
      </c>
      <c r="E14" s="19">
        <f>'Unit carbon footprint'!K15*Production!$B14/1000</f>
        <v>1441.7234336691215</v>
      </c>
      <c r="F14" s="19">
        <f>$E14+Error!$B13</f>
        <v>18765.573802724812</v>
      </c>
      <c r="G14" s="19">
        <f>$E14-Error!$B13</f>
        <v>-15882.126935386568</v>
      </c>
      <c r="H14" s="19">
        <f>'Unit carbon footprint'!L15*Production!$B14/1000</f>
        <v>-1464.5780348086591</v>
      </c>
      <c r="I14" s="19">
        <f>$H14+Error!$B13</f>
        <v>15859.272334247031</v>
      </c>
      <c r="J14" s="19">
        <f>$H14-Error!$B13</f>
        <v>-18788.428403864349</v>
      </c>
      <c r="K14" s="19">
        <f>'Unit carbon footprint'!M15*Production!$B14/1000</f>
        <v>4800.4255198698311</v>
      </c>
      <c r="L14" s="19">
        <f>$K14+Error!$B13</f>
        <v>22124.27588892552</v>
      </c>
      <c r="M14" s="19">
        <f>$K14-Error!$B13</f>
        <v>-12523.42484918586</v>
      </c>
      <c r="N14" s="19">
        <f>'Unit carbon footprint'!N15*Production!$B14/1000</f>
        <v>-6770.5485010538168</v>
      </c>
      <c r="O14" s="19">
        <f>$N14+Error!$B13</f>
        <v>10553.301868001872</v>
      </c>
      <c r="P14" s="19">
        <f>$N14-Error!$B13</f>
        <v>-24094.398870109508</v>
      </c>
      <c r="Q14" s="19">
        <f>'Unit carbon footprint'!O15*Production!$B14/1000</f>
        <v>-8005.2388523364998</v>
      </c>
      <c r="R14" s="19">
        <f>$Q14+Error!$B13</f>
        <v>9318.6115167191892</v>
      </c>
      <c r="S14" s="19">
        <f>$Q14-Error!$B13</f>
        <v>-25329.089221392191</v>
      </c>
    </row>
    <row r="15" spans="1:19" x14ac:dyDescent="0.3">
      <c r="A15">
        <v>2032</v>
      </c>
      <c r="B15" s="19">
        <f>'Unit carbon footprint'!J16*Production!$B15/1000</f>
        <v>9273.6129817806832</v>
      </c>
      <c r="C15" s="19">
        <f>$B15+Error!$B14</f>
        <v>26761.242134425233</v>
      </c>
      <c r="D15" s="19">
        <f>$B15-Error!$B14</f>
        <v>-8214.0161708638661</v>
      </c>
      <c r="E15" s="19">
        <f>'Unit carbon footprint'!K16*Production!$B15/1000</f>
        <v>944.81553249091894</v>
      </c>
      <c r="F15" s="19">
        <f>$E15+Error!$B14</f>
        <v>18432.44468513547</v>
      </c>
      <c r="G15" s="19">
        <f>$E15-Error!$B14</f>
        <v>-16542.813620153629</v>
      </c>
      <c r="H15" s="19">
        <f>'Unit carbon footprint'!L16*Production!$B15/1000</f>
        <v>-2135.0134865091322</v>
      </c>
      <c r="I15" s="19">
        <f>$H15+Error!$B14</f>
        <v>15352.615666135418</v>
      </c>
      <c r="J15" s="19">
        <f>$H15-Error!$B14</f>
        <v>-19622.642639153681</v>
      </c>
      <c r="K15" s="19">
        <f>'Unit carbon footprint'!M16*Production!$B15/1000</f>
        <v>4717.6136517510895</v>
      </c>
      <c r="L15" s="19">
        <f>$K15+Error!$B14</f>
        <v>22205.242804395639</v>
      </c>
      <c r="M15" s="19">
        <f>$K15-Error!$B14</f>
        <v>-12770.01550089346</v>
      </c>
      <c r="N15" s="19">
        <f>'Unit carbon footprint'!N16*Production!$B15/1000</f>
        <v>-7933.707186828944</v>
      </c>
      <c r="O15" s="19">
        <f>$N15+Error!$B14</f>
        <v>9553.9219658156053</v>
      </c>
      <c r="P15" s="19">
        <f>$N15-Error!$B14</f>
        <v>-25421.336339473492</v>
      </c>
      <c r="Q15" s="19">
        <f>'Unit carbon footprint'!O16*Production!$B15/1000</f>
        <v>-9266.3710687530274</v>
      </c>
      <c r="R15" s="19">
        <f>$Q15+Error!$B14</f>
        <v>8221.2580838915219</v>
      </c>
      <c r="S15" s="19">
        <f>$Q15-Error!$B14</f>
        <v>-26754.000221397575</v>
      </c>
    </row>
    <row r="16" spans="1:19" x14ac:dyDescent="0.3">
      <c r="A16">
        <v>2033</v>
      </c>
      <c r="B16" s="19">
        <f>'Unit carbon footprint'!J17*Production!$B16/1000</f>
        <v>9610.7243093119814</v>
      </c>
      <c r="C16" s="19">
        <f>$B16+Error!$B15</f>
        <v>27262.132245545399</v>
      </c>
      <c r="D16" s="19">
        <f>$B16-Error!$B15</f>
        <v>-8040.6836269214382</v>
      </c>
      <c r="E16" s="19">
        <f>'Unit carbon footprint'!K17*Production!$B16/1000</f>
        <v>426.30677403092835</v>
      </c>
      <c r="F16" s="19">
        <f>$E16+Error!$B15</f>
        <v>18077.714710264347</v>
      </c>
      <c r="G16" s="19">
        <f>$E16-Error!$B15</f>
        <v>-17225.101162202493</v>
      </c>
      <c r="H16" s="19">
        <f>'Unit carbon footprint'!L17*Production!$B16/1000</f>
        <v>-2802.8654107548523</v>
      </c>
      <c r="I16" s="19">
        <f>$H16+Error!$B15</f>
        <v>14848.542525478568</v>
      </c>
      <c r="J16" s="19">
        <f>$H16-Error!$B15</f>
        <v>-20454.273346988273</v>
      </c>
      <c r="K16" s="19">
        <f>'Unit carbon footprint'!M17*Production!$B16/1000</f>
        <v>4621.43295641432</v>
      </c>
      <c r="L16" s="19">
        <f>$K16+Error!$B15</f>
        <v>22272.840892647739</v>
      </c>
      <c r="M16" s="19">
        <f>$K16-Error!$B15</f>
        <v>-13029.974979819101</v>
      </c>
      <c r="N16" s="19">
        <f>'Unit carbon footprint'!N17*Production!$B16/1000</f>
        <v>-9080.612581120884</v>
      </c>
      <c r="O16" s="19">
        <f>$N16+Error!$B15</f>
        <v>8570.7953551125356</v>
      </c>
      <c r="P16" s="19">
        <f>$N16-Error!$B15</f>
        <v>-26732.020517354304</v>
      </c>
      <c r="Q16" s="19">
        <f>'Unit carbon footprint'!O17*Production!$B16/1000</f>
        <v>-10505.100798814146</v>
      </c>
      <c r="R16" s="19">
        <f>$Q16+Error!$B15</f>
        <v>7146.3071374192732</v>
      </c>
      <c r="S16" s="19">
        <f>$Q16-Error!$B15</f>
        <v>-28156.508735047566</v>
      </c>
    </row>
    <row r="17" spans="1:19" x14ac:dyDescent="0.3">
      <c r="A17">
        <v>2034</v>
      </c>
      <c r="B17" s="19">
        <f>'Unit carbon footprint'!J18*Production!$B17/1000</f>
        <v>9933.3732765537225</v>
      </c>
      <c r="C17" s="19">
        <f>$B17+Error!$B16</f>
        <v>27748.559996376003</v>
      </c>
      <c r="D17" s="19">
        <f>$B17-Error!$B16</f>
        <v>-7881.8134432685565</v>
      </c>
      <c r="E17" s="19">
        <f>'Unit carbon footprint'!K18*Production!$B17/1000</f>
        <v>-109.88111117666006</v>
      </c>
      <c r="F17" s="19">
        <f>$E17+Error!$B16</f>
        <v>17705.30560864562</v>
      </c>
      <c r="G17" s="19">
        <f>$E17-Error!$B16</f>
        <v>-17925.067830998938</v>
      </c>
      <c r="H17" s="19">
        <f>'Unit carbon footprint'!L18*Production!$B17/1000</f>
        <v>-3464.2386507124725</v>
      </c>
      <c r="I17" s="19">
        <f>$H17+Error!$B16</f>
        <v>14350.948069109807</v>
      </c>
      <c r="J17" s="19">
        <f>$H17-Error!$B16</f>
        <v>-21279.425370534751</v>
      </c>
      <c r="K17" s="19">
        <f>'Unit carbon footprint'!M18*Production!$B17/1000</f>
        <v>4514.3074439706897</v>
      </c>
      <c r="L17" s="19">
        <f>$K17+Error!$B16</f>
        <v>22329.49416379297</v>
      </c>
      <c r="M17" s="19">
        <f>$K17-Error!$B16</f>
        <v>-13300.879275851588</v>
      </c>
      <c r="N17" s="19">
        <f>'Unit carbon footprint'!N18*Production!$B17/1000</f>
        <v>-10206.289072237923</v>
      </c>
      <c r="O17" s="19">
        <f>$N17+Error!$B16</f>
        <v>7608.8976475843556</v>
      </c>
      <c r="P17" s="19">
        <f>$N17-Error!$B16</f>
        <v>-28021.475792060202</v>
      </c>
      <c r="Q17" s="19">
        <f>'Unit carbon footprint'!O18*Production!$B17/1000</f>
        <v>-11716.287200756311</v>
      </c>
      <c r="R17" s="19">
        <f>$Q17+Error!$B16</f>
        <v>6098.899519065968</v>
      </c>
      <c r="S17" s="19">
        <f>$Q17-Error!$B16</f>
        <v>-29531.473920578588</v>
      </c>
    </row>
    <row r="18" spans="1:19" x14ac:dyDescent="0.3">
      <c r="A18">
        <v>2035</v>
      </c>
      <c r="B18" s="19">
        <f>'Unit carbon footprint'!J19*Production!$B18/1000</f>
        <v>10242.810415015925</v>
      </c>
      <c r="C18" s="19">
        <f>$B18+Error!$B17</f>
        <v>28221.775918427062</v>
      </c>
      <c r="D18" s="19">
        <f>$B18-Error!$B17</f>
        <v>-7736.1550883952132</v>
      </c>
      <c r="E18" s="19">
        <f>'Unit carbon footprint'!K19*Production!$B18/1000</f>
        <v>-660.3411419689952</v>
      </c>
      <c r="F18" s="19">
        <f>$E18+Error!$B17</f>
        <v>17318.624361442144</v>
      </c>
      <c r="G18" s="19">
        <f>$E18-Error!$B17</f>
        <v>-18639.306645380133</v>
      </c>
      <c r="H18" s="19">
        <f>'Unit carbon footprint'!L19*Production!$B18/1000</f>
        <v>-4116.0911772633799</v>
      </c>
      <c r="I18" s="19">
        <f>$H18+Error!$B17</f>
        <v>13862.874326147758</v>
      </c>
      <c r="J18" s="19">
        <f>$H18-Error!$B17</f>
        <v>-22095.056680674519</v>
      </c>
      <c r="K18" s="19">
        <f>'Unit carbon footprint'!M19*Production!$B18/1000</f>
        <v>4398.416979258338</v>
      </c>
      <c r="L18" s="19">
        <f>$K18+Error!$B17</f>
        <v>22377.382482669476</v>
      </c>
      <c r="M18" s="19">
        <f>$K18-Error!$B17</f>
        <v>-13580.5485241528</v>
      </c>
      <c r="N18" s="19">
        <f>'Unit carbon footprint'!N19*Production!$B18/1000</f>
        <v>-11307.118053238733</v>
      </c>
      <c r="O18" s="19">
        <f>$N18+Error!$B17</f>
        <v>6671.8474501724049</v>
      </c>
      <c r="P18" s="19">
        <f>$N18-Error!$B17</f>
        <v>-29286.083556649872</v>
      </c>
      <c r="Q18" s="19">
        <f>'Unit carbon footprint'!O19*Production!$B18/1000</f>
        <v>-12896.27478267786</v>
      </c>
      <c r="R18" s="19">
        <f>$Q18+Error!$B17</f>
        <v>5082.6907207332788</v>
      </c>
      <c r="S18" s="19">
        <f>$Q18-Error!$B17</f>
        <v>-30875.240286089</v>
      </c>
    </row>
    <row r="19" spans="1:19" x14ac:dyDescent="0.3">
      <c r="A19">
        <v>2036</v>
      </c>
      <c r="B19" s="19">
        <f>'Unit carbon footprint'!J20*Production!$B19/1000</f>
        <v>10540.345043801444</v>
      </c>
      <c r="C19" s="19">
        <f>$B19+Error!$B18</f>
        <v>28532.817442497115</v>
      </c>
      <c r="D19" s="19">
        <f>$B19-Error!$B18</f>
        <v>-7452.1273548942263</v>
      </c>
      <c r="E19" s="19">
        <f>'Unit carbon footprint'!K20*Production!$B19/1000</f>
        <v>-1222.1657711319581</v>
      </c>
      <c r="F19" s="19">
        <f>$E19+Error!$B18</f>
        <v>16770.306627563714</v>
      </c>
      <c r="G19" s="19">
        <f>$E19-Error!$B18</f>
        <v>-19214.638169827627</v>
      </c>
      <c r="H19" s="19">
        <f>'Unit carbon footprint'!L20*Production!$B19/1000</f>
        <v>-4756.127809428699</v>
      </c>
      <c r="I19" s="19">
        <f>$H19+Error!$B18</f>
        <v>13236.344589266972</v>
      </c>
      <c r="J19" s="19">
        <f>$H19-Error!$B18</f>
        <v>-22748.600208124371</v>
      </c>
      <c r="K19" s="19">
        <f>'Unit carbon footprint'!M20*Production!$B19/1000</f>
        <v>4275.6843259993211</v>
      </c>
      <c r="L19" s="19">
        <f>$K19+Error!$B18</f>
        <v>22268.156724694993</v>
      </c>
      <c r="M19" s="19">
        <f>$K19-Error!$B18</f>
        <v>-13716.788072696349</v>
      </c>
      <c r="N19" s="19">
        <f>'Unit carbon footprint'!N20*Production!$B19/1000</f>
        <v>-12380.629354977571</v>
      </c>
      <c r="O19" s="19">
        <f>$N19+Error!$B18</f>
        <v>5611.8430437180996</v>
      </c>
      <c r="P19" s="19">
        <f>$N19-Error!$B18</f>
        <v>-30373.10175367324</v>
      </c>
      <c r="Q19" s="19">
        <f>'Unit carbon footprint'!O20*Production!$B19/1000</f>
        <v>-14042.655125080362</v>
      </c>
      <c r="R19" s="19">
        <f>$Q19+Error!$B18</f>
        <v>3949.8172736153083</v>
      </c>
      <c r="S19" s="19">
        <f>$Q19-Error!$B18</f>
        <v>-32035.127523776035</v>
      </c>
    </row>
    <row r="20" spans="1:19" x14ac:dyDescent="0.3">
      <c r="A20">
        <v>2037</v>
      </c>
      <c r="B20" s="19">
        <f>'Unit carbon footprint'!J21*Production!$B20/1000</f>
        <v>10827.288763535214</v>
      </c>
      <c r="C20" s="19">
        <f>$B20+Error!$B19</f>
        <v>28833.268057515415</v>
      </c>
      <c r="D20" s="19">
        <f>$B20-Error!$B19</f>
        <v>-7178.6905304449847</v>
      </c>
      <c r="E20" s="19">
        <f>'Unit carbon footprint'!K21*Production!$B20/1000</f>
        <v>-1792.9122351723656</v>
      </c>
      <c r="F20" s="19">
        <f>$E20+Error!$B19</f>
        <v>16213.067058807834</v>
      </c>
      <c r="G20" s="19">
        <f>$E20-Error!$B19</f>
        <v>-19798.891529152566</v>
      </c>
      <c r="H20" s="19">
        <f>'Unit carbon footprint'!L21*Production!$B20/1000</f>
        <v>-5382.6886617366717</v>
      </c>
      <c r="I20" s="19">
        <f>$H20+Error!$B19</f>
        <v>12623.290632243526</v>
      </c>
      <c r="J20" s="19">
        <f>$H20-Error!$B19</f>
        <v>-23388.667955716872</v>
      </c>
      <c r="K20" s="19">
        <f>'Unit carbon footprint'!M21*Production!$B20/1000</f>
        <v>4147.7777707692831</v>
      </c>
      <c r="L20" s="19">
        <f>$K20+Error!$B19</f>
        <v>22153.757064749483</v>
      </c>
      <c r="M20" s="19">
        <f>$K20-Error!$B19</f>
        <v>-13858.201523210915</v>
      </c>
      <c r="N20" s="19">
        <f>'Unit carbon footprint'!N21*Production!$B20/1000</f>
        <v>-13425.297058281589</v>
      </c>
      <c r="O20" s="19">
        <f>$N20+Error!$B19</f>
        <v>4580.6822356986104</v>
      </c>
      <c r="P20" s="19">
        <f>$N20-Error!$B19</f>
        <v>-31431.27635226179</v>
      </c>
      <c r="Q20" s="19">
        <f>'Unit carbon footprint'!O21*Production!$B20/1000</f>
        <v>-15154.036683121145</v>
      </c>
      <c r="R20" s="19">
        <f>$Q20+Error!$B19</f>
        <v>2851.9426108590542</v>
      </c>
      <c r="S20" s="19">
        <f>$Q20-Error!$B19</f>
        <v>-33160.015977101342</v>
      </c>
    </row>
    <row r="21" spans="1:19" x14ac:dyDescent="0.3">
      <c r="A21">
        <v>2038</v>
      </c>
      <c r="B21" s="19">
        <f>'Unit carbon footprint'!J22*Production!$B21/1000</f>
        <v>11104.914689004983</v>
      </c>
      <c r="C21" s="19">
        <f>$B21+Error!$B20</f>
        <v>29124.400878269713</v>
      </c>
      <c r="D21" s="19">
        <f>$B21-Error!$B20</f>
        <v>-6914.5715002597481</v>
      </c>
      <c r="E21" s="19">
        <f>'Unit carbon footprint'!K22*Production!$B21/1000</f>
        <v>-2370.5568591701613</v>
      </c>
      <c r="F21" s="19">
        <f>$E21+Error!$B20</f>
        <v>15648.92933009457</v>
      </c>
      <c r="G21" s="19">
        <f>$E21-Error!$B20</f>
        <v>-20390.043048434891</v>
      </c>
      <c r="H21" s="19">
        <f>'Unit carbon footprint'!L22*Production!$B21/1000</f>
        <v>-5994.6409328236141</v>
      </c>
      <c r="I21" s="19">
        <f>$H21+Error!$B20</f>
        <v>12024.845256441116</v>
      </c>
      <c r="J21" s="19">
        <f>$H21-Error!$B20</f>
        <v>-24014.127122088346</v>
      </c>
      <c r="K21" s="19">
        <f>'Unit carbon footprint'!M22*Production!$B21/1000</f>
        <v>4016.1242657926155</v>
      </c>
      <c r="L21" s="19">
        <f>$K21+Error!$B20</f>
        <v>22035.610455057347</v>
      </c>
      <c r="M21" s="19">
        <f>$K21-Error!$B20</f>
        <v>-14003.361923472115</v>
      </c>
      <c r="N21" s="19">
        <f>'Unit carbon footprint'!N22*Production!$B21/1000</f>
        <v>-14440.351039362327</v>
      </c>
      <c r="O21" s="19">
        <f>$N21+Error!$B20</f>
        <v>3579.135149902404</v>
      </c>
      <c r="P21" s="19">
        <f>$N21-Error!$B20</f>
        <v>-32459.837228627061</v>
      </c>
      <c r="Q21" s="19">
        <f>'Unit carbon footprint'!O22*Production!$B21/1000</f>
        <v>-16229.834473615545</v>
      </c>
      <c r="R21" s="19">
        <f>$Q21+Error!$B20</f>
        <v>1789.6517156491864</v>
      </c>
      <c r="S21" s="19">
        <f>$Q21-Error!$B20</f>
        <v>-34249.320662880273</v>
      </c>
    </row>
    <row r="22" spans="1:19" x14ac:dyDescent="0.3">
      <c r="A22">
        <v>2039</v>
      </c>
      <c r="B22" s="19">
        <f>'Unit carbon footprint'!J23*Production!$B22/1000</f>
        <v>11374.429852907617</v>
      </c>
      <c r="C22" s="19">
        <f>$B22+Error!$B21</f>
        <v>29407.422937456868</v>
      </c>
      <c r="D22" s="19">
        <f>$B22-Error!$B21</f>
        <v>-6658.5632316416322</v>
      </c>
      <c r="E22" s="19">
        <f>'Unit carbon footprint'!K23*Production!$B22/1000</f>
        <v>-2953.4445654435135</v>
      </c>
      <c r="F22" s="19">
        <f>$E22+Error!$B21</f>
        <v>15079.548519105736</v>
      </c>
      <c r="G22" s="19">
        <f>$E22-Error!$B21</f>
        <v>-20986.437649992764</v>
      </c>
      <c r="H22" s="19">
        <f>'Unit carbon footprint'!L23*Production!$B22/1000</f>
        <v>-6591.279361558898</v>
      </c>
      <c r="I22" s="19">
        <f>$H22+Error!$B21</f>
        <v>11441.713722990351</v>
      </c>
      <c r="J22" s="19">
        <f>$H22-Error!$B21</f>
        <v>-24624.272446108145</v>
      </c>
      <c r="K22" s="19">
        <f>'Unit carbon footprint'!M23*Production!$B22/1000</f>
        <v>3881.928977498545</v>
      </c>
      <c r="L22" s="19">
        <f>$K22+Error!$B21</f>
        <v>21914.922062047794</v>
      </c>
      <c r="M22" s="19">
        <f>$K22-Error!$B21</f>
        <v>-14151.064107050704</v>
      </c>
      <c r="N22" s="19">
        <f>'Unit carbon footprint'!N23*Production!$B22/1000</f>
        <v>-15425.61037698462</v>
      </c>
      <c r="O22" s="19">
        <f>$N22+Error!$B21</f>
        <v>2607.3827075646295</v>
      </c>
      <c r="P22" s="19">
        <f>$N22-Error!$B21</f>
        <v>-33458.603461533872</v>
      </c>
      <c r="Q22" s="19">
        <f>'Unit carbon footprint'!O23*Production!$B22/1000</f>
        <v>-17270.085740895782</v>
      </c>
      <c r="R22" s="19">
        <f>$Q22+Error!$B21</f>
        <v>762.90734365346725</v>
      </c>
      <c r="S22" s="19">
        <f>$Q22-Error!$B21</f>
        <v>-35303.078825445031</v>
      </c>
    </row>
    <row r="23" spans="1:19" x14ac:dyDescent="0.3">
      <c r="A23">
        <v>2040</v>
      </c>
      <c r="B23" s="19">
        <f>'Unit carbon footprint'!J24*Production!$B23/1000</f>
        <v>11636.958136715986</v>
      </c>
      <c r="C23" s="19">
        <f>$B23+Error!$B22</f>
        <v>29683.458116549766</v>
      </c>
      <c r="D23" s="19">
        <f>$B23-Error!$B22</f>
        <v>-6409.541843117795</v>
      </c>
      <c r="E23" s="19">
        <f>'Unit carbon footprint'!K24*Production!$B23/1000</f>
        <v>-3540.2379811878113</v>
      </c>
      <c r="F23" s="19">
        <f>$E23+Error!$B22</f>
        <v>14506.26199864597</v>
      </c>
      <c r="G23" s="19">
        <f>$E23-Error!$B22</f>
        <v>-21586.737961021594</v>
      </c>
      <c r="H23" s="19">
        <f>'Unit carbon footprint'!L24*Production!$B23/1000</f>
        <v>-7172.2381457216816</v>
      </c>
      <c r="I23" s="19">
        <f>$H23+Error!$B22</f>
        <v>10874.2618341121</v>
      </c>
      <c r="J23" s="19">
        <f>$H23-Error!$B22</f>
        <v>-25218.738125555465</v>
      </c>
      <c r="K23" s="19">
        <f>'Unit carbon footprint'!M24*Production!$B23/1000</f>
        <v>3746.1981040998658</v>
      </c>
      <c r="L23" s="19">
        <f>$K23+Error!$B22</f>
        <v>21792.698083933647</v>
      </c>
      <c r="M23" s="19">
        <f>$K23-Error!$B22</f>
        <v>-14300.301875733916</v>
      </c>
      <c r="N23" s="19">
        <f>'Unit carbon footprint'!N24*Production!$B23/1000</f>
        <v>-16381.340950433349</v>
      </c>
      <c r="O23" s="19">
        <f>$N23+Error!$B22</f>
        <v>1665.1590294004327</v>
      </c>
      <c r="P23" s="19">
        <f>$N23-Error!$B22</f>
        <v>-34427.840930267128</v>
      </c>
      <c r="Q23" s="19">
        <f>'Unit carbon footprint'!O24*Production!$B23/1000</f>
        <v>-18275.293601110912</v>
      </c>
      <c r="R23" s="19">
        <f>$Q23+Error!$B22</f>
        <v>-228.79362127713102</v>
      </c>
      <c r="S23" s="19">
        <f>$Q23-Error!$B22</f>
        <v>-36321.793580944694</v>
      </c>
    </row>
    <row r="24" spans="1:19" x14ac:dyDescent="0.3">
      <c r="A24">
        <v>2041</v>
      </c>
      <c r="B24" s="19">
        <f>'Unit carbon footprint'!J25*Production!$B24/1000</f>
        <v>11893.531277313477</v>
      </c>
      <c r="C24" s="19">
        <f>$B24+Error!$B23</f>
        <v>29870.883942127381</v>
      </c>
      <c r="D24" s="19">
        <f>$B24-Error!$B23</f>
        <v>-6083.821387500424</v>
      </c>
      <c r="E24" s="19">
        <f>'Unit carbon footprint'!K25*Production!$B24/1000</f>
        <v>-4129.8690058376224</v>
      </c>
      <c r="F24" s="19">
        <f>$E24+Error!$B23</f>
        <v>13847.483658976278</v>
      </c>
      <c r="G24" s="19">
        <f>$E24-Error!$B23</f>
        <v>-22107.221670651525</v>
      </c>
      <c r="H24" s="19">
        <f>'Unit carbon footprint'!L25*Production!$B24/1000</f>
        <v>-7737.415314338783</v>
      </c>
      <c r="I24" s="19">
        <f>$H24+Error!$B23</f>
        <v>10239.937350475118</v>
      </c>
      <c r="J24" s="19">
        <f>$H24-Error!$B23</f>
        <v>-25714.767979152683</v>
      </c>
      <c r="K24" s="19">
        <f>'Unit carbon footprint'!M25*Production!$B24/1000</f>
        <v>3609.7627078378387</v>
      </c>
      <c r="L24" s="19">
        <f>$K24+Error!$B23</f>
        <v>21587.11537265174</v>
      </c>
      <c r="M24" s="19">
        <f>$K24-Error!$B23</f>
        <v>-14367.589956976062</v>
      </c>
      <c r="N24" s="19">
        <f>'Unit carbon footprint'!N25*Production!$B24/1000</f>
        <v>-17308.137018667931</v>
      </c>
      <c r="O24" s="19">
        <f>$N24+Error!$B23</f>
        <v>669.21564614597082</v>
      </c>
      <c r="P24" s="19">
        <f>$N24-Error!$B23</f>
        <v>-35285.489683481836</v>
      </c>
      <c r="Q24" s="19">
        <f>'Unit carbon footprint'!O25*Production!$B24/1000</f>
        <v>-19246.297975112961</v>
      </c>
      <c r="R24" s="19">
        <f>$Q24+Error!$B23</f>
        <v>-1268.9453102990592</v>
      </c>
      <c r="S24" s="19">
        <f>$Q24-Error!$B23</f>
        <v>-37223.650639926862</v>
      </c>
    </row>
    <row r="25" spans="1:19" x14ac:dyDescent="0.3">
      <c r="A25">
        <v>2042</v>
      </c>
      <c r="B25" s="19">
        <f>'Unit carbon footprint'!J26*Production!$B25/1000</f>
        <v>12145.085826298891</v>
      </c>
      <c r="C25" s="19">
        <f>$B25+Error!$B24</f>
        <v>30053.29117609292</v>
      </c>
      <c r="D25" s="19">
        <f>$B25-Error!$B24</f>
        <v>-5763.1195234951374</v>
      </c>
      <c r="E25" s="19">
        <f>'Unit carbon footprint'!K26*Production!$B25/1000</f>
        <v>-4721.494514462428</v>
      </c>
      <c r="F25" s="19">
        <f>$E25+Error!$B24</f>
        <v>13186.7108353316</v>
      </c>
      <c r="G25" s="19">
        <f>$E25-Error!$B24</f>
        <v>-22629.699864256458</v>
      </c>
      <c r="H25" s="19">
        <f>'Unit carbon footprint'!L26*Production!$B25/1000</f>
        <v>-8286.9093566947831</v>
      </c>
      <c r="I25" s="19">
        <f>$H25+Error!$B24</f>
        <v>9621.2959930992456</v>
      </c>
      <c r="J25" s="19">
        <f>$H25-Error!$B24</f>
        <v>-26195.114706488814</v>
      </c>
      <c r="K25" s="19">
        <f>'Unit carbon footprint'!M26*Production!$B25/1000</f>
        <v>3473.3020407572508</v>
      </c>
      <c r="L25" s="19">
        <f>$K25+Error!$B24</f>
        <v>21381.50739055128</v>
      </c>
      <c r="M25" s="19">
        <f>$K25-Error!$B24</f>
        <v>-14434.903309036778</v>
      </c>
      <c r="N25" s="19">
        <f>'Unit carbon footprint'!N26*Production!$B25/1000</f>
        <v>-18206.825036819908</v>
      </c>
      <c r="O25" s="19">
        <f>$N25+Error!$B24</f>
        <v>-298.6196870258791</v>
      </c>
      <c r="P25" s="19">
        <f>$N25-Error!$B24</f>
        <v>-36115.030386613937</v>
      </c>
      <c r="Q25" s="19">
        <f>'Unit carbon footprint'!O26*Production!$B25/1000</f>
        <v>-20184.171534978454</v>
      </c>
      <c r="R25" s="19">
        <f>$Q25+Error!$B24</f>
        <v>-2275.9661851844248</v>
      </c>
      <c r="S25" s="19">
        <f>$Q25-Error!$B24</f>
        <v>-38092.376884772486</v>
      </c>
    </row>
    <row r="26" spans="1:19" x14ac:dyDescent="0.3">
      <c r="A26">
        <v>2043</v>
      </c>
      <c r="B26" s="19">
        <f>'Unit carbon footprint'!J27*Production!$B26/1000</f>
        <v>12392.464312474236</v>
      </c>
      <c r="C26" s="19">
        <f>$B26+Error!$B25</f>
        <v>30231.522347248385</v>
      </c>
      <c r="D26" s="19">
        <f>$B26-Error!$B25</f>
        <v>-5446.5937222999128</v>
      </c>
      <c r="E26" s="19">
        <f>'Unit carbon footprint'!K27*Production!$B26/1000</f>
        <v>-5314.4570125380078</v>
      </c>
      <c r="F26" s="19">
        <f>$E26+Error!$B25</f>
        <v>12524.60102223614</v>
      </c>
      <c r="G26" s="19">
        <f>$E26-Error!$B25</f>
        <v>-23153.515047312158</v>
      </c>
      <c r="H26" s="19">
        <f>'Unit carbon footprint'!L27*Production!$B26/1000</f>
        <v>-8820.9672008743419</v>
      </c>
      <c r="I26" s="19">
        <f>$H26+Error!$B25</f>
        <v>9018.090833899807</v>
      </c>
      <c r="J26" s="19">
        <f>$H26-Error!$B25</f>
        <v>-26660.025235648493</v>
      </c>
      <c r="K26" s="19">
        <f>'Unit carbon footprint'!M27*Production!$B26/1000</f>
        <v>3337.3654150623165</v>
      </c>
      <c r="L26" s="19">
        <f>$K26+Error!$B25</f>
        <v>21176.423449836464</v>
      </c>
      <c r="M26" s="19">
        <f>$K26-Error!$B25</f>
        <v>-14501.692619711832</v>
      </c>
      <c r="N26" s="19">
        <f>'Unit carbon footprint'!N27*Production!$B26/1000</f>
        <v>-19078.387170484864</v>
      </c>
      <c r="O26" s="19">
        <f>$N26+Error!$B25</f>
        <v>-1239.3291357107155</v>
      </c>
      <c r="P26" s="19">
        <f>$N26-Error!$B25</f>
        <v>-36917.445205259013</v>
      </c>
      <c r="Q26" s="19">
        <f>'Unit carbon footprint'!O27*Production!$B26/1000</f>
        <v>-21090.137605765925</v>
      </c>
      <c r="R26" s="19">
        <f>$Q26+Error!$B25</f>
        <v>-3251.0795709917766</v>
      </c>
      <c r="S26" s="19">
        <f>$Q26-Error!$B25</f>
        <v>-38929.195640540071</v>
      </c>
    </row>
    <row r="27" spans="1:19" x14ac:dyDescent="0.3">
      <c r="A27">
        <v>2044</v>
      </c>
      <c r="B27" s="19">
        <f>'Unit carbon footprint'!J28*Production!$B27/1000</f>
        <v>12636.419221983337</v>
      </c>
      <c r="C27" s="19">
        <f>$B27+Error!$B26</f>
        <v>30406.329941737604</v>
      </c>
      <c r="D27" s="19">
        <f>$B27-Error!$B26</f>
        <v>-5133.4914977709323</v>
      </c>
      <c r="E27" s="19">
        <f>'Unit carbon footprint'!K28*Production!$B27/1000</f>
        <v>-5908.25046725637</v>
      </c>
      <c r="F27" s="19">
        <f>$E27+Error!$B26</f>
        <v>11861.660252497899</v>
      </c>
      <c r="G27" s="19">
        <f>$E27-Error!$B26</f>
        <v>-23678.161187010639</v>
      </c>
      <c r="H27" s="19">
        <f>'Unit carbon footprint'!L28*Production!$B27/1000</f>
        <v>-9339.9422703451201</v>
      </c>
      <c r="I27" s="19">
        <f>$H27+Error!$B26</f>
        <v>8429.9684494091489</v>
      </c>
      <c r="J27" s="19">
        <f>$H27-Error!$B26</f>
        <v>-27109.852990099389</v>
      </c>
      <c r="K27" s="19">
        <f>'Unit carbon footprint'!M28*Production!$B27/1000</f>
        <v>3202.3920926936762</v>
      </c>
      <c r="L27" s="19">
        <f>$K27+Error!$B26</f>
        <v>20972.302812447946</v>
      </c>
      <c r="M27" s="19">
        <f>$K27-Error!$B26</f>
        <v>-14567.518627060592</v>
      </c>
      <c r="N27" s="19">
        <f>'Unit carbon footprint'!N28*Production!$B27/1000</f>
        <v>-19923.901677813195</v>
      </c>
      <c r="O27" s="19">
        <f>$N27+Error!$B26</f>
        <v>-2153.9909580589265</v>
      </c>
      <c r="P27" s="19">
        <f>$N27-Error!$B26</f>
        <v>-37693.812397567468</v>
      </c>
      <c r="Q27" s="19">
        <f>'Unit carbon footprint'!O28*Production!$B27/1000</f>
        <v>-21965.506721350328</v>
      </c>
      <c r="R27" s="19">
        <f>$Q27+Error!$B26</f>
        <v>-4195.5960015960591</v>
      </c>
      <c r="S27" s="19">
        <f>$Q27-Error!$B26</f>
        <v>-39735.417441104597</v>
      </c>
    </row>
    <row r="28" spans="1:19" x14ac:dyDescent="0.3">
      <c r="A28">
        <v>2045</v>
      </c>
      <c r="B28" s="19">
        <f>'Unit carbon footprint'!J29*Production!$B28/1000</f>
        <v>12877.618735647429</v>
      </c>
      <c r="C28" s="19">
        <f>$B28+Error!$B27</f>
        <v>30578.382140381829</v>
      </c>
      <c r="D28" s="19">
        <f>$B28-Error!$B27</f>
        <v>-4823.1446690869707</v>
      </c>
      <c r="E28" s="19">
        <f>'Unit carbon footprint'!K29*Production!$B28/1000</f>
        <v>-6502.491161858713</v>
      </c>
      <c r="F28" s="19">
        <f>$E28+Error!$B27</f>
        <v>11198.272242875686</v>
      </c>
      <c r="G28" s="19">
        <f>$E28-Error!$B27</f>
        <v>-24203.254566593114</v>
      </c>
      <c r="H28" s="19">
        <f>'Unit carbon footprint'!L29*Production!$B28/1000</f>
        <v>-9844.2612171004257</v>
      </c>
      <c r="I28" s="19">
        <f>$H28+Error!$B27</f>
        <v>7856.5021876339742</v>
      </c>
      <c r="J28" s="19">
        <f>$H28-Error!$B27</f>
        <v>-27545.024621834826</v>
      </c>
      <c r="K28" s="19">
        <f>'Unit carbon footprint'!M29*Production!$B28/1000</f>
        <v>3068.7289672148117</v>
      </c>
      <c r="L28" s="19">
        <f>$K28+Error!$B27</f>
        <v>20769.492371949211</v>
      </c>
      <c r="M28" s="19">
        <f>$K28-Error!$B27</f>
        <v>-14632.034437519589</v>
      </c>
      <c r="N28" s="19">
        <f>'Unit carbon footprint'!N29*Production!$B28/1000</f>
        <v>-20744.497359261488</v>
      </c>
      <c r="O28" s="19">
        <f>$N28+Error!$B27</f>
        <v>-3043.7339545270879</v>
      </c>
      <c r="P28" s="19">
        <f>$N28-Error!$B27</f>
        <v>-38445.260763995888</v>
      </c>
      <c r="Q28" s="19">
        <f>'Unit carbon footprint'!O29*Production!$B28/1000</f>
        <v>-22811.628626941219</v>
      </c>
      <c r="R28" s="19">
        <f>$Q28+Error!$B27</f>
        <v>-5110.8652222068195</v>
      </c>
      <c r="S28" s="19">
        <f>$Q28-Error!$B27</f>
        <v>-40512.392031675619</v>
      </c>
    </row>
    <row r="29" spans="1:19" x14ac:dyDescent="0.3">
      <c r="A29">
        <v>2046</v>
      </c>
      <c r="B29" s="19">
        <f>'Unit carbon footprint'!J30*Production!$B29/1000</f>
        <v>13116.653437226152</v>
      </c>
      <c r="C29" s="19">
        <f>$B29+Error!$B28</f>
        <v>30734.803815522024</v>
      </c>
      <c r="D29" s="19">
        <f>$B29-Error!$B28</f>
        <v>-4501.4969410697195</v>
      </c>
      <c r="E29" s="19">
        <f>'Unit carbon footprint'!K30*Production!$B29/1000</f>
        <v>-7096.8931971049706</v>
      </c>
      <c r="F29" s="19">
        <f>$E29+Error!$B28</f>
        <v>10521.2571811909</v>
      </c>
      <c r="G29" s="19">
        <f>$E29-Error!$B28</f>
        <v>-24715.043575400843</v>
      </c>
      <c r="H29" s="19">
        <f>'Unit carbon footprint'!L30*Production!$B29/1000</f>
        <v>-10334.397947835318</v>
      </c>
      <c r="I29" s="19">
        <f>$H29+Error!$B28</f>
        <v>7283.752430460554</v>
      </c>
      <c r="J29" s="19">
        <f>$H29-Error!$B28</f>
        <v>-27952.548326131189</v>
      </c>
      <c r="K29" s="19">
        <f>'Unit carbon footprint'!M30*Production!$B29/1000</f>
        <v>2936.6460106373675</v>
      </c>
      <c r="L29" s="19">
        <f>$K29+Error!$B28</f>
        <v>20554.796388933239</v>
      </c>
      <c r="M29" s="19">
        <f>$K29-Error!$B28</f>
        <v>-14681.504367658505</v>
      </c>
      <c r="N29" s="19">
        <f>'Unit carbon footprint'!N30*Production!$B29/1000</f>
        <v>-21541.319488881909</v>
      </c>
      <c r="O29" s="19">
        <f>$N29+Error!$B28</f>
        <v>-3923.1691105860373</v>
      </c>
      <c r="P29" s="19">
        <f>$N29-Error!$B28</f>
        <v>-39159.469867177781</v>
      </c>
      <c r="Q29" s="19">
        <f>'Unit carbon footprint'!O30*Production!$B29/1000</f>
        <v>-23629.856802708731</v>
      </c>
      <c r="R29" s="19">
        <f>$Q29+Error!$B28</f>
        <v>-6011.7064244128596</v>
      </c>
      <c r="S29" s="19">
        <f>$Q29-Error!$B28</f>
        <v>-41248.007181004607</v>
      </c>
    </row>
    <row r="30" spans="1:19" x14ac:dyDescent="0.3">
      <c r="A30">
        <v>2047</v>
      </c>
      <c r="B30" s="19">
        <f>'Unit carbon footprint'!J31*Production!$B30/1000</f>
        <v>13354.043428086756</v>
      </c>
      <c r="C30" s="19">
        <f>$B30+Error!$B29</f>
        <v>30889.580779944106</v>
      </c>
      <c r="D30" s="19">
        <f>$B30-Error!$B29</f>
        <v>-4181.4939237705948</v>
      </c>
      <c r="E30" s="19">
        <f>'Unit carbon footprint'!K31*Production!$B30/1000</f>
        <v>-7691.2481515592535</v>
      </c>
      <c r="F30" s="19">
        <f>$E30+Error!$B29</f>
        <v>9844.2892002980971</v>
      </c>
      <c r="G30" s="19">
        <f>$E30-Error!$B29</f>
        <v>-25226.785503416606</v>
      </c>
      <c r="H30" s="19">
        <f>'Unit carbon footprint'!L31*Production!$B30/1000</f>
        <v>-10810.853662704443</v>
      </c>
      <c r="I30" s="19">
        <f>$H30+Error!$B29</f>
        <v>6724.6836891529074</v>
      </c>
      <c r="J30" s="19">
        <f>$H30-Error!$B29</f>
        <v>-28346.391014561792</v>
      </c>
      <c r="K30" s="19">
        <f>'Unit carbon footprint'!M31*Production!$B30/1000</f>
        <v>2806.3495829681247</v>
      </c>
      <c r="L30" s="19">
        <f>$K30+Error!$B29</f>
        <v>20341.886934825474</v>
      </c>
      <c r="M30" s="19">
        <f>$K30-Error!$B29</f>
        <v>-14729.187768889225</v>
      </c>
      <c r="N30" s="19">
        <f>'Unit carbon footprint'!N31*Production!$B30/1000</f>
        <v>-22315.504945165005</v>
      </c>
      <c r="O30" s="19">
        <f>$N30+Error!$B29</f>
        <v>-4779.9675933076542</v>
      </c>
      <c r="P30" s="19">
        <f>$N30-Error!$B29</f>
        <v>-39851.042297022359</v>
      </c>
      <c r="Q30" s="19">
        <f>'Unit carbon footprint'!O31*Production!$B30/1000</f>
        <v>-24421.522951546398</v>
      </c>
      <c r="R30" s="19">
        <f>$Q30+Error!$B29</f>
        <v>-6885.9855996890474</v>
      </c>
      <c r="S30" s="19">
        <f>$Q30-Error!$B29</f>
        <v>-41957.060303403749</v>
      </c>
    </row>
    <row r="31" spans="1:19" x14ac:dyDescent="0.3">
      <c r="A31">
        <v>2048</v>
      </c>
      <c r="B31" s="19">
        <f>'Unit carbon footprint'!J32*Production!$B31/1000</f>
        <v>13590.245457255853</v>
      </c>
      <c r="C31" s="19">
        <f>$B31+Error!$B30</f>
        <v>31043.169782674671</v>
      </c>
      <c r="D31" s="19">
        <f>$B31-Error!$B30</f>
        <v>-3862.678868162966</v>
      </c>
      <c r="E31" s="19">
        <f>'Unit carbon footprint'!K32*Production!$B31/1000</f>
        <v>-8285.4083734922169</v>
      </c>
      <c r="F31" s="19">
        <f>$E31+Error!$B30</f>
        <v>9167.5159519266017</v>
      </c>
      <c r="G31" s="19">
        <f>$E31-Error!$B30</f>
        <v>-25738.332698911036</v>
      </c>
      <c r="H31" s="19">
        <f>'Unit carbon footprint'!L32*Production!$B31/1000</f>
        <v>-11274.14177123857</v>
      </c>
      <c r="I31" s="19">
        <f>$H31+Error!$B30</f>
        <v>6178.7825541802486</v>
      </c>
      <c r="J31" s="19">
        <f>$H31-Error!$B30</f>
        <v>-28727.066096657389</v>
      </c>
      <c r="K31" s="19">
        <f>'Unit carbon footprint'!M32*Production!$B31/1000</f>
        <v>2677.9937738140575</v>
      </c>
      <c r="L31" s="19">
        <f>$K31+Error!$B30</f>
        <v>20130.918099232877</v>
      </c>
      <c r="M31" s="19">
        <f>$K31-Error!$B30</f>
        <v>-14774.930551604761</v>
      </c>
      <c r="N31" s="19">
        <f>'Unit carbon footprint'!N32*Production!$B31/1000</f>
        <v>-23068.16459267167</v>
      </c>
      <c r="O31" s="19">
        <f>$N31+Error!$B30</f>
        <v>-5615.2402672528515</v>
      </c>
      <c r="P31" s="19">
        <f>$N31-Error!$B30</f>
        <v>-40521.088918090492</v>
      </c>
      <c r="Q31" s="19">
        <f>'Unit carbon footprint'!O32*Production!$B31/1000</f>
        <v>-25187.919284647651</v>
      </c>
      <c r="R31" s="19">
        <f>$Q31+Error!$B30</f>
        <v>-7734.9949592288322</v>
      </c>
      <c r="S31" s="19">
        <f>$Q31-Error!$B30</f>
        <v>-42640.843610066469</v>
      </c>
    </row>
    <row r="32" spans="1:19" x14ac:dyDescent="0.3">
      <c r="A32">
        <v>2049</v>
      </c>
      <c r="B32" s="19">
        <f>'Unit carbon footprint'!J33*Production!$B32/1000</f>
        <v>13825.659807795255</v>
      </c>
      <c r="C32" s="19">
        <f>$B32+Error!$B31</f>
        <v>31195.971106775556</v>
      </c>
      <c r="D32" s="19">
        <f>$B32-Error!$B31</f>
        <v>-3544.6514911850463</v>
      </c>
      <c r="E32" s="19">
        <f>'Unit carbon footprint'!K33*Production!$B32/1000</f>
        <v>-8879.2733847755371</v>
      </c>
      <c r="F32" s="19">
        <f>$E32+Error!$B31</f>
        <v>8491.0379142047641</v>
      </c>
      <c r="G32" s="19">
        <f>$E32-Error!$B31</f>
        <v>-26249.584683755838</v>
      </c>
      <c r="H32" s="19">
        <f>'Unit carbon footprint'!L33*Production!$B32/1000</f>
        <v>-11724.776708971585</v>
      </c>
      <c r="I32" s="19">
        <f>$H32+Error!$B31</f>
        <v>5645.5345900087159</v>
      </c>
      <c r="J32" s="19">
        <f>$H32-Error!$B31</f>
        <v>-29095.088007951887</v>
      </c>
      <c r="K32" s="19">
        <f>'Unit carbon footprint'!M33*Production!$B32/1000</f>
        <v>2551.6899798774316</v>
      </c>
      <c r="L32" s="19">
        <f>$K32+Error!$B31</f>
        <v>19922.001278857733</v>
      </c>
      <c r="M32" s="19">
        <f>$K32-Error!$B31</f>
        <v>-14818.621319102869</v>
      </c>
      <c r="N32" s="19">
        <f>'Unit carbon footprint'!N33*Production!$B32/1000</f>
        <v>-23800.371291150703</v>
      </c>
      <c r="O32" s="19">
        <f>$N32+Error!$B31</f>
        <v>-6430.0599921704015</v>
      </c>
      <c r="P32" s="19">
        <f>$N32-Error!$B31</f>
        <v>-41170.682590131008</v>
      </c>
      <c r="Q32" s="19">
        <f>'Unit carbon footprint'!O33*Production!$B32/1000</f>
        <v>-25930.286812989478</v>
      </c>
      <c r="R32" s="19">
        <f>$Q32+Error!$B31</f>
        <v>-8559.9755140091765</v>
      </c>
      <c r="S32" s="19">
        <f>$Q32-Error!$B31</f>
        <v>-43300.598111969783</v>
      </c>
    </row>
    <row r="33" spans="1:19" x14ac:dyDescent="0.3">
      <c r="A33">
        <v>2050</v>
      </c>
      <c r="B33" s="19">
        <f>'Unit carbon footprint'!J34*Production!$B33/1000</f>
        <v>14060.636778285425</v>
      </c>
      <c r="C33" s="19">
        <f>$B33+Error!$B32</f>
        <v>31348.335050827194</v>
      </c>
      <c r="D33" s="19">
        <f>$B33-Error!$B32</f>
        <v>-3227.0614942563443</v>
      </c>
      <c r="E33" s="19">
        <f>'Unit carbon footprint'!K34*Production!$B33/1000</f>
        <v>-9472.7789118444416</v>
      </c>
      <c r="F33" s="19">
        <f>$E33+Error!$B32</f>
        <v>7814.9193606973276</v>
      </c>
      <c r="G33" s="19">
        <f>$E33-Error!$B32</f>
        <v>-26760.477184386211</v>
      </c>
      <c r="H33" s="19">
        <f>'Unit carbon footprint'!L34*Production!$B33/1000</f>
        <v>-12163.265834245634</v>
      </c>
      <c r="I33" s="19">
        <f>$H33+Error!$B32</f>
        <v>5124.4324382961349</v>
      </c>
      <c r="J33" s="19">
        <f>$H33-Error!$B32</f>
        <v>-29450.964106787404</v>
      </c>
      <c r="K33" s="19">
        <f>'Unit carbon footprint'!M34*Production!$B33/1000</f>
        <v>2427.5149321529198</v>
      </c>
      <c r="L33" s="19">
        <f>$K33+Error!$B32</f>
        <v>19715.21320469469</v>
      </c>
      <c r="M33" s="19">
        <f>$K33-Error!$B32</f>
        <v>-14860.183340388849</v>
      </c>
      <c r="N33" s="19">
        <f>'Unit carbon footprint'!N34*Production!$B33/1000</f>
        <v>-24513.152206437349</v>
      </c>
      <c r="O33" s="19">
        <f>$N33+Error!$B32</f>
        <v>-7225.4539338955801</v>
      </c>
      <c r="P33" s="19">
        <f>$N33-Error!$B32</f>
        <v>-41800.850478979119</v>
      </c>
      <c r="Q33" s="19">
        <f>'Unit carbon footprint'!O34*Production!$B33/1000</f>
        <v>-26649.80819082931</v>
      </c>
      <c r="R33" s="19">
        <f>$Q33+Error!$B32</f>
        <v>-9362.1099182875405</v>
      </c>
      <c r="S33" s="19">
        <f>$Q33-Error!$B32</f>
        <v>-43937.506463371079</v>
      </c>
    </row>
  </sheetData>
  <mergeCells count="6">
    <mergeCell ref="Q1:S1"/>
    <mergeCell ref="N1:P1"/>
    <mergeCell ref="B1:D1"/>
    <mergeCell ref="E1:G1"/>
    <mergeCell ref="H1:J1"/>
    <mergeCell ref="K1:M1"/>
  </mergeCells>
  <phoneticPr fontId="1" type="noConversion"/>
  <conditionalFormatting sqref="B3:S33">
    <cfRule type="cellIs" dxfId="3" priority="1" operator="lessThan">
      <formula>0</formula>
    </cfRule>
    <cfRule type="cellIs" dxfId="2" priority="3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3D7F-72D3-4EA7-8D69-4B1E7B70199F}">
  <dimension ref="A1:S230"/>
  <sheetViews>
    <sheetView workbookViewId="0">
      <selection activeCell="O51" sqref="O51"/>
    </sheetView>
  </sheetViews>
  <sheetFormatPr defaultColWidth="8.83203125" defaultRowHeight="14" x14ac:dyDescent="0.3"/>
  <cols>
    <col min="1" max="1" width="5.1640625" bestFit="1" customWidth="1"/>
    <col min="2" max="3" width="8.75" bestFit="1" customWidth="1"/>
    <col min="4" max="5" width="9.6640625" bestFit="1" customWidth="1"/>
    <col min="6" max="6" width="8.75" bestFit="1" customWidth="1"/>
    <col min="7" max="8" width="9.6640625" bestFit="1" customWidth="1"/>
    <col min="9" max="9" width="8.75" bestFit="1" customWidth="1"/>
    <col min="10" max="10" width="9.6640625" bestFit="1" customWidth="1"/>
    <col min="11" max="12" width="8.75" bestFit="1" customWidth="1"/>
    <col min="13" max="19" width="9.6640625" bestFit="1" customWidth="1"/>
  </cols>
  <sheetData>
    <row r="1" spans="1:19" x14ac:dyDescent="0.3">
      <c r="B1" s="41" t="s">
        <v>10</v>
      </c>
      <c r="C1" s="42"/>
      <c r="D1" s="43"/>
      <c r="E1" s="44" t="s">
        <v>11</v>
      </c>
      <c r="F1" s="45"/>
      <c r="G1" s="46"/>
      <c r="H1" s="40" t="s">
        <v>12</v>
      </c>
      <c r="I1" s="40"/>
      <c r="J1" s="40"/>
      <c r="K1" s="37" t="s">
        <v>13</v>
      </c>
      <c r="L1" s="38"/>
      <c r="M1" s="39"/>
      <c r="N1" s="40" t="s">
        <v>24</v>
      </c>
      <c r="O1" s="40"/>
      <c r="P1" s="40"/>
      <c r="Q1" s="37" t="s">
        <v>23</v>
      </c>
      <c r="R1" s="38"/>
      <c r="S1" s="39"/>
    </row>
    <row r="2" spans="1:19" x14ac:dyDescent="0.3">
      <c r="B2" s="18" t="s">
        <v>1</v>
      </c>
      <c r="C2" s="14" t="s">
        <v>2</v>
      </c>
      <c r="D2" s="20" t="s">
        <v>3</v>
      </c>
      <c r="E2" s="21" t="s">
        <v>1</v>
      </c>
      <c r="F2" s="21" t="s">
        <v>2</v>
      </c>
      <c r="G2" s="21" t="s">
        <v>3</v>
      </c>
      <c r="H2" s="18" t="s">
        <v>1</v>
      </c>
      <c r="I2" s="14" t="s">
        <v>2</v>
      </c>
      <c r="J2" s="20" t="s">
        <v>3</v>
      </c>
      <c r="K2" s="21" t="s">
        <v>1</v>
      </c>
      <c r="L2" s="21" t="s">
        <v>2</v>
      </c>
      <c r="M2" s="21" t="s">
        <v>3</v>
      </c>
      <c r="N2" s="18" t="s">
        <v>1</v>
      </c>
      <c r="O2" s="14" t="s">
        <v>2</v>
      </c>
      <c r="P2" s="20" t="s">
        <v>3</v>
      </c>
      <c r="Q2" s="26" t="s">
        <v>1</v>
      </c>
      <c r="R2" s="21" t="s">
        <v>2</v>
      </c>
      <c r="S2" s="27" t="s">
        <v>3</v>
      </c>
    </row>
    <row r="3" spans="1:19" x14ac:dyDescent="0.3">
      <c r="A3">
        <v>2020</v>
      </c>
      <c r="B3" s="19">
        <f>'Industrial carbon footprint'!B3</f>
        <v>4097.1804579128811</v>
      </c>
      <c r="C3" s="19">
        <f>'Industrial carbon footprint'!C3</f>
        <v>15255.573076435041</v>
      </c>
      <c r="D3" s="19">
        <f>'Industrial carbon footprint'!D3</f>
        <v>-7061.2121606092796</v>
      </c>
      <c r="E3" s="19">
        <f>'Industrial carbon footprint'!E3</f>
        <v>4097.1804579128811</v>
      </c>
      <c r="F3" s="19">
        <f>'Industrial carbon footprint'!F3</f>
        <v>15255.573076435041</v>
      </c>
      <c r="G3" s="19">
        <f>'Industrial carbon footprint'!G3</f>
        <v>-7061.2121606092796</v>
      </c>
      <c r="H3" s="19">
        <f>'Industrial carbon footprint'!H3</f>
        <v>4097.1804579128811</v>
      </c>
      <c r="I3" s="19">
        <f>'Industrial carbon footprint'!I3</f>
        <v>15255.573076435041</v>
      </c>
      <c r="J3" s="19">
        <f>'Industrial carbon footprint'!J3</f>
        <v>-7061.2121606092796</v>
      </c>
      <c r="K3" s="19">
        <f>'Industrial carbon footprint'!K3</f>
        <v>4097.1804579128811</v>
      </c>
      <c r="L3" s="19">
        <f>'Industrial carbon footprint'!L3</f>
        <v>15255.573076435041</v>
      </c>
      <c r="M3" s="19">
        <f>'Industrial carbon footprint'!M3</f>
        <v>-7061.2121606092796</v>
      </c>
      <c r="N3" s="19">
        <f>'Industrial carbon footprint'!N3</f>
        <v>4097.1804579128811</v>
      </c>
      <c r="O3" s="19">
        <f>'Industrial carbon footprint'!O3</f>
        <v>15255.573076435041</v>
      </c>
      <c r="P3" s="19">
        <f>'Industrial carbon footprint'!P3</f>
        <v>-7061.2121606092796</v>
      </c>
      <c r="Q3" s="19">
        <f>'Industrial carbon footprint'!Q3</f>
        <v>4097.1804579128811</v>
      </c>
      <c r="R3" s="19">
        <f>'Industrial carbon footprint'!R3</f>
        <v>15255.573076435041</v>
      </c>
      <c r="S3" s="19">
        <f>'Industrial carbon footprint'!S3</f>
        <v>-7061.2121606092796</v>
      </c>
    </row>
    <row r="4" spans="1:19" x14ac:dyDescent="0.3">
      <c r="A4">
        <v>2021</v>
      </c>
      <c r="B4" s="19">
        <f>'Industrial carbon footprint'!B4</f>
        <v>4844.633242115855</v>
      </c>
      <c r="C4" s="19">
        <f>'Industrial carbon footprint'!C4</f>
        <v>16771.282583078842</v>
      </c>
      <c r="D4" s="19">
        <f>'Industrial carbon footprint'!D4</f>
        <v>-7082.0160988471343</v>
      </c>
      <c r="E4" s="19">
        <f>'Industrial carbon footprint'!E4</f>
        <v>4395.2012966041475</v>
      </c>
      <c r="F4" s="19">
        <f>'Industrial carbon footprint'!F4</f>
        <v>16321.850637567137</v>
      </c>
      <c r="G4" s="19">
        <f>'Industrial carbon footprint'!G4</f>
        <v>-7531.4480443588418</v>
      </c>
      <c r="H4" s="19">
        <f>'Industrial carbon footprint'!H4</f>
        <v>4117.2687715004295</v>
      </c>
      <c r="I4" s="19">
        <f>'Industrial carbon footprint'!I4</f>
        <v>16043.91811246342</v>
      </c>
      <c r="J4" s="19">
        <f>'Industrial carbon footprint'!J4</f>
        <v>-7809.3805694625598</v>
      </c>
      <c r="K4" s="19">
        <f>'Industrial carbon footprint'!K4</f>
        <v>4575.7298098350784</v>
      </c>
      <c r="L4" s="19">
        <f>'Industrial carbon footprint'!L4</f>
        <v>16502.379150798068</v>
      </c>
      <c r="M4" s="19">
        <f>'Industrial carbon footprint'!M4</f>
        <v>-7350.9195311279109</v>
      </c>
      <c r="N4" s="19">
        <f>'Industrial carbon footprint'!N4</f>
        <v>3723.0857238536059</v>
      </c>
      <c r="O4" s="19">
        <f>'Industrial carbon footprint'!O4</f>
        <v>15649.735064816596</v>
      </c>
      <c r="P4" s="19">
        <f>'Industrial carbon footprint'!P4</f>
        <v>-8203.5636171093829</v>
      </c>
      <c r="Q4" s="19">
        <f>'Industrial carbon footprint'!Q4</f>
        <v>3620.8368212914688</v>
      </c>
      <c r="R4" s="19">
        <f>'Industrial carbon footprint'!R4</f>
        <v>15547.486162254458</v>
      </c>
      <c r="S4" s="19">
        <f>'Industrial carbon footprint'!S4</f>
        <v>-8305.8125196715209</v>
      </c>
    </row>
    <row r="5" spans="1:19" x14ac:dyDescent="0.3">
      <c r="A5">
        <v>2022</v>
      </c>
      <c r="B5" s="19">
        <f>'Industrial carbon footprint'!B5</f>
        <v>4712.0514499339261</v>
      </c>
      <c r="C5" s="19">
        <f>'Industrial carbon footprint'!C5</f>
        <v>17406.957513337744</v>
      </c>
      <c r="D5" s="19">
        <f>'Industrial carbon footprint'!D5</f>
        <v>-7982.8546134698936</v>
      </c>
      <c r="E5" s="19">
        <f>'Industrial carbon footprint'!E5</f>
        <v>3855.9495498323363</v>
      </c>
      <c r="F5" s="19">
        <f>'Industrial carbon footprint'!F5</f>
        <v>16550.855613236155</v>
      </c>
      <c r="G5" s="19">
        <f>'Industrial carbon footprint'!G5</f>
        <v>-8838.9565135714838</v>
      </c>
      <c r="H5" s="19">
        <f>'Industrial carbon footprint'!H5</f>
        <v>3349.6916660330412</v>
      </c>
      <c r="I5" s="19">
        <f>'Industrial carbon footprint'!I5</f>
        <v>16044.59772943686</v>
      </c>
      <c r="J5" s="19">
        <f>'Industrial carbon footprint'!J5</f>
        <v>-9345.2143973707789</v>
      </c>
      <c r="K5" s="19">
        <f>'Industrial carbon footprint'!K5</f>
        <v>4204.5593394277539</v>
      </c>
      <c r="L5" s="19">
        <f>'Industrial carbon footprint'!L5</f>
        <v>16899.465402831574</v>
      </c>
      <c r="M5" s="19">
        <f>'Industrial carbon footprint'!M5</f>
        <v>-8490.3467239760648</v>
      </c>
      <c r="N5" s="19">
        <f>'Industrial carbon footprint'!N5</f>
        <v>2616.2247930632448</v>
      </c>
      <c r="O5" s="19">
        <f>'Industrial carbon footprint'!O5</f>
        <v>15311.130856467065</v>
      </c>
      <c r="P5" s="19">
        <f>'Industrial carbon footprint'!P5</f>
        <v>-10078.681270340574</v>
      </c>
      <c r="Q5" s="19">
        <f>'Industrial carbon footprint'!Q5</f>
        <v>2427.7892314533028</v>
      </c>
      <c r="R5" s="19">
        <f>'Industrial carbon footprint'!R5</f>
        <v>15122.695294857123</v>
      </c>
      <c r="S5" s="19">
        <f>'Industrial carbon footprint'!S5</f>
        <v>-10267.116831950516</v>
      </c>
    </row>
    <row r="6" spans="1:19" x14ac:dyDescent="0.3">
      <c r="A6">
        <v>2023</v>
      </c>
      <c r="B6" s="19">
        <f>'Industrial carbon footprint'!B6</f>
        <v>5532.7577080237152</v>
      </c>
      <c r="C6" s="19">
        <f>'Industrial carbon footprint'!C6</f>
        <v>18995.920493868365</v>
      </c>
      <c r="D6" s="19">
        <f>'Industrial carbon footprint'!D6</f>
        <v>-7930.4050778209348</v>
      </c>
      <c r="E6" s="19">
        <f>'Industrial carbon footprint'!E6</f>
        <v>4055.7837727639003</v>
      </c>
      <c r="F6" s="19">
        <f>'Industrial carbon footprint'!F6</f>
        <v>17518.94655860855</v>
      </c>
      <c r="G6" s="19">
        <f>'Industrial carbon footprint'!G6</f>
        <v>-9407.3790130807502</v>
      </c>
      <c r="H6" s="19">
        <f>'Industrial carbon footprint'!H6</f>
        <v>3220.7946647512135</v>
      </c>
      <c r="I6" s="19">
        <f>'Industrial carbon footprint'!I6</f>
        <v>16683.957450595863</v>
      </c>
      <c r="J6" s="19">
        <f>'Industrial carbon footprint'!J6</f>
        <v>-10242.368121093437</v>
      </c>
      <c r="K6" s="19">
        <f>'Industrial carbon footprint'!K6</f>
        <v>4665.0859318891407</v>
      </c>
      <c r="L6" s="19">
        <f>'Industrial carbon footprint'!L6</f>
        <v>18128.24871773379</v>
      </c>
      <c r="M6" s="19">
        <f>'Industrial carbon footprint'!M6</f>
        <v>-8798.0768539555102</v>
      </c>
      <c r="N6" s="19">
        <f>'Industrial carbon footprint'!N6</f>
        <v>1984.0356581878746</v>
      </c>
      <c r="O6" s="19">
        <f>'Industrial carbon footprint'!O6</f>
        <v>15447.198444032525</v>
      </c>
      <c r="P6" s="19">
        <f>'Industrial carbon footprint'!P6</f>
        <v>-11479.127127656775</v>
      </c>
      <c r="Q6" s="19">
        <f>'Industrial carbon footprint'!Q6</f>
        <v>1669.4256178478304</v>
      </c>
      <c r="R6" s="19">
        <f>'Industrial carbon footprint'!R6</f>
        <v>15132.58840369248</v>
      </c>
      <c r="S6" s="19">
        <f>'Industrial carbon footprint'!S6</f>
        <v>-11793.73716799682</v>
      </c>
    </row>
    <row r="7" spans="1:19" x14ac:dyDescent="0.3">
      <c r="A7">
        <v>2024</v>
      </c>
      <c r="B7" s="19">
        <f>'Industrial carbon footprint'!B7</f>
        <v>5998.8839822923974</v>
      </c>
      <c r="C7" s="19">
        <f>'Industrial carbon footprint'!C7</f>
        <v>20230.303490577877</v>
      </c>
      <c r="D7" s="19">
        <f>'Industrial carbon footprint'!D7</f>
        <v>-8232.5355259930839</v>
      </c>
      <c r="E7" s="19">
        <f>'Industrial carbon footprint'!E7</f>
        <v>3906.6908657092454</v>
      </c>
      <c r="F7" s="19">
        <f>'Industrial carbon footprint'!F7</f>
        <v>18138.110373994725</v>
      </c>
      <c r="G7" s="19">
        <f>'Industrial carbon footprint'!G7</f>
        <v>-10324.728642576236</v>
      </c>
      <c r="H7" s="19">
        <f>'Industrial carbon footprint'!H7</f>
        <v>2776.2644916441941</v>
      </c>
      <c r="I7" s="19">
        <f>'Industrial carbon footprint'!I7</f>
        <v>17007.683999929675</v>
      </c>
      <c r="J7" s="19">
        <f>'Industrial carbon footprint'!J7</f>
        <v>-11455.155016641285</v>
      </c>
      <c r="K7" s="19">
        <f>'Industrial carbon footprint'!K7</f>
        <v>4780.5478561199361</v>
      </c>
      <c r="L7" s="19">
        <f>'Industrial carbon footprint'!L7</f>
        <v>19011.967364405416</v>
      </c>
      <c r="M7" s="19">
        <f>'Industrial carbon footprint'!M7</f>
        <v>-9450.8716521655442</v>
      </c>
      <c r="N7" s="19">
        <f>'Industrial carbon footprint'!N7</f>
        <v>1063.1017838129885</v>
      </c>
      <c r="O7" s="19">
        <f>'Industrial carbon footprint'!O7</f>
        <v>15294.521292098469</v>
      </c>
      <c r="P7" s="19">
        <f>'Industrial carbon footprint'!P7</f>
        <v>-13168.317724472492</v>
      </c>
      <c r="Q7" s="19">
        <f>'Industrial carbon footprint'!Q7</f>
        <v>631.70806314032643</v>
      </c>
      <c r="R7" s="19">
        <f>'Industrial carbon footprint'!R7</f>
        <v>14863.127571425806</v>
      </c>
      <c r="S7" s="19">
        <f>'Industrial carbon footprint'!S7</f>
        <v>-13599.711445145154</v>
      </c>
    </row>
    <row r="8" spans="1:19" x14ac:dyDescent="0.3">
      <c r="A8">
        <v>2025</v>
      </c>
      <c r="B8" s="19">
        <f>'Industrial carbon footprint'!B8</f>
        <v>6458.1936303097582</v>
      </c>
      <c r="C8" s="19">
        <f>'Industrial carbon footprint'!C8</f>
        <v>21457.86986103607</v>
      </c>
      <c r="D8" s="19">
        <f>'Industrial carbon footprint'!D8</f>
        <v>-8541.4826004165516</v>
      </c>
      <c r="E8" s="19">
        <f>'Industrial carbon footprint'!E8</f>
        <v>3698.5958947107615</v>
      </c>
      <c r="F8" s="19">
        <f>'Industrial carbon footprint'!F8</f>
        <v>18698.272125437074</v>
      </c>
      <c r="G8" s="19">
        <f>'Industrial carbon footprint'!G8</f>
        <v>-11301.08033601555</v>
      </c>
      <c r="H8" s="19">
        <f>'Industrial carbon footprint'!H8</f>
        <v>2274.0740702679777</v>
      </c>
      <c r="I8" s="19">
        <f>'Industrial carbon footprint'!I8</f>
        <v>17273.750300994288</v>
      </c>
      <c r="J8" s="19">
        <f>'Industrial carbon footprint'!J8</f>
        <v>-12725.602160458333</v>
      </c>
      <c r="K8" s="19">
        <f>'Industrial carbon footprint'!K8</f>
        <v>4864.905028137824</v>
      </c>
      <c r="L8" s="19">
        <f>'Industrial carbon footprint'!L8</f>
        <v>19864.581258864135</v>
      </c>
      <c r="M8" s="19">
        <f>'Industrial carbon footprint'!M8</f>
        <v>-10134.771202588487</v>
      </c>
      <c r="N8" s="19">
        <f>'Industrial carbon footprint'!N8</f>
        <v>63.290181886794116</v>
      </c>
      <c r="O8" s="19">
        <f>'Industrial carbon footprint'!O8</f>
        <v>15062.966412613105</v>
      </c>
      <c r="P8" s="19">
        <f>'Industrial carbon footprint'!P8</f>
        <v>-14936.386048839517</v>
      </c>
      <c r="Q8" s="19">
        <f>'Industrial carbon footprint'!Q8</f>
        <v>-487.63259626510012</v>
      </c>
      <c r="R8" s="19">
        <f>'Industrial carbon footprint'!R8</f>
        <v>14512.04363446121</v>
      </c>
      <c r="S8" s="19">
        <f>'Industrial carbon footprint'!S8</f>
        <v>-15487.308826991411</v>
      </c>
    </row>
    <row r="9" spans="1:19" x14ac:dyDescent="0.3">
      <c r="A9">
        <v>2026</v>
      </c>
      <c r="B9" s="19">
        <f>'Industrial carbon footprint'!B9</f>
        <v>6906.9643417319348</v>
      </c>
      <c r="C9" s="19">
        <f>'Industrial carbon footprint'!C9</f>
        <v>22338.719643406344</v>
      </c>
      <c r="D9" s="19">
        <f>'Industrial carbon footprint'!D9</f>
        <v>-8524.7909599424747</v>
      </c>
      <c r="E9" s="19">
        <f>'Industrial carbon footprint'!E9</f>
        <v>3434.6107874215877</v>
      </c>
      <c r="F9" s="19">
        <f>'Industrial carbon footprint'!F9</f>
        <v>18866.366089095998</v>
      </c>
      <c r="G9" s="19">
        <f>'Industrial carbon footprint'!G9</f>
        <v>-11997.144514252821</v>
      </c>
      <c r="H9" s="19">
        <f>'Industrial carbon footprint'!H9</f>
        <v>1722.7878565292217</v>
      </c>
      <c r="I9" s="19">
        <f>'Industrial carbon footprint'!I9</f>
        <v>17154.543158203633</v>
      </c>
      <c r="J9" s="19">
        <f>'Industrial carbon footprint'!J9</f>
        <v>-13708.967445145188</v>
      </c>
      <c r="K9" s="19">
        <f>'Industrial carbon footprint'!K9</f>
        <v>4918.7949842029848</v>
      </c>
      <c r="L9" s="19">
        <f>'Industrial carbon footprint'!L9</f>
        <v>20350.550285877394</v>
      </c>
      <c r="M9" s="19">
        <f>'Industrial carbon footprint'!M9</f>
        <v>-10512.960317471425</v>
      </c>
      <c r="N9" s="19">
        <f>'Industrial carbon footprint'!N9</f>
        <v>-1000.1599966911318</v>
      </c>
      <c r="O9" s="19">
        <f>'Industrial carbon footprint'!O9</f>
        <v>14431.595304983277</v>
      </c>
      <c r="P9" s="19">
        <f>'Industrial carbon footprint'!P9</f>
        <v>-16431.91529836554</v>
      </c>
      <c r="Q9" s="19">
        <f>'Industrial carbon footprint'!Q9</f>
        <v>-1671.4857475551005</v>
      </c>
      <c r="R9" s="19">
        <f>'Industrial carbon footprint'!R9</f>
        <v>13760.26955411931</v>
      </c>
      <c r="S9" s="19">
        <f>'Industrial carbon footprint'!S9</f>
        <v>-17103.241049229509</v>
      </c>
    </row>
    <row r="10" spans="1:19" x14ac:dyDescent="0.3">
      <c r="A10">
        <v>2027</v>
      </c>
      <c r="B10" s="19">
        <f>'Industrial carbon footprint'!B10</f>
        <v>7342.3240099611548</v>
      </c>
      <c r="C10" s="19">
        <f>'Industrial carbon footprint'!C10</f>
        <v>23206.158382583675</v>
      </c>
      <c r="D10" s="19">
        <f>'Industrial carbon footprint'!D10</f>
        <v>-8521.5103626613636</v>
      </c>
      <c r="E10" s="19">
        <f>'Industrial carbon footprint'!E10</f>
        <v>3118.9380704403734</v>
      </c>
      <c r="F10" s="19">
        <f>'Industrial carbon footprint'!F10</f>
        <v>18982.772443062891</v>
      </c>
      <c r="G10" s="19">
        <f>'Industrial carbon footprint'!G10</f>
        <v>-12744.896302182146</v>
      </c>
      <c r="H10" s="19">
        <f>'Industrial carbon footprint'!H10</f>
        <v>1131.4093501535872</v>
      </c>
      <c r="I10" s="19">
        <f>'Industrial carbon footprint'!I10</f>
        <v>16995.243722776107</v>
      </c>
      <c r="J10" s="19">
        <f>'Industrial carbon footprint'!J10</f>
        <v>-14732.425022468931</v>
      </c>
      <c r="K10" s="19">
        <f>'Industrial carbon footprint'!K10</f>
        <v>4943.6820787894849</v>
      </c>
      <c r="L10" s="19">
        <f>'Industrial carbon footprint'!L10</f>
        <v>20807.516451412004</v>
      </c>
      <c r="M10" s="19">
        <f>'Industrial carbon footprint'!M10</f>
        <v>-10920.152293833034</v>
      </c>
      <c r="N10" s="19">
        <f>'Industrial carbon footprint'!N10</f>
        <v>-2111.9478425196166</v>
      </c>
      <c r="O10" s="19">
        <f>'Industrial carbon footprint'!O10</f>
        <v>13751.886530102904</v>
      </c>
      <c r="P10" s="19">
        <f>'Industrial carbon footprint'!P10</f>
        <v>-17975.782215142135</v>
      </c>
      <c r="Q10" s="19">
        <f>'Industrial carbon footprint'!Q10</f>
        <v>-2902.8399819875322</v>
      </c>
      <c r="R10" s="19">
        <f>'Industrial carbon footprint'!R10</f>
        <v>12960.994390634987</v>
      </c>
      <c r="S10" s="19">
        <f>'Industrial carbon footprint'!S10</f>
        <v>-18766.674354610052</v>
      </c>
    </row>
    <row r="11" spans="1:19" x14ac:dyDescent="0.3">
      <c r="A11">
        <v>2028</v>
      </c>
      <c r="B11" s="19">
        <f>'Industrial carbon footprint'!B11</f>
        <v>7762.2609431266465</v>
      </c>
      <c r="C11" s="19">
        <f>'Industrial carbon footprint'!C11</f>
        <v>24058.174386697268</v>
      </c>
      <c r="D11" s="19">
        <f>'Industrial carbon footprint'!D11</f>
        <v>-8533.6525004439736</v>
      </c>
      <c r="E11" s="19">
        <f>'Industrial carbon footprint'!E11</f>
        <v>2756.5026571313897</v>
      </c>
      <c r="F11" s="19">
        <f>'Industrial carbon footprint'!F11</f>
        <v>19052.416100702008</v>
      </c>
      <c r="G11" s="19">
        <f>'Industrial carbon footprint'!G11</f>
        <v>-13539.41078643923</v>
      </c>
      <c r="H11" s="19">
        <f>'Industrial carbon footprint'!H11</f>
        <v>508.88418078507777</v>
      </c>
      <c r="I11" s="19">
        <f>'Industrial carbon footprint'!I11</f>
        <v>16804.797624355699</v>
      </c>
      <c r="J11" s="19">
        <f>'Industrial carbon footprint'!J11</f>
        <v>-15787.029262785542</v>
      </c>
      <c r="K11" s="19">
        <f>'Industrial carbon footprint'!K11</f>
        <v>4941.66213523437</v>
      </c>
      <c r="L11" s="19">
        <f>'Industrial carbon footprint'!L11</f>
        <v>21237.57557880499</v>
      </c>
      <c r="M11" s="19">
        <f>'Industrial carbon footprint'!M11</f>
        <v>-11354.25130833625</v>
      </c>
      <c r="N11" s="19">
        <f>'Industrial carbon footprint'!N11</f>
        <v>-3257.4529091137892</v>
      </c>
      <c r="O11" s="19">
        <f>'Industrial carbon footprint'!O11</f>
        <v>13038.46053445683</v>
      </c>
      <c r="P11" s="19">
        <f>'Industrial carbon footprint'!P11</f>
        <v>-19553.36635268441</v>
      </c>
      <c r="Q11" s="19">
        <f>'Industrial carbon footprint'!Q11</f>
        <v>-4165.5820222420698</v>
      </c>
      <c r="R11" s="19">
        <f>'Industrial carbon footprint'!R11</f>
        <v>12130.33142132855</v>
      </c>
      <c r="S11" s="19">
        <f>'Industrial carbon footprint'!S11</f>
        <v>-20461.495465812688</v>
      </c>
    </row>
    <row r="12" spans="1:19" x14ac:dyDescent="0.3">
      <c r="A12">
        <v>2029</v>
      </c>
      <c r="B12" s="19">
        <f>'Industrial carbon footprint'!B12</f>
        <v>8165.5707737188914</v>
      </c>
      <c r="C12" s="19">
        <f>'Industrial carbon footprint'!C12</f>
        <v>24893.563288237609</v>
      </c>
      <c r="D12" s="19">
        <f>'Industrial carbon footprint'!D12</f>
        <v>-8562.4217407998276</v>
      </c>
      <c r="E12" s="19">
        <f>'Industrial carbon footprint'!E12</f>
        <v>2352.6026886500722</v>
      </c>
      <c r="F12" s="19">
        <f>'Industrial carbon footprint'!F12</f>
        <v>19080.595203168792</v>
      </c>
      <c r="G12" s="19">
        <f>'Industrial carbon footprint'!G12</f>
        <v>-14375.389825868646</v>
      </c>
      <c r="H12" s="19">
        <f>'Industrial carbon footprint'!H12</f>
        <v>-136.29926925490557</v>
      </c>
      <c r="I12" s="19">
        <f>'Industrial carbon footprint'!I12</f>
        <v>16591.693245263814</v>
      </c>
      <c r="J12" s="19">
        <f>'Industrial carbon footprint'!J12</f>
        <v>-16864.291783773624</v>
      </c>
      <c r="K12" s="19">
        <f>'Industrial carbon footprint'!K12</f>
        <v>4915.2590825991874</v>
      </c>
      <c r="L12" s="19">
        <f>'Industrial carbon footprint'!L12</f>
        <v>21643.251597117905</v>
      </c>
      <c r="M12" s="19">
        <f>'Industrial carbon footprint'!M12</f>
        <v>-11812.733431919532</v>
      </c>
      <c r="N12" s="19">
        <f>'Industrial carbon footprint'!N12</f>
        <v>-4423.2896939464963</v>
      </c>
      <c r="O12" s="19">
        <f>'Industrial carbon footprint'!O12</f>
        <v>12304.702820572224</v>
      </c>
      <c r="P12" s="19">
        <f>'Industrial carbon footprint'!P12</f>
        <v>-21151.282208465214</v>
      </c>
      <c r="Q12" s="19">
        <f>'Industrial carbon footprint'!Q12</f>
        <v>-5445.0819728749639</v>
      </c>
      <c r="R12" s="19">
        <f>'Industrial carbon footprint'!R12</f>
        <v>11282.910541643756</v>
      </c>
      <c r="S12" s="19">
        <f>'Industrial carbon footprint'!S12</f>
        <v>-22173.074487393682</v>
      </c>
    </row>
    <row r="13" spans="1:19" x14ac:dyDescent="0.3">
      <c r="A13">
        <v>2030</v>
      </c>
      <c r="B13" s="19">
        <f>'Industrial carbon footprint'!B13</f>
        <v>8551.7594410989186</v>
      </c>
      <c r="C13" s="19">
        <f>'Industrial carbon footprint'!C13</f>
        <v>25711.831026565749</v>
      </c>
      <c r="D13" s="19">
        <f>'Industrial carbon footprint'!D13</f>
        <v>-8608.312144367912</v>
      </c>
      <c r="E13" s="19">
        <f>'Industrial carbon footprint'!E13</f>
        <v>1912.6082516634021</v>
      </c>
      <c r="F13" s="19">
        <f>'Industrial carbon footprint'!F13</f>
        <v>19072.679837130232</v>
      </c>
      <c r="G13" s="19">
        <f>'Industrial carbon footprint'!G13</f>
        <v>-15247.463333803429</v>
      </c>
      <c r="H13" s="19">
        <f>'Industrial carbon footprint'!H13</f>
        <v>-796.39582337866534</v>
      </c>
      <c r="I13" s="19">
        <f>'Industrial carbon footprint'!I13</f>
        <v>16363.675762088165</v>
      </c>
      <c r="J13" s="19">
        <f>'Industrial carbon footprint'!J13</f>
        <v>-17956.467408845496</v>
      </c>
      <c r="K13" s="19">
        <f>'Industrial carbon footprint'!K13</f>
        <v>4867.2347080352483</v>
      </c>
      <c r="L13" s="19">
        <f>'Industrial carbon footprint'!L13</f>
        <v>22027.306293502079</v>
      </c>
      <c r="M13" s="19">
        <f>'Industrial carbon footprint'!M13</f>
        <v>-12292.836877431582</v>
      </c>
      <c r="N13" s="19">
        <f>'Industrial carbon footprint'!N13</f>
        <v>-5597.6641381513718</v>
      </c>
      <c r="O13" s="19">
        <f>'Industrial carbon footprint'!O13</f>
        <v>11562.407447315458</v>
      </c>
      <c r="P13" s="19">
        <f>'Industrial carbon footprint'!P13</f>
        <v>-22757.735723618203</v>
      </c>
      <c r="Q13" s="19">
        <f>'Industrial carbon footprint'!Q13</f>
        <v>-6728.5575879915596</v>
      </c>
      <c r="R13" s="19">
        <f>'Industrial carbon footprint'!R13</f>
        <v>10431.513997475271</v>
      </c>
      <c r="S13" s="19">
        <f>'Industrial carbon footprint'!S13</f>
        <v>-23888.62917345839</v>
      </c>
    </row>
    <row r="14" spans="1:19" x14ac:dyDescent="0.3">
      <c r="A14">
        <v>2031</v>
      </c>
      <c r="B14" s="19">
        <f>'Industrial carbon footprint'!B14</f>
        <v>8920.921839220875</v>
      </c>
      <c r="C14" s="19">
        <f>'Industrial carbon footprint'!C14</f>
        <v>26244.772208276565</v>
      </c>
      <c r="D14" s="19">
        <f>'Industrial carbon footprint'!D14</f>
        <v>-8402.928529834815</v>
      </c>
      <c r="E14" s="19">
        <f>'Industrial carbon footprint'!E14</f>
        <v>1441.7234336691215</v>
      </c>
      <c r="F14" s="19">
        <f>'Industrial carbon footprint'!F14</f>
        <v>18765.573802724812</v>
      </c>
      <c r="G14" s="19">
        <f>'Industrial carbon footprint'!G14</f>
        <v>-15882.126935386568</v>
      </c>
      <c r="H14" s="19">
        <f>'Industrial carbon footprint'!H14</f>
        <v>-1464.5780348086591</v>
      </c>
      <c r="I14" s="19">
        <f>'Industrial carbon footprint'!I14</f>
        <v>15859.272334247031</v>
      </c>
      <c r="J14" s="19">
        <f>'Industrial carbon footprint'!J14</f>
        <v>-18788.428403864349</v>
      </c>
      <c r="K14" s="19">
        <f>'Industrial carbon footprint'!K14</f>
        <v>4800.4255198698311</v>
      </c>
      <c r="L14" s="19">
        <f>'Industrial carbon footprint'!L14</f>
        <v>22124.27588892552</v>
      </c>
      <c r="M14" s="19">
        <f>'Industrial carbon footprint'!M14</f>
        <v>-12523.42484918586</v>
      </c>
      <c r="N14" s="19">
        <f>'Industrial carbon footprint'!N14</f>
        <v>-6770.5485010538168</v>
      </c>
      <c r="O14" s="19">
        <f>'Industrial carbon footprint'!O14</f>
        <v>10553.301868001872</v>
      </c>
      <c r="P14" s="19">
        <f>'Industrial carbon footprint'!P14</f>
        <v>-24094.398870109508</v>
      </c>
      <c r="Q14" s="19">
        <f>'Industrial carbon footprint'!Q14</f>
        <v>-8005.2388523364998</v>
      </c>
      <c r="R14" s="19">
        <f>'Industrial carbon footprint'!R14</f>
        <v>9318.6115167191892</v>
      </c>
      <c r="S14" s="19">
        <f>'Industrial carbon footprint'!S14</f>
        <v>-25329.089221392191</v>
      </c>
    </row>
    <row r="15" spans="1:19" x14ac:dyDescent="0.3">
      <c r="A15">
        <v>2032</v>
      </c>
      <c r="B15" s="19">
        <f>'Industrial carbon footprint'!B15</f>
        <v>9273.6129817806832</v>
      </c>
      <c r="C15" s="19">
        <f>'Industrial carbon footprint'!C15</f>
        <v>26761.242134425233</v>
      </c>
      <c r="D15" s="19">
        <f>'Industrial carbon footprint'!D15</f>
        <v>-8214.0161708638661</v>
      </c>
      <c r="E15" s="19">
        <f>'Industrial carbon footprint'!E15</f>
        <v>944.81553249091894</v>
      </c>
      <c r="F15" s="19">
        <f>'Industrial carbon footprint'!F15</f>
        <v>18432.44468513547</v>
      </c>
      <c r="G15" s="19">
        <f>'Industrial carbon footprint'!G15</f>
        <v>-16542.813620153629</v>
      </c>
      <c r="H15" s="19">
        <f>'Industrial carbon footprint'!H15</f>
        <v>-2135.0134865091322</v>
      </c>
      <c r="I15" s="19">
        <f>'Industrial carbon footprint'!I15</f>
        <v>15352.615666135418</v>
      </c>
      <c r="J15" s="19">
        <f>'Industrial carbon footprint'!J15</f>
        <v>-19622.642639153681</v>
      </c>
      <c r="K15" s="19">
        <f>'Industrial carbon footprint'!K15</f>
        <v>4717.6136517510895</v>
      </c>
      <c r="L15" s="19">
        <f>'Industrial carbon footprint'!L15</f>
        <v>22205.242804395639</v>
      </c>
      <c r="M15" s="19">
        <f>'Industrial carbon footprint'!M15</f>
        <v>-12770.01550089346</v>
      </c>
      <c r="N15" s="19">
        <f>'Industrial carbon footprint'!N15</f>
        <v>-7933.707186828944</v>
      </c>
      <c r="O15" s="19">
        <f>'Industrial carbon footprint'!O15</f>
        <v>9553.9219658156053</v>
      </c>
      <c r="P15" s="19">
        <f>'Industrial carbon footprint'!P15</f>
        <v>-25421.336339473492</v>
      </c>
      <c r="Q15" s="19">
        <f>'Industrial carbon footprint'!Q15</f>
        <v>-9266.3710687530274</v>
      </c>
      <c r="R15" s="19">
        <f>'Industrial carbon footprint'!R15</f>
        <v>8221.2580838915219</v>
      </c>
      <c r="S15" s="19">
        <f>'Industrial carbon footprint'!S15</f>
        <v>-26754.000221397575</v>
      </c>
    </row>
    <row r="16" spans="1:19" x14ac:dyDescent="0.3">
      <c r="A16">
        <v>2033</v>
      </c>
      <c r="B16" s="19">
        <f>'Industrial carbon footprint'!B16</f>
        <v>9610.7243093119814</v>
      </c>
      <c r="C16" s="19">
        <f>'Industrial carbon footprint'!C16</f>
        <v>27262.132245545399</v>
      </c>
      <c r="D16" s="19">
        <f>'Industrial carbon footprint'!D16</f>
        <v>-8040.6836269214382</v>
      </c>
      <c r="E16" s="19">
        <f>'Industrial carbon footprint'!E16</f>
        <v>426.30677403092835</v>
      </c>
      <c r="F16" s="19">
        <f>'Industrial carbon footprint'!F16</f>
        <v>18077.714710264347</v>
      </c>
      <c r="G16" s="19">
        <f>'Industrial carbon footprint'!G16</f>
        <v>-17225.101162202493</v>
      </c>
      <c r="H16" s="19">
        <f>'Industrial carbon footprint'!H16</f>
        <v>-2802.8654107548523</v>
      </c>
      <c r="I16" s="19">
        <f>'Industrial carbon footprint'!I16</f>
        <v>14848.542525478568</v>
      </c>
      <c r="J16" s="19">
        <f>'Industrial carbon footprint'!J16</f>
        <v>-20454.273346988273</v>
      </c>
      <c r="K16" s="19">
        <f>'Industrial carbon footprint'!K16</f>
        <v>4621.43295641432</v>
      </c>
      <c r="L16" s="19">
        <f>'Industrial carbon footprint'!L16</f>
        <v>22272.840892647739</v>
      </c>
      <c r="M16" s="19">
        <f>'Industrial carbon footprint'!M16</f>
        <v>-13029.974979819101</v>
      </c>
      <c r="N16" s="19">
        <f>'Industrial carbon footprint'!N16</f>
        <v>-9080.612581120884</v>
      </c>
      <c r="O16" s="19">
        <f>'Industrial carbon footprint'!O16</f>
        <v>8570.7953551125356</v>
      </c>
      <c r="P16" s="19">
        <f>'Industrial carbon footprint'!P16</f>
        <v>-26732.020517354304</v>
      </c>
      <c r="Q16" s="19">
        <f>'Industrial carbon footprint'!Q16</f>
        <v>-10505.100798814146</v>
      </c>
      <c r="R16" s="19">
        <f>'Industrial carbon footprint'!R16</f>
        <v>7146.3071374192732</v>
      </c>
      <c r="S16" s="19">
        <f>'Industrial carbon footprint'!S16</f>
        <v>-28156.508735047566</v>
      </c>
    </row>
    <row r="17" spans="1:19" x14ac:dyDescent="0.3">
      <c r="A17">
        <v>2034</v>
      </c>
      <c r="B17" s="19">
        <f>'Industrial carbon footprint'!B17</f>
        <v>9933.3732765537225</v>
      </c>
      <c r="C17" s="19">
        <f>'Industrial carbon footprint'!C17</f>
        <v>27748.559996376003</v>
      </c>
      <c r="D17" s="19">
        <f>'Industrial carbon footprint'!D17</f>
        <v>-7881.8134432685565</v>
      </c>
      <c r="E17" s="19">
        <f>'Industrial carbon footprint'!E17</f>
        <v>-109.88111117666006</v>
      </c>
      <c r="F17" s="19">
        <f>'Industrial carbon footprint'!F17</f>
        <v>17705.30560864562</v>
      </c>
      <c r="G17" s="19">
        <f>'Industrial carbon footprint'!G17</f>
        <v>-17925.067830998938</v>
      </c>
      <c r="H17" s="19">
        <f>'Industrial carbon footprint'!H17</f>
        <v>-3464.2386507124725</v>
      </c>
      <c r="I17" s="19">
        <f>'Industrial carbon footprint'!I17</f>
        <v>14350.948069109807</v>
      </c>
      <c r="J17" s="19">
        <f>'Industrial carbon footprint'!J17</f>
        <v>-21279.425370534751</v>
      </c>
      <c r="K17" s="19">
        <f>'Industrial carbon footprint'!K17</f>
        <v>4514.3074439706897</v>
      </c>
      <c r="L17" s="19">
        <f>'Industrial carbon footprint'!L17</f>
        <v>22329.49416379297</v>
      </c>
      <c r="M17" s="19">
        <f>'Industrial carbon footprint'!M17</f>
        <v>-13300.879275851588</v>
      </c>
      <c r="N17" s="19">
        <f>'Industrial carbon footprint'!N17</f>
        <v>-10206.289072237923</v>
      </c>
      <c r="O17" s="19">
        <f>'Industrial carbon footprint'!O17</f>
        <v>7608.8976475843556</v>
      </c>
      <c r="P17" s="19">
        <f>'Industrial carbon footprint'!P17</f>
        <v>-28021.475792060202</v>
      </c>
      <c r="Q17" s="19">
        <f>'Industrial carbon footprint'!Q17</f>
        <v>-11716.287200756311</v>
      </c>
      <c r="R17" s="19">
        <f>'Industrial carbon footprint'!R17</f>
        <v>6098.899519065968</v>
      </c>
      <c r="S17" s="19">
        <f>'Industrial carbon footprint'!S17</f>
        <v>-29531.473920578588</v>
      </c>
    </row>
    <row r="18" spans="1:19" x14ac:dyDescent="0.3">
      <c r="A18">
        <v>2035</v>
      </c>
      <c r="B18" s="19">
        <f>'Industrial carbon footprint'!B18</f>
        <v>10242.810415015925</v>
      </c>
      <c r="C18" s="19">
        <f>'Industrial carbon footprint'!C18</f>
        <v>28221.775918427062</v>
      </c>
      <c r="D18" s="19">
        <f>'Industrial carbon footprint'!D18</f>
        <v>-7736.1550883952132</v>
      </c>
      <c r="E18" s="19">
        <f>'Industrial carbon footprint'!E18</f>
        <v>-660.3411419689952</v>
      </c>
      <c r="F18" s="19">
        <f>'Industrial carbon footprint'!F18</f>
        <v>17318.624361442144</v>
      </c>
      <c r="G18" s="19">
        <f>'Industrial carbon footprint'!G18</f>
        <v>-18639.306645380133</v>
      </c>
      <c r="H18" s="19">
        <f>'Industrial carbon footprint'!H18</f>
        <v>-4116.0911772633799</v>
      </c>
      <c r="I18" s="19">
        <f>'Industrial carbon footprint'!I18</f>
        <v>13862.874326147758</v>
      </c>
      <c r="J18" s="19">
        <f>'Industrial carbon footprint'!J18</f>
        <v>-22095.056680674519</v>
      </c>
      <c r="K18" s="19">
        <f>'Industrial carbon footprint'!K18</f>
        <v>4398.416979258338</v>
      </c>
      <c r="L18" s="19">
        <f>'Industrial carbon footprint'!L18</f>
        <v>22377.382482669476</v>
      </c>
      <c r="M18" s="19">
        <f>'Industrial carbon footprint'!M18</f>
        <v>-13580.5485241528</v>
      </c>
      <c r="N18" s="19">
        <f>'Industrial carbon footprint'!N18</f>
        <v>-11307.118053238733</v>
      </c>
      <c r="O18" s="19">
        <f>'Industrial carbon footprint'!O18</f>
        <v>6671.8474501724049</v>
      </c>
      <c r="P18" s="19">
        <f>'Industrial carbon footprint'!P18</f>
        <v>-29286.083556649872</v>
      </c>
      <c r="Q18" s="19">
        <f>'Industrial carbon footprint'!Q18</f>
        <v>-12896.27478267786</v>
      </c>
      <c r="R18" s="19">
        <f>'Industrial carbon footprint'!R18</f>
        <v>5082.6907207332788</v>
      </c>
      <c r="S18" s="19">
        <f>'Industrial carbon footprint'!S18</f>
        <v>-30875.240286089</v>
      </c>
    </row>
    <row r="19" spans="1:19" x14ac:dyDescent="0.3">
      <c r="A19">
        <v>2036</v>
      </c>
      <c r="B19" s="19">
        <f>'Industrial carbon footprint'!B19</f>
        <v>10540.345043801444</v>
      </c>
      <c r="C19" s="19">
        <f>'Industrial carbon footprint'!C19</f>
        <v>28532.817442497115</v>
      </c>
      <c r="D19" s="19">
        <f>'Industrial carbon footprint'!D19</f>
        <v>-7452.1273548942263</v>
      </c>
      <c r="E19" s="19">
        <f>'Industrial carbon footprint'!E19</f>
        <v>-1222.1657711319581</v>
      </c>
      <c r="F19" s="19">
        <f>'Industrial carbon footprint'!F19</f>
        <v>16770.306627563714</v>
      </c>
      <c r="G19" s="19">
        <f>'Industrial carbon footprint'!G19</f>
        <v>-19214.638169827627</v>
      </c>
      <c r="H19" s="19">
        <f>'Industrial carbon footprint'!H19</f>
        <v>-4756.127809428699</v>
      </c>
      <c r="I19" s="19">
        <f>'Industrial carbon footprint'!I19</f>
        <v>13236.344589266972</v>
      </c>
      <c r="J19" s="19">
        <f>'Industrial carbon footprint'!J19</f>
        <v>-22748.600208124371</v>
      </c>
      <c r="K19" s="19">
        <f>'Industrial carbon footprint'!K19</f>
        <v>4275.6843259993211</v>
      </c>
      <c r="L19" s="19">
        <f>'Industrial carbon footprint'!L19</f>
        <v>22268.156724694993</v>
      </c>
      <c r="M19" s="19">
        <f>'Industrial carbon footprint'!M19</f>
        <v>-13716.788072696349</v>
      </c>
      <c r="N19" s="19">
        <f>'Industrial carbon footprint'!N19</f>
        <v>-12380.629354977571</v>
      </c>
      <c r="O19" s="19">
        <f>'Industrial carbon footprint'!O19</f>
        <v>5611.8430437180996</v>
      </c>
      <c r="P19" s="19">
        <f>'Industrial carbon footprint'!P19</f>
        <v>-30373.10175367324</v>
      </c>
      <c r="Q19" s="19">
        <f>'Industrial carbon footprint'!Q19</f>
        <v>-14042.655125080362</v>
      </c>
      <c r="R19" s="19">
        <f>'Industrial carbon footprint'!R19</f>
        <v>3949.8172736153083</v>
      </c>
      <c r="S19" s="19">
        <f>'Industrial carbon footprint'!S19</f>
        <v>-32035.127523776035</v>
      </c>
    </row>
    <row r="20" spans="1:19" x14ac:dyDescent="0.3">
      <c r="A20">
        <v>2037</v>
      </c>
      <c r="B20" s="19">
        <f>'Industrial carbon footprint'!B20</f>
        <v>10827.288763535214</v>
      </c>
      <c r="C20" s="19">
        <f>'Industrial carbon footprint'!C20</f>
        <v>28833.268057515415</v>
      </c>
      <c r="D20" s="19">
        <f>'Industrial carbon footprint'!D20</f>
        <v>-7178.6905304449847</v>
      </c>
      <c r="E20" s="19">
        <f>'Industrial carbon footprint'!E20</f>
        <v>-1792.9122351723656</v>
      </c>
      <c r="F20" s="19">
        <f>'Industrial carbon footprint'!F20</f>
        <v>16213.067058807834</v>
      </c>
      <c r="G20" s="19">
        <f>'Industrial carbon footprint'!G20</f>
        <v>-19798.891529152566</v>
      </c>
      <c r="H20" s="19">
        <f>'Industrial carbon footprint'!H20</f>
        <v>-5382.6886617366717</v>
      </c>
      <c r="I20" s="19">
        <f>'Industrial carbon footprint'!I20</f>
        <v>12623.290632243526</v>
      </c>
      <c r="J20" s="19">
        <f>'Industrial carbon footprint'!J20</f>
        <v>-23388.667955716872</v>
      </c>
      <c r="K20" s="19">
        <f>'Industrial carbon footprint'!K20</f>
        <v>4147.7777707692831</v>
      </c>
      <c r="L20" s="19">
        <f>'Industrial carbon footprint'!L20</f>
        <v>22153.757064749483</v>
      </c>
      <c r="M20" s="19">
        <f>'Industrial carbon footprint'!M20</f>
        <v>-13858.201523210915</v>
      </c>
      <c r="N20" s="19">
        <f>'Industrial carbon footprint'!N20</f>
        <v>-13425.297058281589</v>
      </c>
      <c r="O20" s="19">
        <f>'Industrial carbon footprint'!O20</f>
        <v>4580.6822356986104</v>
      </c>
      <c r="P20" s="19">
        <f>'Industrial carbon footprint'!P20</f>
        <v>-31431.27635226179</v>
      </c>
      <c r="Q20" s="19">
        <f>'Industrial carbon footprint'!Q20</f>
        <v>-15154.036683121145</v>
      </c>
      <c r="R20" s="19">
        <f>'Industrial carbon footprint'!R20</f>
        <v>2851.9426108590542</v>
      </c>
      <c r="S20" s="19">
        <f>'Industrial carbon footprint'!S20</f>
        <v>-33160.015977101342</v>
      </c>
    </row>
    <row r="21" spans="1:19" x14ac:dyDescent="0.3">
      <c r="A21">
        <v>2038</v>
      </c>
      <c r="B21" s="19">
        <f>'Industrial carbon footprint'!B21</f>
        <v>11104.914689004983</v>
      </c>
      <c r="C21" s="19">
        <f>'Industrial carbon footprint'!C21</f>
        <v>29124.400878269713</v>
      </c>
      <c r="D21" s="19">
        <f>'Industrial carbon footprint'!D21</f>
        <v>-6914.5715002597481</v>
      </c>
      <c r="E21" s="19">
        <f>'Industrial carbon footprint'!E21</f>
        <v>-2370.5568591701613</v>
      </c>
      <c r="F21" s="19">
        <f>'Industrial carbon footprint'!F21</f>
        <v>15648.92933009457</v>
      </c>
      <c r="G21" s="19">
        <f>'Industrial carbon footprint'!G21</f>
        <v>-20390.043048434891</v>
      </c>
      <c r="H21" s="19">
        <f>'Industrial carbon footprint'!H21</f>
        <v>-5994.6409328236141</v>
      </c>
      <c r="I21" s="19">
        <f>'Industrial carbon footprint'!I21</f>
        <v>12024.845256441116</v>
      </c>
      <c r="J21" s="19">
        <f>'Industrial carbon footprint'!J21</f>
        <v>-24014.127122088346</v>
      </c>
      <c r="K21" s="19">
        <f>'Industrial carbon footprint'!K21</f>
        <v>4016.1242657926155</v>
      </c>
      <c r="L21" s="19">
        <f>'Industrial carbon footprint'!L21</f>
        <v>22035.610455057347</v>
      </c>
      <c r="M21" s="19">
        <f>'Industrial carbon footprint'!M21</f>
        <v>-14003.361923472115</v>
      </c>
      <c r="N21" s="19">
        <f>'Industrial carbon footprint'!N21</f>
        <v>-14440.351039362327</v>
      </c>
      <c r="O21" s="19">
        <f>'Industrial carbon footprint'!O21</f>
        <v>3579.135149902404</v>
      </c>
      <c r="P21" s="19">
        <f>'Industrial carbon footprint'!P21</f>
        <v>-32459.837228627061</v>
      </c>
      <c r="Q21" s="19">
        <f>'Industrial carbon footprint'!Q21</f>
        <v>-16229.834473615545</v>
      </c>
      <c r="R21" s="19">
        <f>'Industrial carbon footprint'!R21</f>
        <v>1789.6517156491864</v>
      </c>
      <c r="S21" s="19">
        <f>'Industrial carbon footprint'!S21</f>
        <v>-34249.320662880273</v>
      </c>
    </row>
    <row r="22" spans="1:19" x14ac:dyDescent="0.3">
      <c r="A22">
        <v>2039</v>
      </c>
      <c r="B22" s="19">
        <f>'Industrial carbon footprint'!B22</f>
        <v>11374.429852907617</v>
      </c>
      <c r="C22" s="19">
        <f>'Industrial carbon footprint'!C22</f>
        <v>29407.422937456868</v>
      </c>
      <c r="D22" s="19">
        <f>'Industrial carbon footprint'!D22</f>
        <v>-6658.5632316416322</v>
      </c>
      <c r="E22" s="19">
        <f>'Industrial carbon footprint'!E22</f>
        <v>-2953.4445654435135</v>
      </c>
      <c r="F22" s="19">
        <f>'Industrial carbon footprint'!F22</f>
        <v>15079.548519105736</v>
      </c>
      <c r="G22" s="19">
        <f>'Industrial carbon footprint'!G22</f>
        <v>-20986.437649992764</v>
      </c>
      <c r="H22" s="19">
        <f>'Industrial carbon footprint'!H22</f>
        <v>-6591.279361558898</v>
      </c>
      <c r="I22" s="19">
        <f>'Industrial carbon footprint'!I22</f>
        <v>11441.713722990351</v>
      </c>
      <c r="J22" s="19">
        <f>'Industrial carbon footprint'!J22</f>
        <v>-24624.272446108145</v>
      </c>
      <c r="K22" s="19">
        <f>'Industrial carbon footprint'!K22</f>
        <v>3881.928977498545</v>
      </c>
      <c r="L22" s="19">
        <f>'Industrial carbon footprint'!L22</f>
        <v>21914.922062047794</v>
      </c>
      <c r="M22" s="19">
        <f>'Industrial carbon footprint'!M22</f>
        <v>-14151.064107050704</v>
      </c>
      <c r="N22" s="19">
        <f>'Industrial carbon footprint'!N22</f>
        <v>-15425.61037698462</v>
      </c>
      <c r="O22" s="19">
        <f>'Industrial carbon footprint'!O22</f>
        <v>2607.3827075646295</v>
      </c>
      <c r="P22" s="19">
        <f>'Industrial carbon footprint'!P22</f>
        <v>-33458.603461533872</v>
      </c>
      <c r="Q22" s="19">
        <f>'Industrial carbon footprint'!Q22</f>
        <v>-17270.085740895782</v>
      </c>
      <c r="R22" s="19">
        <f>'Industrial carbon footprint'!R22</f>
        <v>762.90734365346725</v>
      </c>
      <c r="S22" s="19">
        <f>'Industrial carbon footprint'!S22</f>
        <v>-35303.078825445031</v>
      </c>
    </row>
    <row r="23" spans="1:19" x14ac:dyDescent="0.3">
      <c r="A23">
        <v>2040</v>
      </c>
      <c r="B23" s="19">
        <f>'Industrial carbon footprint'!B23</f>
        <v>11636.958136715986</v>
      </c>
      <c r="C23" s="19">
        <f>'Industrial carbon footprint'!C23</f>
        <v>29683.458116549766</v>
      </c>
      <c r="D23" s="19">
        <f>'Industrial carbon footprint'!D23</f>
        <v>-6409.541843117795</v>
      </c>
      <c r="E23" s="19">
        <f>'Industrial carbon footprint'!E23</f>
        <v>-3540.2379811878113</v>
      </c>
      <c r="F23" s="19">
        <f>'Industrial carbon footprint'!F23</f>
        <v>14506.26199864597</v>
      </c>
      <c r="G23" s="19">
        <f>'Industrial carbon footprint'!G23</f>
        <v>-21586.737961021594</v>
      </c>
      <c r="H23" s="19">
        <f>'Industrial carbon footprint'!H23</f>
        <v>-7172.2381457216816</v>
      </c>
      <c r="I23" s="19">
        <f>'Industrial carbon footprint'!I23</f>
        <v>10874.2618341121</v>
      </c>
      <c r="J23" s="19">
        <f>'Industrial carbon footprint'!J23</f>
        <v>-25218.738125555465</v>
      </c>
      <c r="K23" s="19">
        <f>'Industrial carbon footprint'!K23</f>
        <v>3746.1981040998658</v>
      </c>
      <c r="L23" s="19">
        <f>'Industrial carbon footprint'!L23</f>
        <v>21792.698083933647</v>
      </c>
      <c r="M23" s="19">
        <f>'Industrial carbon footprint'!M23</f>
        <v>-14300.301875733916</v>
      </c>
      <c r="N23" s="19">
        <f>'Industrial carbon footprint'!N23</f>
        <v>-16381.340950433349</v>
      </c>
      <c r="O23" s="19">
        <f>'Industrial carbon footprint'!O23</f>
        <v>1665.1590294004327</v>
      </c>
      <c r="P23" s="19">
        <f>'Industrial carbon footprint'!P23</f>
        <v>-34427.840930267128</v>
      </c>
      <c r="Q23" s="19">
        <f>'Industrial carbon footprint'!Q23</f>
        <v>-18275.293601110912</v>
      </c>
      <c r="R23" s="19">
        <f>'Industrial carbon footprint'!R23</f>
        <v>-228.79362127713102</v>
      </c>
      <c r="S23" s="19">
        <f>'Industrial carbon footprint'!S23</f>
        <v>-36321.793580944694</v>
      </c>
    </row>
    <row r="24" spans="1:19" x14ac:dyDescent="0.3">
      <c r="A24">
        <v>2041</v>
      </c>
      <c r="B24" s="19">
        <f>'Industrial carbon footprint'!B24</f>
        <v>11893.531277313477</v>
      </c>
      <c r="C24" s="19">
        <f>'Industrial carbon footprint'!C24</f>
        <v>29870.883942127381</v>
      </c>
      <c r="D24" s="19">
        <f>'Industrial carbon footprint'!D24</f>
        <v>-6083.821387500424</v>
      </c>
      <c r="E24" s="19">
        <f>'Industrial carbon footprint'!E24</f>
        <v>-4129.8690058376224</v>
      </c>
      <c r="F24" s="19">
        <f>'Industrial carbon footprint'!F24</f>
        <v>13847.483658976278</v>
      </c>
      <c r="G24" s="19">
        <f>'Industrial carbon footprint'!G24</f>
        <v>-22107.221670651525</v>
      </c>
      <c r="H24" s="19">
        <f>'Industrial carbon footprint'!H24</f>
        <v>-7737.415314338783</v>
      </c>
      <c r="I24" s="19">
        <f>'Industrial carbon footprint'!I24</f>
        <v>10239.937350475118</v>
      </c>
      <c r="J24" s="19">
        <f>'Industrial carbon footprint'!J24</f>
        <v>-25714.767979152683</v>
      </c>
      <c r="K24" s="19">
        <f>'Industrial carbon footprint'!K24</f>
        <v>3609.7627078378387</v>
      </c>
      <c r="L24" s="19">
        <f>'Industrial carbon footprint'!L24</f>
        <v>21587.11537265174</v>
      </c>
      <c r="M24" s="19">
        <f>'Industrial carbon footprint'!M24</f>
        <v>-14367.589956976062</v>
      </c>
      <c r="N24" s="19">
        <f>'Industrial carbon footprint'!N24</f>
        <v>-17308.137018667931</v>
      </c>
      <c r="O24" s="19">
        <f>'Industrial carbon footprint'!O24</f>
        <v>669.21564614597082</v>
      </c>
      <c r="P24" s="19">
        <f>'Industrial carbon footprint'!P24</f>
        <v>-35285.489683481836</v>
      </c>
      <c r="Q24" s="19">
        <f>'Industrial carbon footprint'!Q24</f>
        <v>-19246.297975112961</v>
      </c>
      <c r="R24" s="19">
        <f>'Industrial carbon footprint'!R24</f>
        <v>-1268.9453102990592</v>
      </c>
      <c r="S24" s="19">
        <f>'Industrial carbon footprint'!S24</f>
        <v>-37223.650639926862</v>
      </c>
    </row>
    <row r="25" spans="1:19" x14ac:dyDescent="0.3">
      <c r="A25">
        <v>2042</v>
      </c>
      <c r="B25" s="19">
        <f>'Industrial carbon footprint'!B25</f>
        <v>12145.085826298891</v>
      </c>
      <c r="C25" s="19">
        <f>'Industrial carbon footprint'!C25</f>
        <v>30053.29117609292</v>
      </c>
      <c r="D25" s="19">
        <f>'Industrial carbon footprint'!D25</f>
        <v>-5763.1195234951374</v>
      </c>
      <c r="E25" s="19">
        <f>'Industrial carbon footprint'!E25</f>
        <v>-4721.494514462428</v>
      </c>
      <c r="F25" s="19">
        <f>'Industrial carbon footprint'!F25</f>
        <v>13186.7108353316</v>
      </c>
      <c r="G25" s="19">
        <f>'Industrial carbon footprint'!G25</f>
        <v>-22629.699864256458</v>
      </c>
      <c r="H25" s="19">
        <f>'Industrial carbon footprint'!H25</f>
        <v>-8286.9093566947831</v>
      </c>
      <c r="I25" s="19">
        <f>'Industrial carbon footprint'!I25</f>
        <v>9621.2959930992456</v>
      </c>
      <c r="J25" s="19">
        <f>'Industrial carbon footprint'!J25</f>
        <v>-26195.114706488814</v>
      </c>
      <c r="K25" s="19">
        <f>'Industrial carbon footprint'!K25</f>
        <v>3473.3020407572508</v>
      </c>
      <c r="L25" s="19">
        <f>'Industrial carbon footprint'!L25</f>
        <v>21381.50739055128</v>
      </c>
      <c r="M25" s="19">
        <f>'Industrial carbon footprint'!M25</f>
        <v>-14434.903309036778</v>
      </c>
      <c r="N25" s="19">
        <f>'Industrial carbon footprint'!N25</f>
        <v>-18206.825036819908</v>
      </c>
      <c r="O25" s="19">
        <f>'Industrial carbon footprint'!O25</f>
        <v>-298.6196870258791</v>
      </c>
      <c r="P25" s="19">
        <f>'Industrial carbon footprint'!P25</f>
        <v>-36115.030386613937</v>
      </c>
      <c r="Q25" s="19">
        <f>'Industrial carbon footprint'!Q25</f>
        <v>-20184.171534978454</v>
      </c>
      <c r="R25" s="19">
        <f>'Industrial carbon footprint'!R25</f>
        <v>-2275.9661851844248</v>
      </c>
      <c r="S25" s="19">
        <f>'Industrial carbon footprint'!S25</f>
        <v>-38092.376884772486</v>
      </c>
    </row>
    <row r="26" spans="1:19" x14ac:dyDescent="0.3">
      <c r="A26">
        <v>2043</v>
      </c>
      <c r="B26" s="19">
        <f>'Industrial carbon footprint'!B26</f>
        <v>12392.464312474236</v>
      </c>
      <c r="C26" s="19">
        <f>'Industrial carbon footprint'!C26</f>
        <v>30231.522347248385</v>
      </c>
      <c r="D26" s="19">
        <f>'Industrial carbon footprint'!D26</f>
        <v>-5446.5937222999128</v>
      </c>
      <c r="E26" s="19">
        <f>'Industrial carbon footprint'!E26</f>
        <v>-5314.4570125380078</v>
      </c>
      <c r="F26" s="19">
        <f>'Industrial carbon footprint'!F26</f>
        <v>12524.60102223614</v>
      </c>
      <c r="G26" s="19">
        <f>'Industrial carbon footprint'!G26</f>
        <v>-23153.515047312158</v>
      </c>
      <c r="H26" s="19">
        <f>'Industrial carbon footprint'!H26</f>
        <v>-8820.9672008743419</v>
      </c>
      <c r="I26" s="19">
        <f>'Industrial carbon footprint'!I26</f>
        <v>9018.090833899807</v>
      </c>
      <c r="J26" s="19">
        <f>'Industrial carbon footprint'!J26</f>
        <v>-26660.025235648493</v>
      </c>
      <c r="K26" s="19">
        <f>'Industrial carbon footprint'!K26</f>
        <v>3337.3654150623165</v>
      </c>
      <c r="L26" s="19">
        <f>'Industrial carbon footprint'!L26</f>
        <v>21176.423449836464</v>
      </c>
      <c r="M26" s="19">
        <f>'Industrial carbon footprint'!M26</f>
        <v>-14501.692619711832</v>
      </c>
      <c r="N26" s="19">
        <f>'Industrial carbon footprint'!N26</f>
        <v>-19078.387170484864</v>
      </c>
      <c r="O26" s="19">
        <f>'Industrial carbon footprint'!O26</f>
        <v>-1239.3291357107155</v>
      </c>
      <c r="P26" s="19">
        <f>'Industrial carbon footprint'!P26</f>
        <v>-36917.445205259013</v>
      </c>
      <c r="Q26" s="19">
        <f>'Industrial carbon footprint'!Q26</f>
        <v>-21090.137605765925</v>
      </c>
      <c r="R26" s="19">
        <f>'Industrial carbon footprint'!R26</f>
        <v>-3251.0795709917766</v>
      </c>
      <c r="S26" s="19">
        <f>'Industrial carbon footprint'!S26</f>
        <v>-38929.195640540071</v>
      </c>
    </row>
    <row r="27" spans="1:19" x14ac:dyDescent="0.3">
      <c r="A27">
        <v>2044</v>
      </c>
      <c r="B27" s="19">
        <f>'Industrial carbon footprint'!B27</f>
        <v>12636.419221983337</v>
      </c>
      <c r="C27" s="19">
        <f>'Industrial carbon footprint'!C27</f>
        <v>30406.329941737604</v>
      </c>
      <c r="D27" s="19">
        <f>'Industrial carbon footprint'!D27</f>
        <v>-5133.4914977709323</v>
      </c>
      <c r="E27" s="19">
        <f>'Industrial carbon footprint'!E27</f>
        <v>-5908.25046725637</v>
      </c>
      <c r="F27" s="19">
        <f>'Industrial carbon footprint'!F27</f>
        <v>11861.660252497899</v>
      </c>
      <c r="G27" s="19">
        <f>'Industrial carbon footprint'!G27</f>
        <v>-23678.161187010639</v>
      </c>
      <c r="H27" s="19">
        <f>'Industrial carbon footprint'!H27</f>
        <v>-9339.9422703451201</v>
      </c>
      <c r="I27" s="19">
        <f>'Industrial carbon footprint'!I27</f>
        <v>8429.9684494091489</v>
      </c>
      <c r="J27" s="19">
        <f>'Industrial carbon footprint'!J27</f>
        <v>-27109.852990099389</v>
      </c>
      <c r="K27" s="19">
        <f>'Industrial carbon footprint'!K27</f>
        <v>3202.3920926936762</v>
      </c>
      <c r="L27" s="19">
        <f>'Industrial carbon footprint'!L27</f>
        <v>20972.302812447946</v>
      </c>
      <c r="M27" s="19">
        <f>'Industrial carbon footprint'!M27</f>
        <v>-14567.518627060592</v>
      </c>
      <c r="N27" s="19">
        <f>'Industrial carbon footprint'!N27</f>
        <v>-19923.901677813195</v>
      </c>
      <c r="O27" s="19">
        <f>'Industrial carbon footprint'!O27</f>
        <v>-2153.9909580589265</v>
      </c>
      <c r="P27" s="19">
        <f>'Industrial carbon footprint'!P27</f>
        <v>-37693.812397567468</v>
      </c>
      <c r="Q27" s="19">
        <f>'Industrial carbon footprint'!Q27</f>
        <v>-21965.506721350328</v>
      </c>
      <c r="R27" s="19">
        <f>'Industrial carbon footprint'!R27</f>
        <v>-4195.5960015960591</v>
      </c>
      <c r="S27" s="19">
        <f>'Industrial carbon footprint'!S27</f>
        <v>-39735.417441104597</v>
      </c>
    </row>
    <row r="28" spans="1:19" x14ac:dyDescent="0.3">
      <c r="A28">
        <v>2045</v>
      </c>
      <c r="B28" s="19">
        <f>'Industrial carbon footprint'!B28</f>
        <v>12877.618735647429</v>
      </c>
      <c r="C28" s="19">
        <f>'Industrial carbon footprint'!C28</f>
        <v>30578.382140381829</v>
      </c>
      <c r="D28" s="19">
        <f>'Industrial carbon footprint'!D28</f>
        <v>-4823.1446690869707</v>
      </c>
      <c r="E28" s="19">
        <f>'Industrial carbon footprint'!E28</f>
        <v>-6502.491161858713</v>
      </c>
      <c r="F28" s="19">
        <f>'Industrial carbon footprint'!F28</f>
        <v>11198.272242875686</v>
      </c>
      <c r="G28" s="19">
        <f>'Industrial carbon footprint'!G28</f>
        <v>-24203.254566593114</v>
      </c>
      <c r="H28" s="19">
        <f>'Industrial carbon footprint'!H28</f>
        <v>-9844.2612171004257</v>
      </c>
      <c r="I28" s="19">
        <f>'Industrial carbon footprint'!I28</f>
        <v>7856.5021876339742</v>
      </c>
      <c r="J28" s="19">
        <f>'Industrial carbon footprint'!J28</f>
        <v>-27545.024621834826</v>
      </c>
      <c r="K28" s="19">
        <f>'Industrial carbon footprint'!K28</f>
        <v>3068.7289672148117</v>
      </c>
      <c r="L28" s="19">
        <f>'Industrial carbon footprint'!L28</f>
        <v>20769.492371949211</v>
      </c>
      <c r="M28" s="19">
        <f>'Industrial carbon footprint'!M28</f>
        <v>-14632.034437519589</v>
      </c>
      <c r="N28" s="19">
        <f>'Industrial carbon footprint'!N28</f>
        <v>-20744.497359261488</v>
      </c>
      <c r="O28" s="19">
        <f>'Industrial carbon footprint'!O28</f>
        <v>-3043.7339545270879</v>
      </c>
      <c r="P28" s="19">
        <f>'Industrial carbon footprint'!P28</f>
        <v>-38445.260763995888</v>
      </c>
      <c r="Q28" s="19">
        <f>'Industrial carbon footprint'!Q28</f>
        <v>-22811.628626941219</v>
      </c>
      <c r="R28" s="19">
        <f>'Industrial carbon footprint'!R28</f>
        <v>-5110.8652222068195</v>
      </c>
      <c r="S28" s="19">
        <f>'Industrial carbon footprint'!S28</f>
        <v>-40512.392031675619</v>
      </c>
    </row>
    <row r="29" spans="1:19" x14ac:dyDescent="0.3">
      <c r="A29">
        <v>2046</v>
      </c>
      <c r="B29" s="19">
        <f>'Industrial carbon footprint'!B29</f>
        <v>13116.653437226152</v>
      </c>
      <c r="C29" s="19">
        <f>'Industrial carbon footprint'!C29</f>
        <v>30734.803815522024</v>
      </c>
      <c r="D29" s="19">
        <f>'Industrial carbon footprint'!D29</f>
        <v>-4501.4969410697195</v>
      </c>
      <c r="E29" s="19">
        <f>'Industrial carbon footprint'!E29</f>
        <v>-7096.8931971049706</v>
      </c>
      <c r="F29" s="19">
        <f>'Industrial carbon footprint'!F29</f>
        <v>10521.2571811909</v>
      </c>
      <c r="G29" s="19">
        <f>'Industrial carbon footprint'!G29</f>
        <v>-24715.043575400843</v>
      </c>
      <c r="H29" s="19">
        <f>'Industrial carbon footprint'!H29</f>
        <v>-10334.397947835318</v>
      </c>
      <c r="I29" s="19">
        <f>'Industrial carbon footprint'!I29</f>
        <v>7283.752430460554</v>
      </c>
      <c r="J29" s="19">
        <f>'Industrial carbon footprint'!J29</f>
        <v>-27952.548326131189</v>
      </c>
      <c r="K29" s="19">
        <f>'Industrial carbon footprint'!K29</f>
        <v>2936.6460106373675</v>
      </c>
      <c r="L29" s="19">
        <f>'Industrial carbon footprint'!L29</f>
        <v>20554.796388933239</v>
      </c>
      <c r="M29" s="19">
        <f>'Industrial carbon footprint'!M29</f>
        <v>-14681.504367658505</v>
      </c>
      <c r="N29" s="19">
        <f>'Industrial carbon footprint'!N29</f>
        <v>-21541.319488881909</v>
      </c>
      <c r="O29" s="19">
        <f>'Industrial carbon footprint'!O29</f>
        <v>-3923.1691105860373</v>
      </c>
      <c r="P29" s="19">
        <f>'Industrial carbon footprint'!P29</f>
        <v>-39159.469867177781</v>
      </c>
      <c r="Q29" s="19">
        <f>'Industrial carbon footprint'!Q29</f>
        <v>-23629.856802708731</v>
      </c>
      <c r="R29" s="19">
        <f>'Industrial carbon footprint'!R29</f>
        <v>-6011.7064244128596</v>
      </c>
      <c r="S29" s="19">
        <f>'Industrial carbon footprint'!S29</f>
        <v>-41248.007181004607</v>
      </c>
    </row>
    <row r="30" spans="1:19" x14ac:dyDescent="0.3">
      <c r="A30">
        <v>2047</v>
      </c>
      <c r="B30" s="19">
        <f>'Industrial carbon footprint'!B30</f>
        <v>13354.043428086756</v>
      </c>
      <c r="C30" s="19">
        <f>'Industrial carbon footprint'!C30</f>
        <v>30889.580779944106</v>
      </c>
      <c r="D30" s="19">
        <f>'Industrial carbon footprint'!D30</f>
        <v>-4181.4939237705948</v>
      </c>
      <c r="E30" s="19">
        <f>'Industrial carbon footprint'!E30</f>
        <v>-7691.2481515592535</v>
      </c>
      <c r="F30" s="19">
        <f>'Industrial carbon footprint'!F30</f>
        <v>9844.2892002980971</v>
      </c>
      <c r="G30" s="19">
        <f>'Industrial carbon footprint'!G30</f>
        <v>-25226.785503416606</v>
      </c>
      <c r="H30" s="19">
        <f>'Industrial carbon footprint'!H30</f>
        <v>-10810.853662704443</v>
      </c>
      <c r="I30" s="19">
        <f>'Industrial carbon footprint'!I30</f>
        <v>6724.6836891529074</v>
      </c>
      <c r="J30" s="19">
        <f>'Industrial carbon footprint'!J30</f>
        <v>-28346.391014561792</v>
      </c>
      <c r="K30" s="19">
        <f>'Industrial carbon footprint'!K30</f>
        <v>2806.3495829681247</v>
      </c>
      <c r="L30" s="19">
        <f>'Industrial carbon footprint'!L30</f>
        <v>20341.886934825474</v>
      </c>
      <c r="M30" s="19">
        <f>'Industrial carbon footprint'!M30</f>
        <v>-14729.187768889225</v>
      </c>
      <c r="N30" s="19">
        <f>'Industrial carbon footprint'!N30</f>
        <v>-22315.504945165005</v>
      </c>
      <c r="O30" s="19">
        <f>'Industrial carbon footprint'!O30</f>
        <v>-4779.9675933076542</v>
      </c>
      <c r="P30" s="19">
        <f>'Industrial carbon footprint'!P30</f>
        <v>-39851.042297022359</v>
      </c>
      <c r="Q30" s="19">
        <f>'Industrial carbon footprint'!Q30</f>
        <v>-24421.522951546398</v>
      </c>
      <c r="R30" s="19">
        <f>'Industrial carbon footprint'!R30</f>
        <v>-6885.9855996890474</v>
      </c>
      <c r="S30" s="19">
        <f>'Industrial carbon footprint'!S30</f>
        <v>-41957.060303403749</v>
      </c>
    </row>
    <row r="31" spans="1:19" x14ac:dyDescent="0.3">
      <c r="A31">
        <v>2048</v>
      </c>
      <c r="B31" s="19">
        <f>'Industrial carbon footprint'!B31</f>
        <v>13590.245457255853</v>
      </c>
      <c r="C31" s="19">
        <f>'Industrial carbon footprint'!C31</f>
        <v>31043.169782674671</v>
      </c>
      <c r="D31" s="19">
        <f>'Industrial carbon footprint'!D31</f>
        <v>-3862.678868162966</v>
      </c>
      <c r="E31" s="19">
        <f>'Industrial carbon footprint'!E31</f>
        <v>-8285.4083734922169</v>
      </c>
      <c r="F31" s="19">
        <f>'Industrial carbon footprint'!F31</f>
        <v>9167.5159519266017</v>
      </c>
      <c r="G31" s="19">
        <f>'Industrial carbon footprint'!G31</f>
        <v>-25738.332698911036</v>
      </c>
      <c r="H31" s="19">
        <f>'Industrial carbon footprint'!H31</f>
        <v>-11274.14177123857</v>
      </c>
      <c r="I31" s="19">
        <f>'Industrial carbon footprint'!I31</f>
        <v>6178.7825541802486</v>
      </c>
      <c r="J31" s="19">
        <f>'Industrial carbon footprint'!J31</f>
        <v>-28727.066096657389</v>
      </c>
      <c r="K31" s="19">
        <f>'Industrial carbon footprint'!K31</f>
        <v>2677.9937738140575</v>
      </c>
      <c r="L31" s="19">
        <f>'Industrial carbon footprint'!L31</f>
        <v>20130.918099232877</v>
      </c>
      <c r="M31" s="19">
        <f>'Industrial carbon footprint'!M31</f>
        <v>-14774.930551604761</v>
      </c>
      <c r="N31" s="19">
        <f>'Industrial carbon footprint'!N31</f>
        <v>-23068.16459267167</v>
      </c>
      <c r="O31" s="19">
        <f>'Industrial carbon footprint'!O31</f>
        <v>-5615.2402672528515</v>
      </c>
      <c r="P31" s="19">
        <f>'Industrial carbon footprint'!P31</f>
        <v>-40521.088918090492</v>
      </c>
      <c r="Q31" s="19">
        <f>'Industrial carbon footprint'!Q31</f>
        <v>-25187.919284647651</v>
      </c>
      <c r="R31" s="19">
        <f>'Industrial carbon footprint'!R31</f>
        <v>-7734.9949592288322</v>
      </c>
      <c r="S31" s="19">
        <f>'Industrial carbon footprint'!S31</f>
        <v>-42640.843610066469</v>
      </c>
    </row>
    <row r="32" spans="1:19" x14ac:dyDescent="0.3">
      <c r="A32">
        <v>2049</v>
      </c>
      <c r="B32" s="19">
        <f>'Industrial carbon footprint'!B32</f>
        <v>13825.659807795255</v>
      </c>
      <c r="C32" s="19">
        <f>'Industrial carbon footprint'!C32</f>
        <v>31195.971106775556</v>
      </c>
      <c r="D32" s="19">
        <f>'Industrial carbon footprint'!D32</f>
        <v>-3544.6514911850463</v>
      </c>
      <c r="E32" s="19">
        <f>'Industrial carbon footprint'!E32</f>
        <v>-8879.2733847755371</v>
      </c>
      <c r="F32" s="19">
        <f>'Industrial carbon footprint'!F32</f>
        <v>8491.0379142047641</v>
      </c>
      <c r="G32" s="19">
        <f>'Industrial carbon footprint'!G32</f>
        <v>-26249.584683755838</v>
      </c>
      <c r="H32" s="19">
        <f>'Industrial carbon footprint'!H32</f>
        <v>-11724.776708971585</v>
      </c>
      <c r="I32" s="19">
        <f>'Industrial carbon footprint'!I32</f>
        <v>5645.5345900087159</v>
      </c>
      <c r="J32" s="19">
        <f>'Industrial carbon footprint'!J32</f>
        <v>-29095.088007951887</v>
      </c>
      <c r="K32" s="19">
        <f>'Industrial carbon footprint'!K32</f>
        <v>2551.6899798774316</v>
      </c>
      <c r="L32" s="19">
        <f>'Industrial carbon footprint'!L32</f>
        <v>19922.001278857733</v>
      </c>
      <c r="M32" s="19">
        <f>'Industrial carbon footprint'!M32</f>
        <v>-14818.621319102869</v>
      </c>
      <c r="N32" s="19">
        <f>'Industrial carbon footprint'!N32</f>
        <v>-23800.371291150703</v>
      </c>
      <c r="O32" s="19">
        <f>'Industrial carbon footprint'!O32</f>
        <v>-6430.0599921704015</v>
      </c>
      <c r="P32" s="19">
        <f>'Industrial carbon footprint'!P32</f>
        <v>-41170.682590131008</v>
      </c>
      <c r="Q32" s="19">
        <f>'Industrial carbon footprint'!Q32</f>
        <v>-25930.286812989478</v>
      </c>
      <c r="R32" s="19">
        <f>'Industrial carbon footprint'!R32</f>
        <v>-8559.9755140091765</v>
      </c>
      <c r="S32" s="19">
        <f>'Industrial carbon footprint'!S32</f>
        <v>-43300.598111969783</v>
      </c>
    </row>
    <row r="33" spans="1:19" x14ac:dyDescent="0.3">
      <c r="A33">
        <v>2050</v>
      </c>
      <c r="B33" s="19">
        <f>'Industrial carbon footprint'!B33</f>
        <v>14060.636778285425</v>
      </c>
      <c r="C33" s="19">
        <f>'Industrial carbon footprint'!C33</f>
        <v>31348.335050827194</v>
      </c>
      <c r="D33" s="19">
        <f>'Industrial carbon footprint'!D33</f>
        <v>-3227.0614942563443</v>
      </c>
      <c r="E33" s="19">
        <f>'Industrial carbon footprint'!E33</f>
        <v>-9472.7789118444416</v>
      </c>
      <c r="F33" s="19">
        <f>'Industrial carbon footprint'!F33</f>
        <v>7814.9193606973276</v>
      </c>
      <c r="G33" s="19">
        <f>'Industrial carbon footprint'!G33</f>
        <v>-26760.477184386211</v>
      </c>
      <c r="H33" s="19">
        <f>'Industrial carbon footprint'!H33</f>
        <v>-12163.265834245634</v>
      </c>
      <c r="I33" s="19">
        <f>'Industrial carbon footprint'!I33</f>
        <v>5124.4324382961349</v>
      </c>
      <c r="J33" s="19">
        <f>'Industrial carbon footprint'!J33</f>
        <v>-29450.964106787404</v>
      </c>
      <c r="K33" s="19">
        <f>'Industrial carbon footprint'!K33</f>
        <v>2427.5149321529198</v>
      </c>
      <c r="L33" s="19">
        <f>'Industrial carbon footprint'!L33</f>
        <v>19715.21320469469</v>
      </c>
      <c r="M33" s="19">
        <f>'Industrial carbon footprint'!M33</f>
        <v>-14860.183340388849</v>
      </c>
      <c r="N33" s="19">
        <f>'Industrial carbon footprint'!N33</f>
        <v>-24513.152206437349</v>
      </c>
      <c r="O33" s="19">
        <f>'Industrial carbon footprint'!O33</f>
        <v>-7225.4539338955801</v>
      </c>
      <c r="P33" s="19">
        <f>'Industrial carbon footprint'!P33</f>
        <v>-41800.850478979119</v>
      </c>
      <c r="Q33" s="19">
        <f>'Industrial carbon footprint'!Q33</f>
        <v>-26649.80819082931</v>
      </c>
      <c r="R33" s="19">
        <f>'Industrial carbon footprint'!R33</f>
        <v>-9362.1099182875405</v>
      </c>
      <c r="S33" s="19">
        <f>'Industrial carbon footprint'!S33</f>
        <v>-43937.506463371079</v>
      </c>
    </row>
    <row r="44" spans="1:19" x14ac:dyDescent="0.3">
      <c r="A44" t="s">
        <v>28</v>
      </c>
      <c r="B44" s="18" t="s">
        <v>1</v>
      </c>
      <c r="C44" s="14" t="s">
        <v>2</v>
      </c>
      <c r="D44" s="20" t="s">
        <v>3</v>
      </c>
      <c r="E44" s="30" t="s">
        <v>27</v>
      </c>
    </row>
    <row r="45" spans="1:19" x14ac:dyDescent="0.3">
      <c r="A45">
        <v>2020</v>
      </c>
      <c r="B45" s="19">
        <f>B3</f>
        <v>4097.1804579128811</v>
      </c>
      <c r="C45" s="19">
        <f t="shared" ref="C45:D45" si="0">C3</f>
        <v>15255.573076435041</v>
      </c>
      <c r="D45" s="19">
        <f t="shared" si="0"/>
        <v>-7061.2121606092796</v>
      </c>
      <c r="E45" t="s">
        <v>10</v>
      </c>
    </row>
    <row r="46" spans="1:19" x14ac:dyDescent="0.3">
      <c r="A46">
        <v>2021</v>
      </c>
      <c r="B46" s="19">
        <f t="shared" ref="B46:B75" si="1">B4</f>
        <v>4844.633242115855</v>
      </c>
      <c r="C46" s="19">
        <f t="shared" ref="C46:D46" si="2">C4</f>
        <v>16771.282583078842</v>
      </c>
      <c r="D46" s="19">
        <f t="shared" si="2"/>
        <v>-7082.0160988471343</v>
      </c>
      <c r="E46" t="s">
        <v>10</v>
      </c>
    </row>
    <row r="47" spans="1:19" x14ac:dyDescent="0.3">
      <c r="A47">
        <v>2022</v>
      </c>
      <c r="B47" s="19">
        <f t="shared" si="1"/>
        <v>4712.0514499339261</v>
      </c>
      <c r="C47" s="19">
        <f t="shared" ref="C47:D47" si="3">C5</f>
        <v>17406.957513337744</v>
      </c>
      <c r="D47" s="19">
        <f t="shared" si="3"/>
        <v>-7982.8546134698936</v>
      </c>
      <c r="E47" t="s">
        <v>10</v>
      </c>
    </row>
    <row r="48" spans="1:19" x14ac:dyDescent="0.3">
      <c r="A48">
        <v>2023</v>
      </c>
      <c r="B48" s="19">
        <f t="shared" si="1"/>
        <v>5532.7577080237152</v>
      </c>
      <c r="C48" s="19">
        <f t="shared" ref="C48:D48" si="4">C6</f>
        <v>18995.920493868365</v>
      </c>
      <c r="D48" s="19">
        <f t="shared" si="4"/>
        <v>-7930.4050778209348</v>
      </c>
      <c r="E48" t="s">
        <v>10</v>
      </c>
    </row>
    <row r="49" spans="1:5" x14ac:dyDescent="0.3">
      <c r="A49">
        <v>2024</v>
      </c>
      <c r="B49" s="19">
        <f t="shared" si="1"/>
        <v>5998.8839822923974</v>
      </c>
      <c r="C49" s="19">
        <f t="shared" ref="C49:D49" si="5">C7</f>
        <v>20230.303490577877</v>
      </c>
      <c r="D49" s="19">
        <f t="shared" si="5"/>
        <v>-8232.5355259930839</v>
      </c>
      <c r="E49" t="s">
        <v>10</v>
      </c>
    </row>
    <row r="50" spans="1:5" x14ac:dyDescent="0.3">
      <c r="A50">
        <v>2025</v>
      </c>
      <c r="B50" s="19">
        <f t="shared" si="1"/>
        <v>6458.1936303097582</v>
      </c>
      <c r="C50" s="19">
        <f t="shared" ref="C50:D50" si="6">C8</f>
        <v>21457.86986103607</v>
      </c>
      <c r="D50" s="19">
        <f t="shared" si="6"/>
        <v>-8541.4826004165516</v>
      </c>
      <c r="E50" t="s">
        <v>10</v>
      </c>
    </row>
    <row r="51" spans="1:5" x14ac:dyDescent="0.3">
      <c r="A51">
        <v>2026</v>
      </c>
      <c r="B51" s="19">
        <f t="shared" si="1"/>
        <v>6906.9643417319348</v>
      </c>
      <c r="C51" s="19">
        <f t="shared" ref="C51:D51" si="7">C9</f>
        <v>22338.719643406344</v>
      </c>
      <c r="D51" s="19">
        <f t="shared" si="7"/>
        <v>-8524.7909599424747</v>
      </c>
      <c r="E51" t="s">
        <v>10</v>
      </c>
    </row>
    <row r="52" spans="1:5" x14ac:dyDescent="0.3">
      <c r="A52">
        <v>2027</v>
      </c>
      <c r="B52" s="19">
        <f t="shared" si="1"/>
        <v>7342.3240099611548</v>
      </c>
      <c r="C52" s="19">
        <f t="shared" ref="C52:D52" si="8">C10</f>
        <v>23206.158382583675</v>
      </c>
      <c r="D52" s="19">
        <f t="shared" si="8"/>
        <v>-8521.5103626613636</v>
      </c>
      <c r="E52" t="s">
        <v>10</v>
      </c>
    </row>
    <row r="53" spans="1:5" x14ac:dyDescent="0.3">
      <c r="A53">
        <v>2028</v>
      </c>
      <c r="B53" s="19">
        <f t="shared" si="1"/>
        <v>7762.2609431266465</v>
      </c>
      <c r="C53" s="19">
        <f t="shared" ref="C53:D53" si="9">C11</f>
        <v>24058.174386697268</v>
      </c>
      <c r="D53" s="19">
        <f t="shared" si="9"/>
        <v>-8533.6525004439736</v>
      </c>
      <c r="E53" t="s">
        <v>10</v>
      </c>
    </row>
    <row r="54" spans="1:5" x14ac:dyDescent="0.3">
      <c r="A54">
        <v>2029</v>
      </c>
      <c r="B54" s="19">
        <f t="shared" si="1"/>
        <v>8165.5707737188914</v>
      </c>
      <c r="C54" s="19">
        <f t="shared" ref="C54:D54" si="10">C12</f>
        <v>24893.563288237609</v>
      </c>
      <c r="D54" s="19">
        <f t="shared" si="10"/>
        <v>-8562.4217407998276</v>
      </c>
      <c r="E54" t="s">
        <v>10</v>
      </c>
    </row>
    <row r="55" spans="1:5" x14ac:dyDescent="0.3">
      <c r="A55">
        <v>2030</v>
      </c>
      <c r="B55" s="19">
        <f t="shared" si="1"/>
        <v>8551.7594410989186</v>
      </c>
      <c r="C55" s="19">
        <f t="shared" ref="C55:D55" si="11">C13</f>
        <v>25711.831026565749</v>
      </c>
      <c r="D55" s="19">
        <f t="shared" si="11"/>
        <v>-8608.312144367912</v>
      </c>
      <c r="E55" t="s">
        <v>10</v>
      </c>
    </row>
    <row r="56" spans="1:5" x14ac:dyDescent="0.3">
      <c r="A56">
        <v>2031</v>
      </c>
      <c r="B56" s="19">
        <f t="shared" si="1"/>
        <v>8920.921839220875</v>
      </c>
      <c r="C56" s="19">
        <f t="shared" ref="C56:D56" si="12">C14</f>
        <v>26244.772208276565</v>
      </c>
      <c r="D56" s="19">
        <f t="shared" si="12"/>
        <v>-8402.928529834815</v>
      </c>
      <c r="E56" t="s">
        <v>10</v>
      </c>
    </row>
    <row r="57" spans="1:5" x14ac:dyDescent="0.3">
      <c r="A57">
        <v>2032</v>
      </c>
      <c r="B57" s="19">
        <f t="shared" si="1"/>
        <v>9273.6129817806832</v>
      </c>
      <c r="C57" s="19">
        <f t="shared" ref="C57:D57" si="13">C15</f>
        <v>26761.242134425233</v>
      </c>
      <c r="D57" s="19">
        <f t="shared" si="13"/>
        <v>-8214.0161708638661</v>
      </c>
      <c r="E57" t="s">
        <v>10</v>
      </c>
    </row>
    <row r="58" spans="1:5" x14ac:dyDescent="0.3">
      <c r="A58">
        <v>2033</v>
      </c>
      <c r="B58" s="19">
        <f t="shared" si="1"/>
        <v>9610.7243093119814</v>
      </c>
      <c r="C58" s="19">
        <f t="shared" ref="C58:D58" si="14">C16</f>
        <v>27262.132245545399</v>
      </c>
      <c r="D58" s="19">
        <f t="shared" si="14"/>
        <v>-8040.6836269214382</v>
      </c>
      <c r="E58" t="s">
        <v>10</v>
      </c>
    </row>
    <row r="59" spans="1:5" x14ac:dyDescent="0.3">
      <c r="A59">
        <v>2034</v>
      </c>
      <c r="B59" s="19">
        <f t="shared" si="1"/>
        <v>9933.3732765537225</v>
      </c>
      <c r="C59" s="19">
        <f t="shared" ref="C59:D59" si="15">C17</f>
        <v>27748.559996376003</v>
      </c>
      <c r="D59" s="19">
        <f t="shared" si="15"/>
        <v>-7881.8134432685565</v>
      </c>
      <c r="E59" t="s">
        <v>10</v>
      </c>
    </row>
    <row r="60" spans="1:5" x14ac:dyDescent="0.3">
      <c r="A60">
        <v>2035</v>
      </c>
      <c r="B60" s="19">
        <f t="shared" si="1"/>
        <v>10242.810415015925</v>
      </c>
      <c r="C60" s="19">
        <f t="shared" ref="C60:D60" si="16">C18</f>
        <v>28221.775918427062</v>
      </c>
      <c r="D60" s="19">
        <f t="shared" si="16"/>
        <v>-7736.1550883952132</v>
      </c>
      <c r="E60" t="s">
        <v>10</v>
      </c>
    </row>
    <row r="61" spans="1:5" x14ac:dyDescent="0.3">
      <c r="A61">
        <v>2036</v>
      </c>
      <c r="B61" s="19">
        <f t="shared" si="1"/>
        <v>10540.345043801444</v>
      </c>
      <c r="C61" s="19">
        <f t="shared" ref="C61:D61" si="17">C19</f>
        <v>28532.817442497115</v>
      </c>
      <c r="D61" s="19">
        <f t="shared" si="17"/>
        <v>-7452.1273548942263</v>
      </c>
      <c r="E61" t="s">
        <v>10</v>
      </c>
    </row>
    <row r="62" spans="1:5" x14ac:dyDescent="0.3">
      <c r="A62">
        <v>2037</v>
      </c>
      <c r="B62" s="19">
        <f t="shared" si="1"/>
        <v>10827.288763535214</v>
      </c>
      <c r="C62" s="19">
        <f t="shared" ref="C62:D62" si="18">C20</f>
        <v>28833.268057515415</v>
      </c>
      <c r="D62" s="19">
        <f t="shared" si="18"/>
        <v>-7178.6905304449847</v>
      </c>
      <c r="E62" t="s">
        <v>10</v>
      </c>
    </row>
    <row r="63" spans="1:5" x14ac:dyDescent="0.3">
      <c r="A63">
        <v>2038</v>
      </c>
      <c r="B63" s="19">
        <f t="shared" si="1"/>
        <v>11104.914689004983</v>
      </c>
      <c r="C63" s="19">
        <f t="shared" ref="C63:D63" si="19">C21</f>
        <v>29124.400878269713</v>
      </c>
      <c r="D63" s="19">
        <f t="shared" si="19"/>
        <v>-6914.5715002597481</v>
      </c>
      <c r="E63" t="s">
        <v>10</v>
      </c>
    </row>
    <row r="64" spans="1:5" x14ac:dyDescent="0.3">
      <c r="A64">
        <v>2039</v>
      </c>
      <c r="B64" s="19">
        <f t="shared" si="1"/>
        <v>11374.429852907617</v>
      </c>
      <c r="C64" s="19">
        <f t="shared" ref="C64:D64" si="20">C22</f>
        <v>29407.422937456868</v>
      </c>
      <c r="D64" s="19">
        <f t="shared" si="20"/>
        <v>-6658.5632316416322</v>
      </c>
      <c r="E64" t="s">
        <v>10</v>
      </c>
    </row>
    <row r="65" spans="1:5" x14ac:dyDescent="0.3">
      <c r="A65">
        <v>2040</v>
      </c>
      <c r="B65" s="19">
        <f t="shared" si="1"/>
        <v>11636.958136715986</v>
      </c>
      <c r="C65" s="19">
        <f t="shared" ref="C65:D65" si="21">C23</f>
        <v>29683.458116549766</v>
      </c>
      <c r="D65" s="19">
        <f t="shared" si="21"/>
        <v>-6409.541843117795</v>
      </c>
      <c r="E65" t="s">
        <v>10</v>
      </c>
    </row>
    <row r="66" spans="1:5" x14ac:dyDescent="0.3">
      <c r="A66">
        <v>2041</v>
      </c>
      <c r="B66" s="19">
        <f t="shared" si="1"/>
        <v>11893.531277313477</v>
      </c>
      <c r="C66" s="19">
        <f t="shared" ref="C66:D66" si="22">C24</f>
        <v>29870.883942127381</v>
      </c>
      <c r="D66" s="19">
        <f t="shared" si="22"/>
        <v>-6083.821387500424</v>
      </c>
      <c r="E66" t="s">
        <v>10</v>
      </c>
    </row>
    <row r="67" spans="1:5" x14ac:dyDescent="0.3">
      <c r="A67">
        <v>2042</v>
      </c>
      <c r="B67" s="19">
        <f t="shared" si="1"/>
        <v>12145.085826298891</v>
      </c>
      <c r="C67" s="19">
        <f t="shared" ref="C67:D67" si="23">C25</f>
        <v>30053.29117609292</v>
      </c>
      <c r="D67" s="19">
        <f t="shared" si="23"/>
        <v>-5763.1195234951374</v>
      </c>
      <c r="E67" t="s">
        <v>10</v>
      </c>
    </row>
    <row r="68" spans="1:5" x14ac:dyDescent="0.3">
      <c r="A68">
        <v>2043</v>
      </c>
      <c r="B68" s="19">
        <f t="shared" si="1"/>
        <v>12392.464312474236</v>
      </c>
      <c r="C68" s="19">
        <f t="shared" ref="C68:D68" si="24">C26</f>
        <v>30231.522347248385</v>
      </c>
      <c r="D68" s="19">
        <f t="shared" si="24"/>
        <v>-5446.5937222999128</v>
      </c>
      <c r="E68" t="s">
        <v>10</v>
      </c>
    </row>
    <row r="69" spans="1:5" x14ac:dyDescent="0.3">
      <c r="A69">
        <v>2044</v>
      </c>
      <c r="B69" s="19">
        <f t="shared" si="1"/>
        <v>12636.419221983337</v>
      </c>
      <c r="C69" s="19">
        <f t="shared" ref="C69:D69" si="25">C27</f>
        <v>30406.329941737604</v>
      </c>
      <c r="D69" s="19">
        <f t="shared" si="25"/>
        <v>-5133.4914977709323</v>
      </c>
      <c r="E69" t="s">
        <v>10</v>
      </c>
    </row>
    <row r="70" spans="1:5" x14ac:dyDescent="0.3">
      <c r="A70">
        <v>2045</v>
      </c>
      <c r="B70" s="19">
        <f t="shared" si="1"/>
        <v>12877.618735647429</v>
      </c>
      <c r="C70" s="19">
        <f t="shared" ref="C70:D70" si="26">C28</f>
        <v>30578.382140381829</v>
      </c>
      <c r="D70" s="19">
        <f t="shared" si="26"/>
        <v>-4823.1446690869707</v>
      </c>
      <c r="E70" t="s">
        <v>10</v>
      </c>
    </row>
    <row r="71" spans="1:5" x14ac:dyDescent="0.3">
      <c r="A71">
        <v>2046</v>
      </c>
      <c r="B71" s="19">
        <f t="shared" si="1"/>
        <v>13116.653437226152</v>
      </c>
      <c r="C71" s="19">
        <f t="shared" ref="C71:D71" si="27">C29</f>
        <v>30734.803815522024</v>
      </c>
      <c r="D71" s="19">
        <f t="shared" si="27"/>
        <v>-4501.4969410697195</v>
      </c>
      <c r="E71" t="s">
        <v>10</v>
      </c>
    </row>
    <row r="72" spans="1:5" x14ac:dyDescent="0.3">
      <c r="A72">
        <v>2047</v>
      </c>
      <c r="B72" s="19">
        <f t="shared" si="1"/>
        <v>13354.043428086756</v>
      </c>
      <c r="C72" s="19">
        <f t="shared" ref="C72:D72" si="28">C30</f>
        <v>30889.580779944106</v>
      </c>
      <c r="D72" s="19">
        <f t="shared" si="28"/>
        <v>-4181.4939237705948</v>
      </c>
      <c r="E72" t="s">
        <v>10</v>
      </c>
    </row>
    <row r="73" spans="1:5" x14ac:dyDescent="0.3">
      <c r="A73">
        <v>2048</v>
      </c>
      <c r="B73" s="19">
        <f t="shared" si="1"/>
        <v>13590.245457255853</v>
      </c>
      <c r="C73" s="19">
        <f t="shared" ref="C73:D73" si="29">C31</f>
        <v>31043.169782674671</v>
      </c>
      <c r="D73" s="19">
        <f t="shared" si="29"/>
        <v>-3862.678868162966</v>
      </c>
      <c r="E73" t="s">
        <v>10</v>
      </c>
    </row>
    <row r="74" spans="1:5" x14ac:dyDescent="0.3">
      <c r="A74">
        <v>2049</v>
      </c>
      <c r="B74" s="19">
        <f t="shared" si="1"/>
        <v>13825.659807795255</v>
      </c>
      <c r="C74" s="19">
        <f t="shared" ref="C74:D74" si="30">C32</f>
        <v>31195.971106775556</v>
      </c>
      <c r="D74" s="19">
        <f t="shared" si="30"/>
        <v>-3544.6514911850463</v>
      </c>
      <c r="E74" t="s">
        <v>10</v>
      </c>
    </row>
    <row r="75" spans="1:5" x14ac:dyDescent="0.3">
      <c r="A75">
        <v>2050</v>
      </c>
      <c r="B75" s="19">
        <f t="shared" si="1"/>
        <v>14060.636778285425</v>
      </c>
      <c r="C75" s="19">
        <f t="shared" ref="C75:D75" si="31">C33</f>
        <v>31348.335050827194</v>
      </c>
      <c r="D75" s="19">
        <f t="shared" si="31"/>
        <v>-3227.0614942563443</v>
      </c>
      <c r="E75" t="s">
        <v>10</v>
      </c>
    </row>
    <row r="76" spans="1:5" x14ac:dyDescent="0.3">
      <c r="A76">
        <v>2020</v>
      </c>
      <c r="B76" s="19">
        <f>E3</f>
        <v>4097.1804579128811</v>
      </c>
      <c r="C76" s="19">
        <f t="shared" ref="C76:D91" si="32">F3</f>
        <v>15255.573076435041</v>
      </c>
      <c r="D76" s="19">
        <f t="shared" si="32"/>
        <v>-7061.2121606092796</v>
      </c>
      <c r="E76" t="s">
        <v>11</v>
      </c>
    </row>
    <row r="77" spans="1:5" x14ac:dyDescent="0.3">
      <c r="A77">
        <v>2021</v>
      </c>
      <c r="B77" s="19">
        <f t="shared" ref="B77:B106" si="33">E4</f>
        <v>4395.2012966041475</v>
      </c>
      <c r="C77" s="19">
        <f t="shared" si="32"/>
        <v>16321.850637567137</v>
      </c>
      <c r="D77" s="19">
        <f t="shared" si="32"/>
        <v>-7531.4480443588418</v>
      </c>
      <c r="E77" t="s">
        <v>11</v>
      </c>
    </row>
    <row r="78" spans="1:5" x14ac:dyDescent="0.3">
      <c r="A78">
        <v>2022</v>
      </c>
      <c r="B78" s="19">
        <f t="shared" si="33"/>
        <v>3855.9495498323363</v>
      </c>
      <c r="C78" s="19">
        <f t="shared" si="32"/>
        <v>16550.855613236155</v>
      </c>
      <c r="D78" s="19">
        <f t="shared" si="32"/>
        <v>-8838.9565135714838</v>
      </c>
      <c r="E78" t="s">
        <v>11</v>
      </c>
    </row>
    <row r="79" spans="1:5" x14ac:dyDescent="0.3">
      <c r="A79">
        <v>2023</v>
      </c>
      <c r="B79" s="19">
        <f t="shared" si="33"/>
        <v>4055.7837727639003</v>
      </c>
      <c r="C79" s="19">
        <f t="shared" si="32"/>
        <v>17518.94655860855</v>
      </c>
      <c r="D79" s="19">
        <f t="shared" si="32"/>
        <v>-9407.3790130807502</v>
      </c>
      <c r="E79" t="s">
        <v>11</v>
      </c>
    </row>
    <row r="80" spans="1:5" x14ac:dyDescent="0.3">
      <c r="A80">
        <v>2024</v>
      </c>
      <c r="B80" s="19">
        <f t="shared" si="33"/>
        <v>3906.6908657092454</v>
      </c>
      <c r="C80" s="19">
        <f t="shared" si="32"/>
        <v>18138.110373994725</v>
      </c>
      <c r="D80" s="19">
        <f t="shared" si="32"/>
        <v>-10324.728642576236</v>
      </c>
      <c r="E80" t="s">
        <v>11</v>
      </c>
    </row>
    <row r="81" spans="1:5" x14ac:dyDescent="0.3">
      <c r="A81">
        <v>2025</v>
      </c>
      <c r="B81" s="19">
        <f t="shared" si="33"/>
        <v>3698.5958947107615</v>
      </c>
      <c r="C81" s="19">
        <f t="shared" si="32"/>
        <v>18698.272125437074</v>
      </c>
      <c r="D81" s="19">
        <f t="shared" si="32"/>
        <v>-11301.08033601555</v>
      </c>
      <c r="E81" t="s">
        <v>11</v>
      </c>
    </row>
    <row r="82" spans="1:5" x14ac:dyDescent="0.3">
      <c r="A82">
        <v>2026</v>
      </c>
      <c r="B82" s="19">
        <f t="shared" si="33"/>
        <v>3434.6107874215877</v>
      </c>
      <c r="C82" s="19">
        <f t="shared" si="32"/>
        <v>18866.366089095998</v>
      </c>
      <c r="D82" s="19">
        <f t="shared" si="32"/>
        <v>-11997.144514252821</v>
      </c>
      <c r="E82" t="s">
        <v>11</v>
      </c>
    </row>
    <row r="83" spans="1:5" x14ac:dyDescent="0.3">
      <c r="A83">
        <v>2027</v>
      </c>
      <c r="B83" s="19">
        <f t="shared" si="33"/>
        <v>3118.9380704403734</v>
      </c>
      <c r="C83" s="19">
        <f t="shared" si="32"/>
        <v>18982.772443062891</v>
      </c>
      <c r="D83" s="19">
        <f t="shared" si="32"/>
        <v>-12744.896302182146</v>
      </c>
      <c r="E83" t="s">
        <v>11</v>
      </c>
    </row>
    <row r="84" spans="1:5" x14ac:dyDescent="0.3">
      <c r="A84">
        <v>2028</v>
      </c>
      <c r="B84" s="19">
        <f t="shared" si="33"/>
        <v>2756.5026571313897</v>
      </c>
      <c r="C84" s="19">
        <f t="shared" si="32"/>
        <v>19052.416100702008</v>
      </c>
      <c r="D84" s="19">
        <f t="shared" si="32"/>
        <v>-13539.41078643923</v>
      </c>
      <c r="E84" t="s">
        <v>11</v>
      </c>
    </row>
    <row r="85" spans="1:5" x14ac:dyDescent="0.3">
      <c r="A85">
        <v>2029</v>
      </c>
      <c r="B85" s="19">
        <f t="shared" si="33"/>
        <v>2352.6026886500722</v>
      </c>
      <c r="C85" s="19">
        <f t="shared" si="32"/>
        <v>19080.595203168792</v>
      </c>
      <c r="D85" s="19">
        <f t="shared" si="32"/>
        <v>-14375.389825868646</v>
      </c>
      <c r="E85" t="s">
        <v>11</v>
      </c>
    </row>
    <row r="86" spans="1:5" x14ac:dyDescent="0.3">
      <c r="A86">
        <v>2030</v>
      </c>
      <c r="B86" s="19">
        <f t="shared" si="33"/>
        <v>1912.6082516634021</v>
      </c>
      <c r="C86" s="19">
        <f t="shared" si="32"/>
        <v>19072.679837130232</v>
      </c>
      <c r="D86" s="19">
        <f t="shared" si="32"/>
        <v>-15247.463333803429</v>
      </c>
      <c r="E86" t="s">
        <v>11</v>
      </c>
    </row>
    <row r="87" spans="1:5" x14ac:dyDescent="0.3">
      <c r="A87">
        <v>2031</v>
      </c>
      <c r="B87" s="19">
        <f t="shared" si="33"/>
        <v>1441.7234336691215</v>
      </c>
      <c r="C87" s="19">
        <f t="shared" si="32"/>
        <v>18765.573802724812</v>
      </c>
      <c r="D87" s="19">
        <f t="shared" si="32"/>
        <v>-15882.126935386568</v>
      </c>
      <c r="E87" t="s">
        <v>11</v>
      </c>
    </row>
    <row r="88" spans="1:5" x14ac:dyDescent="0.3">
      <c r="A88">
        <v>2032</v>
      </c>
      <c r="B88" s="19">
        <f t="shared" si="33"/>
        <v>944.81553249091894</v>
      </c>
      <c r="C88" s="19">
        <f t="shared" si="32"/>
        <v>18432.44468513547</v>
      </c>
      <c r="D88" s="19">
        <f t="shared" si="32"/>
        <v>-16542.813620153629</v>
      </c>
      <c r="E88" t="s">
        <v>11</v>
      </c>
    </row>
    <row r="89" spans="1:5" x14ac:dyDescent="0.3">
      <c r="A89">
        <v>2033</v>
      </c>
      <c r="B89" s="19">
        <f t="shared" si="33"/>
        <v>426.30677403092835</v>
      </c>
      <c r="C89" s="19">
        <f t="shared" si="32"/>
        <v>18077.714710264347</v>
      </c>
      <c r="D89" s="19">
        <f t="shared" si="32"/>
        <v>-17225.101162202493</v>
      </c>
      <c r="E89" t="s">
        <v>11</v>
      </c>
    </row>
    <row r="90" spans="1:5" x14ac:dyDescent="0.3">
      <c r="A90">
        <v>2034</v>
      </c>
      <c r="B90" s="19">
        <f t="shared" si="33"/>
        <v>-109.88111117666006</v>
      </c>
      <c r="C90" s="19">
        <f t="shared" si="32"/>
        <v>17705.30560864562</v>
      </c>
      <c r="D90" s="19">
        <f t="shared" si="32"/>
        <v>-17925.067830998938</v>
      </c>
      <c r="E90" t="s">
        <v>11</v>
      </c>
    </row>
    <row r="91" spans="1:5" x14ac:dyDescent="0.3">
      <c r="A91">
        <v>2035</v>
      </c>
      <c r="B91" s="19">
        <f t="shared" si="33"/>
        <v>-660.3411419689952</v>
      </c>
      <c r="C91" s="19">
        <f t="shared" si="32"/>
        <v>17318.624361442144</v>
      </c>
      <c r="D91" s="19">
        <f t="shared" si="32"/>
        <v>-18639.306645380133</v>
      </c>
      <c r="E91" t="s">
        <v>11</v>
      </c>
    </row>
    <row r="92" spans="1:5" x14ac:dyDescent="0.3">
      <c r="A92">
        <v>2036</v>
      </c>
      <c r="B92" s="19">
        <f t="shared" si="33"/>
        <v>-1222.1657711319581</v>
      </c>
      <c r="C92" s="19">
        <f t="shared" ref="C92:C106" si="34">F19</f>
        <v>16770.306627563714</v>
      </c>
      <c r="D92" s="19">
        <f t="shared" ref="D92:D106" si="35">G19</f>
        <v>-19214.638169827627</v>
      </c>
      <c r="E92" t="s">
        <v>11</v>
      </c>
    </row>
    <row r="93" spans="1:5" x14ac:dyDescent="0.3">
      <c r="A93">
        <v>2037</v>
      </c>
      <c r="B93" s="19">
        <f t="shared" si="33"/>
        <v>-1792.9122351723656</v>
      </c>
      <c r="C93" s="19">
        <f t="shared" si="34"/>
        <v>16213.067058807834</v>
      </c>
      <c r="D93" s="19">
        <f t="shared" si="35"/>
        <v>-19798.891529152566</v>
      </c>
      <c r="E93" t="s">
        <v>11</v>
      </c>
    </row>
    <row r="94" spans="1:5" x14ac:dyDescent="0.3">
      <c r="A94">
        <v>2038</v>
      </c>
      <c r="B94" s="19">
        <f t="shared" si="33"/>
        <v>-2370.5568591701613</v>
      </c>
      <c r="C94" s="19">
        <f t="shared" si="34"/>
        <v>15648.92933009457</v>
      </c>
      <c r="D94" s="19">
        <f t="shared" si="35"/>
        <v>-20390.043048434891</v>
      </c>
      <c r="E94" t="s">
        <v>11</v>
      </c>
    </row>
    <row r="95" spans="1:5" x14ac:dyDescent="0.3">
      <c r="A95">
        <v>2039</v>
      </c>
      <c r="B95" s="19">
        <f t="shared" si="33"/>
        <v>-2953.4445654435135</v>
      </c>
      <c r="C95" s="19">
        <f t="shared" si="34"/>
        <v>15079.548519105736</v>
      </c>
      <c r="D95" s="19">
        <f t="shared" si="35"/>
        <v>-20986.437649992764</v>
      </c>
      <c r="E95" t="s">
        <v>11</v>
      </c>
    </row>
    <row r="96" spans="1:5" x14ac:dyDescent="0.3">
      <c r="A96">
        <v>2040</v>
      </c>
      <c r="B96" s="19">
        <f t="shared" si="33"/>
        <v>-3540.2379811878113</v>
      </c>
      <c r="C96" s="19">
        <f t="shared" si="34"/>
        <v>14506.26199864597</v>
      </c>
      <c r="D96" s="19">
        <f t="shared" si="35"/>
        <v>-21586.737961021594</v>
      </c>
      <c r="E96" t="s">
        <v>11</v>
      </c>
    </row>
    <row r="97" spans="1:5" x14ac:dyDescent="0.3">
      <c r="A97">
        <v>2041</v>
      </c>
      <c r="B97" s="19">
        <f t="shared" si="33"/>
        <v>-4129.8690058376224</v>
      </c>
      <c r="C97" s="19">
        <f t="shared" si="34"/>
        <v>13847.483658976278</v>
      </c>
      <c r="D97" s="19">
        <f t="shared" si="35"/>
        <v>-22107.221670651525</v>
      </c>
      <c r="E97" t="s">
        <v>11</v>
      </c>
    </row>
    <row r="98" spans="1:5" x14ac:dyDescent="0.3">
      <c r="A98">
        <v>2042</v>
      </c>
      <c r="B98" s="19">
        <f t="shared" si="33"/>
        <v>-4721.494514462428</v>
      </c>
      <c r="C98" s="19">
        <f t="shared" si="34"/>
        <v>13186.7108353316</v>
      </c>
      <c r="D98" s="19">
        <f t="shared" si="35"/>
        <v>-22629.699864256458</v>
      </c>
      <c r="E98" t="s">
        <v>11</v>
      </c>
    </row>
    <row r="99" spans="1:5" x14ac:dyDescent="0.3">
      <c r="A99">
        <v>2043</v>
      </c>
      <c r="B99" s="19">
        <f t="shared" si="33"/>
        <v>-5314.4570125380078</v>
      </c>
      <c r="C99" s="19">
        <f t="shared" si="34"/>
        <v>12524.60102223614</v>
      </c>
      <c r="D99" s="19">
        <f t="shared" si="35"/>
        <v>-23153.515047312158</v>
      </c>
      <c r="E99" t="s">
        <v>11</v>
      </c>
    </row>
    <row r="100" spans="1:5" x14ac:dyDescent="0.3">
      <c r="A100">
        <v>2044</v>
      </c>
      <c r="B100" s="19">
        <f t="shared" si="33"/>
        <v>-5908.25046725637</v>
      </c>
      <c r="C100" s="19">
        <f t="shared" si="34"/>
        <v>11861.660252497899</v>
      </c>
      <c r="D100" s="19">
        <f t="shared" si="35"/>
        <v>-23678.161187010639</v>
      </c>
      <c r="E100" t="s">
        <v>11</v>
      </c>
    </row>
    <row r="101" spans="1:5" x14ac:dyDescent="0.3">
      <c r="A101">
        <v>2045</v>
      </c>
      <c r="B101" s="19">
        <f t="shared" si="33"/>
        <v>-6502.491161858713</v>
      </c>
      <c r="C101" s="19">
        <f t="shared" si="34"/>
        <v>11198.272242875686</v>
      </c>
      <c r="D101" s="19">
        <f t="shared" si="35"/>
        <v>-24203.254566593114</v>
      </c>
      <c r="E101" t="s">
        <v>11</v>
      </c>
    </row>
    <row r="102" spans="1:5" x14ac:dyDescent="0.3">
      <c r="A102">
        <v>2046</v>
      </c>
      <c r="B102" s="19">
        <f t="shared" si="33"/>
        <v>-7096.8931971049706</v>
      </c>
      <c r="C102" s="19">
        <f t="shared" si="34"/>
        <v>10521.2571811909</v>
      </c>
      <c r="D102" s="19">
        <f t="shared" si="35"/>
        <v>-24715.043575400843</v>
      </c>
      <c r="E102" t="s">
        <v>11</v>
      </c>
    </row>
    <row r="103" spans="1:5" x14ac:dyDescent="0.3">
      <c r="A103">
        <v>2047</v>
      </c>
      <c r="B103" s="19">
        <f t="shared" si="33"/>
        <v>-7691.2481515592535</v>
      </c>
      <c r="C103" s="19">
        <f t="shared" si="34"/>
        <v>9844.2892002980971</v>
      </c>
      <c r="D103" s="19">
        <f t="shared" si="35"/>
        <v>-25226.785503416606</v>
      </c>
      <c r="E103" t="s">
        <v>11</v>
      </c>
    </row>
    <row r="104" spans="1:5" x14ac:dyDescent="0.3">
      <c r="A104">
        <v>2048</v>
      </c>
      <c r="B104" s="19">
        <f t="shared" si="33"/>
        <v>-8285.4083734922169</v>
      </c>
      <c r="C104" s="19">
        <f t="shared" si="34"/>
        <v>9167.5159519266017</v>
      </c>
      <c r="D104" s="19">
        <f t="shared" si="35"/>
        <v>-25738.332698911036</v>
      </c>
      <c r="E104" t="s">
        <v>11</v>
      </c>
    </row>
    <row r="105" spans="1:5" x14ac:dyDescent="0.3">
      <c r="A105">
        <v>2049</v>
      </c>
      <c r="B105" s="19">
        <f t="shared" si="33"/>
        <v>-8879.2733847755371</v>
      </c>
      <c r="C105" s="19">
        <f t="shared" si="34"/>
        <v>8491.0379142047641</v>
      </c>
      <c r="D105" s="19">
        <f t="shared" si="35"/>
        <v>-26249.584683755838</v>
      </c>
      <c r="E105" t="s">
        <v>11</v>
      </c>
    </row>
    <row r="106" spans="1:5" x14ac:dyDescent="0.3">
      <c r="A106">
        <v>2050</v>
      </c>
      <c r="B106" s="19">
        <f t="shared" si="33"/>
        <v>-9472.7789118444416</v>
      </c>
      <c r="C106" s="19">
        <f t="shared" si="34"/>
        <v>7814.9193606973276</v>
      </c>
      <c r="D106" s="19">
        <f t="shared" si="35"/>
        <v>-26760.477184386211</v>
      </c>
      <c r="E106" t="s">
        <v>11</v>
      </c>
    </row>
    <row r="107" spans="1:5" x14ac:dyDescent="0.3">
      <c r="A107">
        <v>2020</v>
      </c>
      <c r="B107" s="19">
        <f>H3</f>
        <v>4097.1804579128811</v>
      </c>
      <c r="C107" s="19">
        <f t="shared" ref="C107:D122" si="36">I3</f>
        <v>15255.573076435041</v>
      </c>
      <c r="D107" s="19">
        <f t="shared" si="36"/>
        <v>-7061.2121606092796</v>
      </c>
      <c r="E107" t="s">
        <v>12</v>
      </c>
    </row>
    <row r="108" spans="1:5" x14ac:dyDescent="0.3">
      <c r="A108">
        <v>2021</v>
      </c>
      <c r="B108" s="19">
        <f t="shared" ref="B108:B137" si="37">H4</f>
        <v>4117.2687715004295</v>
      </c>
      <c r="C108" s="19">
        <f t="shared" si="36"/>
        <v>16043.91811246342</v>
      </c>
      <c r="D108" s="19">
        <f t="shared" si="36"/>
        <v>-7809.3805694625598</v>
      </c>
      <c r="E108" t="s">
        <v>12</v>
      </c>
    </row>
    <row r="109" spans="1:5" x14ac:dyDescent="0.3">
      <c r="A109">
        <v>2022</v>
      </c>
      <c r="B109" s="19">
        <f t="shared" si="37"/>
        <v>3349.6916660330412</v>
      </c>
      <c r="C109" s="19">
        <f t="shared" si="36"/>
        <v>16044.59772943686</v>
      </c>
      <c r="D109" s="19">
        <f t="shared" si="36"/>
        <v>-9345.2143973707789</v>
      </c>
      <c r="E109" t="s">
        <v>12</v>
      </c>
    </row>
    <row r="110" spans="1:5" x14ac:dyDescent="0.3">
      <c r="A110">
        <v>2023</v>
      </c>
      <c r="B110" s="19">
        <f t="shared" si="37"/>
        <v>3220.7946647512135</v>
      </c>
      <c r="C110" s="19">
        <f t="shared" si="36"/>
        <v>16683.957450595863</v>
      </c>
      <c r="D110" s="19">
        <f t="shared" si="36"/>
        <v>-10242.368121093437</v>
      </c>
      <c r="E110" t="s">
        <v>12</v>
      </c>
    </row>
    <row r="111" spans="1:5" x14ac:dyDescent="0.3">
      <c r="A111">
        <v>2024</v>
      </c>
      <c r="B111" s="19">
        <f t="shared" si="37"/>
        <v>2776.2644916441941</v>
      </c>
      <c r="C111" s="19">
        <f t="shared" si="36"/>
        <v>17007.683999929675</v>
      </c>
      <c r="D111" s="19">
        <f t="shared" si="36"/>
        <v>-11455.155016641285</v>
      </c>
      <c r="E111" t="s">
        <v>12</v>
      </c>
    </row>
    <row r="112" spans="1:5" x14ac:dyDescent="0.3">
      <c r="A112">
        <v>2025</v>
      </c>
      <c r="B112" s="19">
        <f t="shared" si="37"/>
        <v>2274.0740702679777</v>
      </c>
      <c r="C112" s="19">
        <f t="shared" si="36"/>
        <v>17273.750300994288</v>
      </c>
      <c r="D112" s="19">
        <f t="shared" si="36"/>
        <v>-12725.602160458333</v>
      </c>
      <c r="E112" t="s">
        <v>12</v>
      </c>
    </row>
    <row r="113" spans="1:5" x14ac:dyDescent="0.3">
      <c r="A113">
        <v>2026</v>
      </c>
      <c r="B113" s="19">
        <f t="shared" si="37"/>
        <v>1722.7878565292217</v>
      </c>
      <c r="C113" s="19">
        <f t="shared" si="36"/>
        <v>17154.543158203633</v>
      </c>
      <c r="D113" s="19">
        <f t="shared" si="36"/>
        <v>-13708.967445145188</v>
      </c>
      <c r="E113" t="s">
        <v>12</v>
      </c>
    </row>
    <row r="114" spans="1:5" x14ac:dyDescent="0.3">
      <c r="A114">
        <v>2027</v>
      </c>
      <c r="B114" s="19">
        <f t="shared" si="37"/>
        <v>1131.4093501535872</v>
      </c>
      <c r="C114" s="19">
        <f t="shared" si="36"/>
        <v>16995.243722776107</v>
      </c>
      <c r="D114" s="19">
        <f t="shared" si="36"/>
        <v>-14732.425022468931</v>
      </c>
      <c r="E114" t="s">
        <v>12</v>
      </c>
    </row>
    <row r="115" spans="1:5" x14ac:dyDescent="0.3">
      <c r="A115">
        <v>2028</v>
      </c>
      <c r="B115" s="19">
        <f t="shared" si="37"/>
        <v>508.88418078507777</v>
      </c>
      <c r="C115" s="19">
        <f t="shared" si="36"/>
        <v>16804.797624355699</v>
      </c>
      <c r="D115" s="19">
        <f t="shared" si="36"/>
        <v>-15787.029262785542</v>
      </c>
      <c r="E115" t="s">
        <v>12</v>
      </c>
    </row>
    <row r="116" spans="1:5" x14ac:dyDescent="0.3">
      <c r="A116">
        <v>2029</v>
      </c>
      <c r="B116" s="19">
        <f t="shared" si="37"/>
        <v>-136.29926925490557</v>
      </c>
      <c r="C116" s="19">
        <f t="shared" si="36"/>
        <v>16591.693245263814</v>
      </c>
      <c r="D116" s="19">
        <f t="shared" si="36"/>
        <v>-16864.291783773624</v>
      </c>
      <c r="E116" t="s">
        <v>12</v>
      </c>
    </row>
    <row r="117" spans="1:5" x14ac:dyDescent="0.3">
      <c r="A117">
        <v>2030</v>
      </c>
      <c r="B117" s="19">
        <f t="shared" si="37"/>
        <v>-796.39582337866534</v>
      </c>
      <c r="C117" s="19">
        <f t="shared" si="36"/>
        <v>16363.675762088165</v>
      </c>
      <c r="D117" s="19">
        <f t="shared" si="36"/>
        <v>-17956.467408845496</v>
      </c>
      <c r="E117" t="s">
        <v>12</v>
      </c>
    </row>
    <row r="118" spans="1:5" x14ac:dyDescent="0.3">
      <c r="A118">
        <v>2031</v>
      </c>
      <c r="B118" s="19">
        <f t="shared" si="37"/>
        <v>-1464.5780348086591</v>
      </c>
      <c r="C118" s="19">
        <f t="shared" si="36"/>
        <v>15859.272334247031</v>
      </c>
      <c r="D118" s="19">
        <f t="shared" si="36"/>
        <v>-18788.428403864349</v>
      </c>
      <c r="E118" t="s">
        <v>12</v>
      </c>
    </row>
    <row r="119" spans="1:5" x14ac:dyDescent="0.3">
      <c r="A119">
        <v>2032</v>
      </c>
      <c r="B119" s="19">
        <f t="shared" si="37"/>
        <v>-2135.0134865091322</v>
      </c>
      <c r="C119" s="19">
        <f t="shared" si="36"/>
        <v>15352.615666135418</v>
      </c>
      <c r="D119" s="19">
        <f t="shared" si="36"/>
        <v>-19622.642639153681</v>
      </c>
      <c r="E119" t="s">
        <v>12</v>
      </c>
    </row>
    <row r="120" spans="1:5" x14ac:dyDescent="0.3">
      <c r="A120">
        <v>2033</v>
      </c>
      <c r="B120" s="19">
        <f t="shared" si="37"/>
        <v>-2802.8654107548523</v>
      </c>
      <c r="C120" s="19">
        <f t="shared" si="36"/>
        <v>14848.542525478568</v>
      </c>
      <c r="D120" s="19">
        <f t="shared" si="36"/>
        <v>-20454.273346988273</v>
      </c>
      <c r="E120" t="s">
        <v>12</v>
      </c>
    </row>
    <row r="121" spans="1:5" x14ac:dyDescent="0.3">
      <c r="A121">
        <v>2034</v>
      </c>
      <c r="B121" s="19">
        <f t="shared" si="37"/>
        <v>-3464.2386507124725</v>
      </c>
      <c r="C121" s="19">
        <f t="shared" si="36"/>
        <v>14350.948069109807</v>
      </c>
      <c r="D121" s="19">
        <f t="shared" si="36"/>
        <v>-21279.425370534751</v>
      </c>
      <c r="E121" t="s">
        <v>12</v>
      </c>
    </row>
    <row r="122" spans="1:5" x14ac:dyDescent="0.3">
      <c r="A122">
        <v>2035</v>
      </c>
      <c r="B122" s="19">
        <f t="shared" si="37"/>
        <v>-4116.0911772633799</v>
      </c>
      <c r="C122" s="19">
        <f t="shared" si="36"/>
        <v>13862.874326147758</v>
      </c>
      <c r="D122" s="19">
        <f t="shared" si="36"/>
        <v>-22095.056680674519</v>
      </c>
      <c r="E122" t="s">
        <v>12</v>
      </c>
    </row>
    <row r="123" spans="1:5" x14ac:dyDescent="0.3">
      <c r="A123">
        <v>2036</v>
      </c>
      <c r="B123" s="19">
        <f t="shared" si="37"/>
        <v>-4756.127809428699</v>
      </c>
      <c r="C123" s="19">
        <f t="shared" ref="C123:C137" si="38">I19</f>
        <v>13236.344589266972</v>
      </c>
      <c r="D123" s="19">
        <f t="shared" ref="D123:D137" si="39">J19</f>
        <v>-22748.600208124371</v>
      </c>
      <c r="E123" t="s">
        <v>12</v>
      </c>
    </row>
    <row r="124" spans="1:5" x14ac:dyDescent="0.3">
      <c r="A124">
        <v>2037</v>
      </c>
      <c r="B124" s="19">
        <f t="shared" si="37"/>
        <v>-5382.6886617366717</v>
      </c>
      <c r="C124" s="19">
        <f t="shared" si="38"/>
        <v>12623.290632243526</v>
      </c>
      <c r="D124" s="19">
        <f t="shared" si="39"/>
        <v>-23388.667955716872</v>
      </c>
      <c r="E124" t="s">
        <v>12</v>
      </c>
    </row>
    <row r="125" spans="1:5" x14ac:dyDescent="0.3">
      <c r="A125">
        <v>2038</v>
      </c>
      <c r="B125" s="19">
        <f t="shared" si="37"/>
        <v>-5994.6409328236141</v>
      </c>
      <c r="C125" s="19">
        <f t="shared" si="38"/>
        <v>12024.845256441116</v>
      </c>
      <c r="D125" s="19">
        <f t="shared" si="39"/>
        <v>-24014.127122088346</v>
      </c>
      <c r="E125" t="s">
        <v>12</v>
      </c>
    </row>
    <row r="126" spans="1:5" x14ac:dyDescent="0.3">
      <c r="A126">
        <v>2039</v>
      </c>
      <c r="B126" s="19">
        <f t="shared" si="37"/>
        <v>-6591.279361558898</v>
      </c>
      <c r="C126" s="19">
        <f t="shared" si="38"/>
        <v>11441.713722990351</v>
      </c>
      <c r="D126" s="19">
        <f t="shared" si="39"/>
        <v>-24624.272446108145</v>
      </c>
      <c r="E126" t="s">
        <v>12</v>
      </c>
    </row>
    <row r="127" spans="1:5" x14ac:dyDescent="0.3">
      <c r="A127">
        <v>2040</v>
      </c>
      <c r="B127" s="19">
        <f t="shared" si="37"/>
        <v>-7172.2381457216816</v>
      </c>
      <c r="C127" s="19">
        <f t="shared" si="38"/>
        <v>10874.2618341121</v>
      </c>
      <c r="D127" s="19">
        <f t="shared" si="39"/>
        <v>-25218.738125555465</v>
      </c>
      <c r="E127" t="s">
        <v>12</v>
      </c>
    </row>
    <row r="128" spans="1:5" x14ac:dyDescent="0.3">
      <c r="A128">
        <v>2041</v>
      </c>
      <c r="B128" s="19">
        <f t="shared" si="37"/>
        <v>-7737.415314338783</v>
      </c>
      <c r="C128" s="19">
        <f t="shared" si="38"/>
        <v>10239.937350475118</v>
      </c>
      <c r="D128" s="19">
        <f t="shared" si="39"/>
        <v>-25714.767979152683</v>
      </c>
      <c r="E128" t="s">
        <v>12</v>
      </c>
    </row>
    <row r="129" spans="1:5" x14ac:dyDescent="0.3">
      <c r="A129">
        <v>2042</v>
      </c>
      <c r="B129" s="19">
        <f t="shared" si="37"/>
        <v>-8286.9093566947831</v>
      </c>
      <c r="C129" s="19">
        <f t="shared" si="38"/>
        <v>9621.2959930992456</v>
      </c>
      <c r="D129" s="19">
        <f t="shared" si="39"/>
        <v>-26195.114706488814</v>
      </c>
      <c r="E129" t="s">
        <v>12</v>
      </c>
    </row>
    <row r="130" spans="1:5" x14ac:dyDescent="0.3">
      <c r="A130">
        <v>2043</v>
      </c>
      <c r="B130" s="19">
        <f t="shared" si="37"/>
        <v>-8820.9672008743419</v>
      </c>
      <c r="C130" s="19">
        <f t="shared" si="38"/>
        <v>9018.090833899807</v>
      </c>
      <c r="D130" s="19">
        <f t="shared" si="39"/>
        <v>-26660.025235648493</v>
      </c>
      <c r="E130" t="s">
        <v>12</v>
      </c>
    </row>
    <row r="131" spans="1:5" x14ac:dyDescent="0.3">
      <c r="A131">
        <v>2044</v>
      </c>
      <c r="B131" s="19">
        <f t="shared" si="37"/>
        <v>-9339.9422703451201</v>
      </c>
      <c r="C131" s="19">
        <f t="shared" si="38"/>
        <v>8429.9684494091489</v>
      </c>
      <c r="D131" s="19">
        <f t="shared" si="39"/>
        <v>-27109.852990099389</v>
      </c>
      <c r="E131" t="s">
        <v>12</v>
      </c>
    </row>
    <row r="132" spans="1:5" x14ac:dyDescent="0.3">
      <c r="A132">
        <v>2045</v>
      </c>
      <c r="B132" s="19">
        <f t="shared" si="37"/>
        <v>-9844.2612171004257</v>
      </c>
      <c r="C132" s="19">
        <f t="shared" si="38"/>
        <v>7856.5021876339742</v>
      </c>
      <c r="D132" s="19">
        <f t="shared" si="39"/>
        <v>-27545.024621834826</v>
      </c>
      <c r="E132" t="s">
        <v>12</v>
      </c>
    </row>
    <row r="133" spans="1:5" x14ac:dyDescent="0.3">
      <c r="A133">
        <v>2046</v>
      </c>
      <c r="B133" s="19">
        <f t="shared" si="37"/>
        <v>-10334.397947835318</v>
      </c>
      <c r="C133" s="19">
        <f t="shared" si="38"/>
        <v>7283.752430460554</v>
      </c>
      <c r="D133" s="19">
        <f t="shared" si="39"/>
        <v>-27952.548326131189</v>
      </c>
      <c r="E133" t="s">
        <v>12</v>
      </c>
    </row>
    <row r="134" spans="1:5" x14ac:dyDescent="0.3">
      <c r="A134">
        <v>2047</v>
      </c>
      <c r="B134" s="19">
        <f t="shared" si="37"/>
        <v>-10810.853662704443</v>
      </c>
      <c r="C134" s="19">
        <f t="shared" si="38"/>
        <v>6724.6836891529074</v>
      </c>
      <c r="D134" s="19">
        <f t="shared" si="39"/>
        <v>-28346.391014561792</v>
      </c>
      <c r="E134" t="s">
        <v>12</v>
      </c>
    </row>
    <row r="135" spans="1:5" x14ac:dyDescent="0.3">
      <c r="A135">
        <v>2048</v>
      </c>
      <c r="B135" s="19">
        <f t="shared" si="37"/>
        <v>-11274.14177123857</v>
      </c>
      <c r="C135" s="19">
        <f t="shared" si="38"/>
        <v>6178.7825541802486</v>
      </c>
      <c r="D135" s="19">
        <f t="shared" si="39"/>
        <v>-28727.066096657389</v>
      </c>
      <c r="E135" t="s">
        <v>12</v>
      </c>
    </row>
    <row r="136" spans="1:5" x14ac:dyDescent="0.3">
      <c r="A136">
        <v>2049</v>
      </c>
      <c r="B136" s="19">
        <f t="shared" si="37"/>
        <v>-11724.776708971585</v>
      </c>
      <c r="C136" s="19">
        <f t="shared" si="38"/>
        <v>5645.5345900087159</v>
      </c>
      <c r="D136" s="19">
        <f t="shared" si="39"/>
        <v>-29095.088007951887</v>
      </c>
      <c r="E136" t="s">
        <v>12</v>
      </c>
    </row>
    <row r="137" spans="1:5" x14ac:dyDescent="0.3">
      <c r="A137">
        <v>2050</v>
      </c>
      <c r="B137" s="19">
        <f t="shared" si="37"/>
        <v>-12163.265834245634</v>
      </c>
      <c r="C137" s="19">
        <f t="shared" si="38"/>
        <v>5124.4324382961349</v>
      </c>
      <c r="D137" s="19">
        <f t="shared" si="39"/>
        <v>-29450.964106787404</v>
      </c>
      <c r="E137" t="s">
        <v>12</v>
      </c>
    </row>
    <row r="138" spans="1:5" x14ac:dyDescent="0.3">
      <c r="A138">
        <v>2020</v>
      </c>
      <c r="B138" s="19">
        <f>K3</f>
        <v>4097.1804579128811</v>
      </c>
      <c r="C138" s="19">
        <f t="shared" ref="C138:D153" si="40">L3</f>
        <v>15255.573076435041</v>
      </c>
      <c r="D138" s="19">
        <f t="shared" si="40"/>
        <v>-7061.2121606092796</v>
      </c>
      <c r="E138" t="s">
        <v>13</v>
      </c>
    </row>
    <row r="139" spans="1:5" x14ac:dyDescent="0.3">
      <c r="A139">
        <v>2021</v>
      </c>
      <c r="B139" s="19">
        <f t="shared" ref="B139:B168" si="41">K4</f>
        <v>4575.7298098350784</v>
      </c>
      <c r="C139" s="19">
        <f t="shared" si="40"/>
        <v>16502.379150798068</v>
      </c>
      <c r="D139" s="19">
        <f t="shared" si="40"/>
        <v>-7350.9195311279109</v>
      </c>
      <c r="E139" t="s">
        <v>13</v>
      </c>
    </row>
    <row r="140" spans="1:5" x14ac:dyDescent="0.3">
      <c r="A140">
        <v>2022</v>
      </c>
      <c r="B140" s="19">
        <f t="shared" si="41"/>
        <v>4204.5593394277539</v>
      </c>
      <c r="C140" s="19">
        <f t="shared" si="40"/>
        <v>16899.465402831574</v>
      </c>
      <c r="D140" s="19">
        <f t="shared" si="40"/>
        <v>-8490.3467239760648</v>
      </c>
      <c r="E140" t="s">
        <v>13</v>
      </c>
    </row>
    <row r="141" spans="1:5" x14ac:dyDescent="0.3">
      <c r="A141">
        <v>2023</v>
      </c>
      <c r="B141" s="19">
        <f t="shared" si="41"/>
        <v>4665.0859318891407</v>
      </c>
      <c r="C141" s="19">
        <f t="shared" si="40"/>
        <v>18128.24871773379</v>
      </c>
      <c r="D141" s="19">
        <f t="shared" si="40"/>
        <v>-8798.0768539555102</v>
      </c>
      <c r="E141" t="s">
        <v>13</v>
      </c>
    </row>
    <row r="142" spans="1:5" x14ac:dyDescent="0.3">
      <c r="A142">
        <v>2024</v>
      </c>
      <c r="B142" s="19">
        <f t="shared" si="41"/>
        <v>4780.5478561199361</v>
      </c>
      <c r="C142" s="19">
        <f t="shared" si="40"/>
        <v>19011.967364405416</v>
      </c>
      <c r="D142" s="19">
        <f t="shared" si="40"/>
        <v>-9450.8716521655442</v>
      </c>
      <c r="E142" t="s">
        <v>13</v>
      </c>
    </row>
    <row r="143" spans="1:5" x14ac:dyDescent="0.3">
      <c r="A143">
        <v>2025</v>
      </c>
      <c r="B143" s="19">
        <f t="shared" si="41"/>
        <v>4864.905028137824</v>
      </c>
      <c r="C143" s="19">
        <f t="shared" si="40"/>
        <v>19864.581258864135</v>
      </c>
      <c r="D143" s="19">
        <f t="shared" si="40"/>
        <v>-10134.771202588487</v>
      </c>
      <c r="E143" t="s">
        <v>13</v>
      </c>
    </row>
    <row r="144" spans="1:5" x14ac:dyDescent="0.3">
      <c r="A144">
        <v>2026</v>
      </c>
      <c r="B144" s="19">
        <f t="shared" si="41"/>
        <v>4918.7949842029848</v>
      </c>
      <c r="C144" s="19">
        <f t="shared" si="40"/>
        <v>20350.550285877394</v>
      </c>
      <c r="D144" s="19">
        <f t="shared" si="40"/>
        <v>-10512.960317471425</v>
      </c>
      <c r="E144" t="s">
        <v>13</v>
      </c>
    </row>
    <row r="145" spans="1:5" x14ac:dyDescent="0.3">
      <c r="A145">
        <v>2027</v>
      </c>
      <c r="B145" s="19">
        <f t="shared" si="41"/>
        <v>4943.6820787894849</v>
      </c>
      <c r="C145" s="19">
        <f t="shared" si="40"/>
        <v>20807.516451412004</v>
      </c>
      <c r="D145" s="19">
        <f t="shared" si="40"/>
        <v>-10920.152293833034</v>
      </c>
      <c r="E145" t="s">
        <v>13</v>
      </c>
    </row>
    <row r="146" spans="1:5" x14ac:dyDescent="0.3">
      <c r="A146">
        <v>2028</v>
      </c>
      <c r="B146" s="19">
        <f t="shared" si="41"/>
        <v>4941.66213523437</v>
      </c>
      <c r="C146" s="19">
        <f t="shared" si="40"/>
        <v>21237.57557880499</v>
      </c>
      <c r="D146" s="19">
        <f t="shared" si="40"/>
        <v>-11354.25130833625</v>
      </c>
      <c r="E146" t="s">
        <v>13</v>
      </c>
    </row>
    <row r="147" spans="1:5" x14ac:dyDescent="0.3">
      <c r="A147">
        <v>2029</v>
      </c>
      <c r="B147" s="19">
        <f t="shared" si="41"/>
        <v>4915.2590825991874</v>
      </c>
      <c r="C147" s="19">
        <f t="shared" si="40"/>
        <v>21643.251597117905</v>
      </c>
      <c r="D147" s="19">
        <f t="shared" si="40"/>
        <v>-11812.733431919532</v>
      </c>
      <c r="E147" t="s">
        <v>13</v>
      </c>
    </row>
    <row r="148" spans="1:5" x14ac:dyDescent="0.3">
      <c r="A148">
        <v>2030</v>
      </c>
      <c r="B148" s="19">
        <f t="shared" si="41"/>
        <v>4867.2347080352483</v>
      </c>
      <c r="C148" s="19">
        <f t="shared" si="40"/>
        <v>22027.306293502079</v>
      </c>
      <c r="D148" s="19">
        <f t="shared" si="40"/>
        <v>-12292.836877431582</v>
      </c>
      <c r="E148" t="s">
        <v>13</v>
      </c>
    </row>
    <row r="149" spans="1:5" x14ac:dyDescent="0.3">
      <c r="A149">
        <v>2031</v>
      </c>
      <c r="B149" s="19">
        <f t="shared" si="41"/>
        <v>4800.4255198698311</v>
      </c>
      <c r="C149" s="19">
        <f t="shared" si="40"/>
        <v>22124.27588892552</v>
      </c>
      <c r="D149" s="19">
        <f t="shared" si="40"/>
        <v>-12523.42484918586</v>
      </c>
      <c r="E149" t="s">
        <v>13</v>
      </c>
    </row>
    <row r="150" spans="1:5" x14ac:dyDescent="0.3">
      <c r="A150">
        <v>2032</v>
      </c>
      <c r="B150" s="19">
        <f t="shared" si="41"/>
        <v>4717.6136517510895</v>
      </c>
      <c r="C150" s="19">
        <f t="shared" si="40"/>
        <v>22205.242804395639</v>
      </c>
      <c r="D150" s="19">
        <f t="shared" si="40"/>
        <v>-12770.01550089346</v>
      </c>
      <c r="E150" t="s">
        <v>13</v>
      </c>
    </row>
    <row r="151" spans="1:5" x14ac:dyDescent="0.3">
      <c r="A151">
        <v>2033</v>
      </c>
      <c r="B151" s="19">
        <f t="shared" si="41"/>
        <v>4621.43295641432</v>
      </c>
      <c r="C151" s="19">
        <f t="shared" si="40"/>
        <v>22272.840892647739</v>
      </c>
      <c r="D151" s="19">
        <f t="shared" si="40"/>
        <v>-13029.974979819101</v>
      </c>
      <c r="E151" t="s">
        <v>13</v>
      </c>
    </row>
    <row r="152" spans="1:5" x14ac:dyDescent="0.3">
      <c r="A152">
        <v>2034</v>
      </c>
      <c r="B152" s="19">
        <f t="shared" si="41"/>
        <v>4514.3074439706897</v>
      </c>
      <c r="C152" s="19">
        <f t="shared" si="40"/>
        <v>22329.49416379297</v>
      </c>
      <c r="D152" s="19">
        <f t="shared" si="40"/>
        <v>-13300.879275851588</v>
      </c>
      <c r="E152" t="s">
        <v>13</v>
      </c>
    </row>
    <row r="153" spans="1:5" x14ac:dyDescent="0.3">
      <c r="A153">
        <v>2035</v>
      </c>
      <c r="B153" s="19">
        <f t="shared" si="41"/>
        <v>4398.416979258338</v>
      </c>
      <c r="C153" s="19">
        <f t="shared" si="40"/>
        <v>22377.382482669476</v>
      </c>
      <c r="D153" s="19">
        <f t="shared" si="40"/>
        <v>-13580.5485241528</v>
      </c>
      <c r="E153" t="s">
        <v>13</v>
      </c>
    </row>
    <row r="154" spans="1:5" x14ac:dyDescent="0.3">
      <c r="A154">
        <v>2036</v>
      </c>
      <c r="B154" s="19">
        <f t="shared" si="41"/>
        <v>4275.6843259993211</v>
      </c>
      <c r="C154" s="19">
        <f t="shared" ref="C154:C168" si="42">L19</f>
        <v>22268.156724694993</v>
      </c>
      <c r="D154" s="19">
        <f t="shared" ref="D154:D168" si="43">M19</f>
        <v>-13716.788072696349</v>
      </c>
      <c r="E154" t="s">
        <v>13</v>
      </c>
    </row>
    <row r="155" spans="1:5" x14ac:dyDescent="0.3">
      <c r="A155">
        <v>2037</v>
      </c>
      <c r="B155" s="19">
        <f t="shared" si="41"/>
        <v>4147.7777707692831</v>
      </c>
      <c r="C155" s="19">
        <f t="shared" si="42"/>
        <v>22153.757064749483</v>
      </c>
      <c r="D155" s="19">
        <f t="shared" si="43"/>
        <v>-13858.201523210915</v>
      </c>
      <c r="E155" t="s">
        <v>13</v>
      </c>
    </row>
    <row r="156" spans="1:5" x14ac:dyDescent="0.3">
      <c r="A156">
        <v>2038</v>
      </c>
      <c r="B156" s="19">
        <f t="shared" si="41"/>
        <v>4016.1242657926155</v>
      </c>
      <c r="C156" s="19">
        <f t="shared" si="42"/>
        <v>22035.610455057347</v>
      </c>
      <c r="D156" s="19">
        <f t="shared" si="43"/>
        <v>-14003.361923472115</v>
      </c>
      <c r="E156" t="s">
        <v>13</v>
      </c>
    </row>
    <row r="157" spans="1:5" x14ac:dyDescent="0.3">
      <c r="A157">
        <v>2039</v>
      </c>
      <c r="B157" s="19">
        <f t="shared" si="41"/>
        <v>3881.928977498545</v>
      </c>
      <c r="C157" s="19">
        <f t="shared" si="42"/>
        <v>21914.922062047794</v>
      </c>
      <c r="D157" s="19">
        <f t="shared" si="43"/>
        <v>-14151.064107050704</v>
      </c>
      <c r="E157" t="s">
        <v>13</v>
      </c>
    </row>
    <row r="158" spans="1:5" x14ac:dyDescent="0.3">
      <c r="A158">
        <v>2040</v>
      </c>
      <c r="B158" s="19">
        <f t="shared" si="41"/>
        <v>3746.1981040998658</v>
      </c>
      <c r="C158" s="19">
        <f t="shared" si="42"/>
        <v>21792.698083933647</v>
      </c>
      <c r="D158" s="19">
        <f t="shared" si="43"/>
        <v>-14300.301875733916</v>
      </c>
      <c r="E158" t="s">
        <v>13</v>
      </c>
    </row>
    <row r="159" spans="1:5" x14ac:dyDescent="0.3">
      <c r="A159">
        <v>2041</v>
      </c>
      <c r="B159" s="19">
        <f t="shared" si="41"/>
        <v>3609.7627078378387</v>
      </c>
      <c r="C159" s="19">
        <f t="shared" si="42"/>
        <v>21587.11537265174</v>
      </c>
      <c r="D159" s="19">
        <f t="shared" si="43"/>
        <v>-14367.589956976062</v>
      </c>
      <c r="E159" t="s">
        <v>13</v>
      </c>
    </row>
    <row r="160" spans="1:5" x14ac:dyDescent="0.3">
      <c r="A160">
        <v>2042</v>
      </c>
      <c r="B160" s="19">
        <f t="shared" si="41"/>
        <v>3473.3020407572508</v>
      </c>
      <c r="C160" s="19">
        <f t="shared" si="42"/>
        <v>21381.50739055128</v>
      </c>
      <c r="D160" s="19">
        <f t="shared" si="43"/>
        <v>-14434.903309036778</v>
      </c>
      <c r="E160" t="s">
        <v>13</v>
      </c>
    </row>
    <row r="161" spans="1:5" x14ac:dyDescent="0.3">
      <c r="A161">
        <v>2043</v>
      </c>
      <c r="B161" s="19">
        <f t="shared" si="41"/>
        <v>3337.3654150623165</v>
      </c>
      <c r="C161" s="19">
        <f t="shared" si="42"/>
        <v>21176.423449836464</v>
      </c>
      <c r="D161" s="19">
        <f t="shared" si="43"/>
        <v>-14501.692619711832</v>
      </c>
      <c r="E161" t="s">
        <v>13</v>
      </c>
    </row>
    <row r="162" spans="1:5" x14ac:dyDescent="0.3">
      <c r="A162">
        <v>2044</v>
      </c>
      <c r="B162" s="19">
        <f t="shared" si="41"/>
        <v>3202.3920926936762</v>
      </c>
      <c r="C162" s="19">
        <f t="shared" si="42"/>
        <v>20972.302812447946</v>
      </c>
      <c r="D162" s="19">
        <f t="shared" si="43"/>
        <v>-14567.518627060592</v>
      </c>
      <c r="E162" t="s">
        <v>13</v>
      </c>
    </row>
    <row r="163" spans="1:5" x14ac:dyDescent="0.3">
      <c r="A163">
        <v>2045</v>
      </c>
      <c r="B163" s="19">
        <f t="shared" si="41"/>
        <v>3068.7289672148117</v>
      </c>
      <c r="C163" s="19">
        <f t="shared" si="42"/>
        <v>20769.492371949211</v>
      </c>
      <c r="D163" s="19">
        <f t="shared" si="43"/>
        <v>-14632.034437519589</v>
      </c>
      <c r="E163" t="s">
        <v>13</v>
      </c>
    </row>
    <row r="164" spans="1:5" x14ac:dyDescent="0.3">
      <c r="A164">
        <v>2046</v>
      </c>
      <c r="B164" s="19">
        <f t="shared" si="41"/>
        <v>2936.6460106373675</v>
      </c>
      <c r="C164" s="19">
        <f t="shared" si="42"/>
        <v>20554.796388933239</v>
      </c>
      <c r="D164" s="19">
        <f t="shared" si="43"/>
        <v>-14681.504367658505</v>
      </c>
      <c r="E164" t="s">
        <v>13</v>
      </c>
    </row>
    <row r="165" spans="1:5" x14ac:dyDescent="0.3">
      <c r="A165">
        <v>2047</v>
      </c>
      <c r="B165" s="19">
        <f t="shared" si="41"/>
        <v>2806.3495829681247</v>
      </c>
      <c r="C165" s="19">
        <f t="shared" si="42"/>
        <v>20341.886934825474</v>
      </c>
      <c r="D165" s="19">
        <f t="shared" si="43"/>
        <v>-14729.187768889225</v>
      </c>
      <c r="E165" t="s">
        <v>13</v>
      </c>
    </row>
    <row r="166" spans="1:5" x14ac:dyDescent="0.3">
      <c r="A166">
        <v>2048</v>
      </c>
      <c r="B166" s="19">
        <f t="shared" si="41"/>
        <v>2677.9937738140575</v>
      </c>
      <c r="C166" s="19">
        <f t="shared" si="42"/>
        <v>20130.918099232877</v>
      </c>
      <c r="D166" s="19">
        <f t="shared" si="43"/>
        <v>-14774.930551604761</v>
      </c>
      <c r="E166" t="s">
        <v>13</v>
      </c>
    </row>
    <row r="167" spans="1:5" x14ac:dyDescent="0.3">
      <c r="A167">
        <v>2049</v>
      </c>
      <c r="B167" s="19">
        <f t="shared" si="41"/>
        <v>2551.6899798774316</v>
      </c>
      <c r="C167" s="19">
        <f t="shared" si="42"/>
        <v>19922.001278857733</v>
      </c>
      <c r="D167" s="19">
        <f t="shared" si="43"/>
        <v>-14818.621319102869</v>
      </c>
      <c r="E167" t="s">
        <v>13</v>
      </c>
    </row>
    <row r="168" spans="1:5" x14ac:dyDescent="0.3">
      <c r="A168">
        <v>2050</v>
      </c>
      <c r="B168" s="19">
        <f t="shared" si="41"/>
        <v>2427.5149321529198</v>
      </c>
      <c r="C168" s="19">
        <f t="shared" si="42"/>
        <v>19715.21320469469</v>
      </c>
      <c r="D168" s="19">
        <f t="shared" si="43"/>
        <v>-14860.183340388849</v>
      </c>
      <c r="E168" t="s">
        <v>13</v>
      </c>
    </row>
    <row r="169" spans="1:5" x14ac:dyDescent="0.3">
      <c r="A169">
        <v>2020</v>
      </c>
      <c r="B169" s="19">
        <f>N3</f>
        <v>4097.1804579128811</v>
      </c>
      <c r="C169" s="19">
        <f t="shared" ref="C169:D184" si="44">O3</f>
        <v>15255.573076435041</v>
      </c>
      <c r="D169" s="19">
        <f t="shared" si="44"/>
        <v>-7061.2121606092796</v>
      </c>
      <c r="E169" t="s">
        <v>26</v>
      </c>
    </row>
    <row r="170" spans="1:5" x14ac:dyDescent="0.3">
      <c r="A170">
        <v>2021</v>
      </c>
      <c r="B170" s="19">
        <f t="shared" ref="B170:B199" si="45">N4</f>
        <v>3723.0857238536059</v>
      </c>
      <c r="C170" s="19">
        <f t="shared" si="44"/>
        <v>15649.735064816596</v>
      </c>
      <c r="D170" s="19">
        <f t="shared" si="44"/>
        <v>-8203.5636171093829</v>
      </c>
      <c r="E170" t="s">
        <v>26</v>
      </c>
    </row>
    <row r="171" spans="1:5" x14ac:dyDescent="0.3">
      <c r="A171">
        <v>2022</v>
      </c>
      <c r="B171" s="19">
        <f t="shared" si="45"/>
        <v>2616.2247930632448</v>
      </c>
      <c r="C171" s="19">
        <f t="shared" si="44"/>
        <v>15311.130856467065</v>
      </c>
      <c r="D171" s="19">
        <f t="shared" si="44"/>
        <v>-10078.681270340574</v>
      </c>
      <c r="E171" t="s">
        <v>26</v>
      </c>
    </row>
    <row r="172" spans="1:5" x14ac:dyDescent="0.3">
      <c r="A172">
        <v>2023</v>
      </c>
      <c r="B172" s="19">
        <f t="shared" si="45"/>
        <v>1984.0356581878746</v>
      </c>
      <c r="C172" s="19">
        <f t="shared" si="44"/>
        <v>15447.198444032525</v>
      </c>
      <c r="D172" s="19">
        <f t="shared" si="44"/>
        <v>-11479.127127656775</v>
      </c>
      <c r="E172" t="s">
        <v>26</v>
      </c>
    </row>
    <row r="173" spans="1:5" x14ac:dyDescent="0.3">
      <c r="A173">
        <v>2024</v>
      </c>
      <c r="B173" s="19">
        <f t="shared" si="45"/>
        <v>1063.1017838129885</v>
      </c>
      <c r="C173" s="19">
        <f t="shared" si="44"/>
        <v>15294.521292098469</v>
      </c>
      <c r="D173" s="19">
        <f t="shared" si="44"/>
        <v>-13168.317724472492</v>
      </c>
      <c r="E173" t="s">
        <v>26</v>
      </c>
    </row>
    <row r="174" spans="1:5" x14ac:dyDescent="0.3">
      <c r="A174">
        <v>2025</v>
      </c>
      <c r="B174" s="19">
        <f t="shared" si="45"/>
        <v>63.290181886794116</v>
      </c>
      <c r="C174" s="19">
        <f t="shared" si="44"/>
        <v>15062.966412613105</v>
      </c>
      <c r="D174" s="19">
        <f t="shared" si="44"/>
        <v>-14936.386048839517</v>
      </c>
      <c r="E174" t="s">
        <v>26</v>
      </c>
    </row>
    <row r="175" spans="1:5" x14ac:dyDescent="0.3">
      <c r="A175">
        <v>2026</v>
      </c>
      <c r="B175" s="19">
        <f t="shared" si="45"/>
        <v>-1000.1599966911318</v>
      </c>
      <c r="C175" s="19">
        <f t="shared" si="44"/>
        <v>14431.595304983277</v>
      </c>
      <c r="D175" s="19">
        <f t="shared" si="44"/>
        <v>-16431.91529836554</v>
      </c>
      <c r="E175" t="s">
        <v>26</v>
      </c>
    </row>
    <row r="176" spans="1:5" x14ac:dyDescent="0.3">
      <c r="A176">
        <v>2027</v>
      </c>
      <c r="B176" s="19">
        <f t="shared" si="45"/>
        <v>-2111.9478425196166</v>
      </c>
      <c r="C176" s="19">
        <f t="shared" si="44"/>
        <v>13751.886530102904</v>
      </c>
      <c r="D176" s="19">
        <f t="shared" si="44"/>
        <v>-17975.782215142135</v>
      </c>
      <c r="E176" t="s">
        <v>26</v>
      </c>
    </row>
    <row r="177" spans="1:5" x14ac:dyDescent="0.3">
      <c r="A177">
        <v>2028</v>
      </c>
      <c r="B177" s="19">
        <f t="shared" si="45"/>
        <v>-3257.4529091137892</v>
      </c>
      <c r="C177" s="19">
        <f t="shared" si="44"/>
        <v>13038.46053445683</v>
      </c>
      <c r="D177" s="19">
        <f t="shared" si="44"/>
        <v>-19553.36635268441</v>
      </c>
      <c r="E177" t="s">
        <v>26</v>
      </c>
    </row>
    <row r="178" spans="1:5" x14ac:dyDescent="0.3">
      <c r="A178">
        <v>2029</v>
      </c>
      <c r="B178" s="19">
        <f t="shared" si="45"/>
        <v>-4423.2896939464963</v>
      </c>
      <c r="C178" s="19">
        <f t="shared" si="44"/>
        <v>12304.702820572224</v>
      </c>
      <c r="D178" s="19">
        <f t="shared" si="44"/>
        <v>-21151.282208465214</v>
      </c>
      <c r="E178" t="s">
        <v>26</v>
      </c>
    </row>
    <row r="179" spans="1:5" x14ac:dyDescent="0.3">
      <c r="A179">
        <v>2030</v>
      </c>
      <c r="B179" s="19">
        <f t="shared" si="45"/>
        <v>-5597.6641381513718</v>
      </c>
      <c r="C179" s="19">
        <f t="shared" si="44"/>
        <v>11562.407447315458</v>
      </c>
      <c r="D179" s="19">
        <f t="shared" si="44"/>
        <v>-22757.735723618203</v>
      </c>
      <c r="E179" t="s">
        <v>26</v>
      </c>
    </row>
    <row r="180" spans="1:5" x14ac:dyDescent="0.3">
      <c r="A180">
        <v>2031</v>
      </c>
      <c r="B180" s="19">
        <f t="shared" si="45"/>
        <v>-6770.5485010538168</v>
      </c>
      <c r="C180" s="19">
        <f t="shared" si="44"/>
        <v>10553.301868001872</v>
      </c>
      <c r="D180" s="19">
        <f t="shared" si="44"/>
        <v>-24094.398870109508</v>
      </c>
      <c r="E180" t="s">
        <v>26</v>
      </c>
    </row>
    <row r="181" spans="1:5" x14ac:dyDescent="0.3">
      <c r="A181">
        <v>2032</v>
      </c>
      <c r="B181" s="19">
        <f t="shared" si="45"/>
        <v>-7933.707186828944</v>
      </c>
      <c r="C181" s="19">
        <f t="shared" si="44"/>
        <v>9553.9219658156053</v>
      </c>
      <c r="D181" s="19">
        <f t="shared" si="44"/>
        <v>-25421.336339473492</v>
      </c>
      <c r="E181" t="s">
        <v>26</v>
      </c>
    </row>
    <row r="182" spans="1:5" x14ac:dyDescent="0.3">
      <c r="A182">
        <v>2033</v>
      </c>
      <c r="B182" s="19">
        <f t="shared" si="45"/>
        <v>-9080.612581120884</v>
      </c>
      <c r="C182" s="19">
        <f t="shared" si="44"/>
        <v>8570.7953551125356</v>
      </c>
      <c r="D182" s="19">
        <f t="shared" si="44"/>
        <v>-26732.020517354304</v>
      </c>
      <c r="E182" t="s">
        <v>26</v>
      </c>
    </row>
    <row r="183" spans="1:5" x14ac:dyDescent="0.3">
      <c r="A183">
        <v>2034</v>
      </c>
      <c r="B183" s="19">
        <f t="shared" si="45"/>
        <v>-10206.289072237923</v>
      </c>
      <c r="C183" s="19">
        <f t="shared" si="44"/>
        <v>7608.8976475843556</v>
      </c>
      <c r="D183" s="19">
        <f t="shared" si="44"/>
        <v>-28021.475792060202</v>
      </c>
      <c r="E183" t="s">
        <v>26</v>
      </c>
    </row>
    <row r="184" spans="1:5" x14ac:dyDescent="0.3">
      <c r="A184">
        <v>2035</v>
      </c>
      <c r="B184" s="19">
        <f t="shared" si="45"/>
        <v>-11307.118053238733</v>
      </c>
      <c r="C184" s="19">
        <f t="shared" si="44"/>
        <v>6671.8474501724049</v>
      </c>
      <c r="D184" s="19">
        <f t="shared" si="44"/>
        <v>-29286.083556649872</v>
      </c>
      <c r="E184" t="s">
        <v>26</v>
      </c>
    </row>
    <row r="185" spans="1:5" x14ac:dyDescent="0.3">
      <c r="A185">
        <v>2036</v>
      </c>
      <c r="B185" s="19">
        <f t="shared" si="45"/>
        <v>-12380.629354977571</v>
      </c>
      <c r="C185" s="19">
        <f t="shared" ref="C185:C199" si="46">O19</f>
        <v>5611.8430437180996</v>
      </c>
      <c r="D185" s="19">
        <f t="shared" ref="D185:D199" si="47">P19</f>
        <v>-30373.10175367324</v>
      </c>
      <c r="E185" t="s">
        <v>26</v>
      </c>
    </row>
    <row r="186" spans="1:5" x14ac:dyDescent="0.3">
      <c r="A186">
        <v>2037</v>
      </c>
      <c r="B186" s="19">
        <f t="shared" si="45"/>
        <v>-13425.297058281589</v>
      </c>
      <c r="C186" s="19">
        <f t="shared" si="46"/>
        <v>4580.6822356986104</v>
      </c>
      <c r="D186" s="19">
        <f t="shared" si="47"/>
        <v>-31431.27635226179</v>
      </c>
      <c r="E186" t="s">
        <v>26</v>
      </c>
    </row>
    <row r="187" spans="1:5" x14ac:dyDescent="0.3">
      <c r="A187">
        <v>2038</v>
      </c>
      <c r="B187" s="19">
        <f t="shared" si="45"/>
        <v>-14440.351039362327</v>
      </c>
      <c r="C187" s="19">
        <f t="shared" si="46"/>
        <v>3579.135149902404</v>
      </c>
      <c r="D187" s="19">
        <f t="shared" si="47"/>
        <v>-32459.837228627061</v>
      </c>
      <c r="E187" t="s">
        <v>26</v>
      </c>
    </row>
    <row r="188" spans="1:5" x14ac:dyDescent="0.3">
      <c r="A188">
        <v>2039</v>
      </c>
      <c r="B188" s="19">
        <f t="shared" si="45"/>
        <v>-15425.61037698462</v>
      </c>
      <c r="C188" s="19">
        <f t="shared" si="46"/>
        <v>2607.3827075646295</v>
      </c>
      <c r="D188" s="19">
        <f t="shared" si="47"/>
        <v>-33458.603461533872</v>
      </c>
      <c r="E188" t="s">
        <v>26</v>
      </c>
    </row>
    <row r="189" spans="1:5" x14ac:dyDescent="0.3">
      <c r="A189">
        <v>2040</v>
      </c>
      <c r="B189" s="19">
        <f t="shared" si="45"/>
        <v>-16381.340950433349</v>
      </c>
      <c r="C189" s="19">
        <f t="shared" si="46"/>
        <v>1665.1590294004327</v>
      </c>
      <c r="D189" s="19">
        <f t="shared" si="47"/>
        <v>-34427.840930267128</v>
      </c>
      <c r="E189" t="s">
        <v>26</v>
      </c>
    </row>
    <row r="190" spans="1:5" x14ac:dyDescent="0.3">
      <c r="A190">
        <v>2041</v>
      </c>
      <c r="B190" s="19">
        <f t="shared" si="45"/>
        <v>-17308.137018667931</v>
      </c>
      <c r="C190" s="19">
        <f t="shared" si="46"/>
        <v>669.21564614597082</v>
      </c>
      <c r="D190" s="19">
        <f t="shared" si="47"/>
        <v>-35285.489683481836</v>
      </c>
      <c r="E190" t="s">
        <v>26</v>
      </c>
    </row>
    <row r="191" spans="1:5" x14ac:dyDescent="0.3">
      <c r="A191">
        <v>2042</v>
      </c>
      <c r="B191" s="19">
        <f t="shared" si="45"/>
        <v>-18206.825036819908</v>
      </c>
      <c r="C191" s="19">
        <f t="shared" si="46"/>
        <v>-298.6196870258791</v>
      </c>
      <c r="D191" s="19">
        <f t="shared" si="47"/>
        <v>-36115.030386613937</v>
      </c>
      <c r="E191" t="s">
        <v>26</v>
      </c>
    </row>
    <row r="192" spans="1:5" x14ac:dyDescent="0.3">
      <c r="A192">
        <v>2043</v>
      </c>
      <c r="B192" s="19">
        <f t="shared" si="45"/>
        <v>-19078.387170484864</v>
      </c>
      <c r="C192" s="19">
        <f t="shared" si="46"/>
        <v>-1239.3291357107155</v>
      </c>
      <c r="D192" s="19">
        <f t="shared" si="47"/>
        <v>-36917.445205259013</v>
      </c>
      <c r="E192" t="s">
        <v>26</v>
      </c>
    </row>
    <row r="193" spans="1:5" x14ac:dyDescent="0.3">
      <c r="A193">
        <v>2044</v>
      </c>
      <c r="B193" s="19">
        <f t="shared" si="45"/>
        <v>-19923.901677813195</v>
      </c>
      <c r="C193" s="19">
        <f t="shared" si="46"/>
        <v>-2153.9909580589265</v>
      </c>
      <c r="D193" s="19">
        <f t="shared" si="47"/>
        <v>-37693.812397567468</v>
      </c>
      <c r="E193" t="s">
        <v>26</v>
      </c>
    </row>
    <row r="194" spans="1:5" x14ac:dyDescent="0.3">
      <c r="A194">
        <v>2045</v>
      </c>
      <c r="B194" s="19">
        <f t="shared" si="45"/>
        <v>-20744.497359261488</v>
      </c>
      <c r="C194" s="19">
        <f t="shared" si="46"/>
        <v>-3043.7339545270879</v>
      </c>
      <c r="D194" s="19">
        <f t="shared" si="47"/>
        <v>-38445.260763995888</v>
      </c>
      <c r="E194" t="s">
        <v>26</v>
      </c>
    </row>
    <row r="195" spans="1:5" x14ac:dyDescent="0.3">
      <c r="A195">
        <v>2046</v>
      </c>
      <c r="B195" s="19">
        <f t="shared" si="45"/>
        <v>-21541.319488881909</v>
      </c>
      <c r="C195" s="19">
        <f t="shared" si="46"/>
        <v>-3923.1691105860373</v>
      </c>
      <c r="D195" s="19">
        <f t="shared" si="47"/>
        <v>-39159.469867177781</v>
      </c>
      <c r="E195" t="s">
        <v>26</v>
      </c>
    </row>
    <row r="196" spans="1:5" x14ac:dyDescent="0.3">
      <c r="A196">
        <v>2047</v>
      </c>
      <c r="B196" s="19">
        <f t="shared" si="45"/>
        <v>-22315.504945165005</v>
      </c>
      <c r="C196" s="19">
        <f t="shared" si="46"/>
        <v>-4779.9675933076542</v>
      </c>
      <c r="D196" s="19">
        <f t="shared" si="47"/>
        <v>-39851.042297022359</v>
      </c>
      <c r="E196" t="s">
        <v>26</v>
      </c>
    </row>
    <row r="197" spans="1:5" x14ac:dyDescent="0.3">
      <c r="A197">
        <v>2048</v>
      </c>
      <c r="B197" s="19">
        <f t="shared" si="45"/>
        <v>-23068.16459267167</v>
      </c>
      <c r="C197" s="19">
        <f t="shared" si="46"/>
        <v>-5615.2402672528515</v>
      </c>
      <c r="D197" s="19">
        <f t="shared" si="47"/>
        <v>-40521.088918090492</v>
      </c>
      <c r="E197" t="s">
        <v>26</v>
      </c>
    </row>
    <row r="198" spans="1:5" x14ac:dyDescent="0.3">
      <c r="A198">
        <v>2049</v>
      </c>
      <c r="B198" s="19">
        <f t="shared" si="45"/>
        <v>-23800.371291150703</v>
      </c>
      <c r="C198" s="19">
        <f t="shared" si="46"/>
        <v>-6430.0599921704015</v>
      </c>
      <c r="D198" s="19">
        <f t="shared" si="47"/>
        <v>-41170.682590131008</v>
      </c>
      <c r="E198" t="s">
        <v>26</v>
      </c>
    </row>
    <row r="199" spans="1:5" x14ac:dyDescent="0.3">
      <c r="A199">
        <v>2050</v>
      </c>
      <c r="B199" s="19">
        <f t="shared" si="45"/>
        <v>-24513.152206437349</v>
      </c>
      <c r="C199" s="19">
        <f t="shared" si="46"/>
        <v>-7225.4539338955801</v>
      </c>
      <c r="D199" s="19">
        <f t="shared" si="47"/>
        <v>-41800.850478979119</v>
      </c>
      <c r="E199" t="s">
        <v>26</v>
      </c>
    </row>
    <row r="200" spans="1:5" x14ac:dyDescent="0.3">
      <c r="A200">
        <v>2020</v>
      </c>
      <c r="B200" s="19">
        <f>Q3</f>
        <v>4097.1804579128811</v>
      </c>
      <c r="C200" s="19">
        <f t="shared" ref="C200:D215" si="48">R3</f>
        <v>15255.573076435041</v>
      </c>
      <c r="D200" s="19">
        <f t="shared" si="48"/>
        <v>-7061.2121606092796</v>
      </c>
      <c r="E200" t="s">
        <v>25</v>
      </c>
    </row>
    <row r="201" spans="1:5" x14ac:dyDescent="0.3">
      <c r="A201">
        <v>2021</v>
      </c>
      <c r="B201" s="19">
        <f t="shared" ref="B201:B230" si="49">Q4</f>
        <v>3620.8368212914688</v>
      </c>
      <c r="C201" s="19">
        <f t="shared" si="48"/>
        <v>15547.486162254458</v>
      </c>
      <c r="D201" s="19">
        <f t="shared" si="48"/>
        <v>-8305.8125196715209</v>
      </c>
      <c r="E201" t="s">
        <v>25</v>
      </c>
    </row>
    <row r="202" spans="1:5" x14ac:dyDescent="0.3">
      <c r="A202">
        <v>2022</v>
      </c>
      <c r="B202" s="19">
        <f t="shared" si="49"/>
        <v>2427.7892314533028</v>
      </c>
      <c r="C202" s="19">
        <f t="shared" si="48"/>
        <v>15122.695294857123</v>
      </c>
      <c r="D202" s="19">
        <f t="shared" si="48"/>
        <v>-10267.116831950516</v>
      </c>
      <c r="E202" t="s">
        <v>25</v>
      </c>
    </row>
    <row r="203" spans="1:5" x14ac:dyDescent="0.3">
      <c r="A203">
        <v>2023</v>
      </c>
      <c r="B203" s="19">
        <f t="shared" si="49"/>
        <v>1669.4256178478304</v>
      </c>
      <c r="C203" s="19">
        <f t="shared" si="48"/>
        <v>15132.58840369248</v>
      </c>
      <c r="D203" s="19">
        <f t="shared" si="48"/>
        <v>-11793.73716799682</v>
      </c>
      <c r="E203" t="s">
        <v>25</v>
      </c>
    </row>
    <row r="204" spans="1:5" x14ac:dyDescent="0.3">
      <c r="A204">
        <v>2024</v>
      </c>
      <c r="B204" s="19">
        <f t="shared" si="49"/>
        <v>631.70806314032643</v>
      </c>
      <c r="C204" s="19">
        <f t="shared" si="48"/>
        <v>14863.127571425806</v>
      </c>
      <c r="D204" s="19">
        <f t="shared" si="48"/>
        <v>-13599.711445145154</v>
      </c>
      <c r="E204" t="s">
        <v>25</v>
      </c>
    </row>
    <row r="205" spans="1:5" x14ac:dyDescent="0.3">
      <c r="A205">
        <v>2025</v>
      </c>
      <c r="B205" s="19">
        <f t="shared" si="49"/>
        <v>-487.63259626510012</v>
      </c>
      <c r="C205" s="19">
        <f t="shared" si="48"/>
        <v>14512.04363446121</v>
      </c>
      <c r="D205" s="19">
        <f t="shared" si="48"/>
        <v>-15487.308826991411</v>
      </c>
      <c r="E205" t="s">
        <v>25</v>
      </c>
    </row>
    <row r="206" spans="1:5" x14ac:dyDescent="0.3">
      <c r="A206">
        <v>2026</v>
      </c>
      <c r="B206" s="19">
        <f t="shared" si="49"/>
        <v>-1671.4857475551005</v>
      </c>
      <c r="C206" s="19">
        <f t="shared" si="48"/>
        <v>13760.26955411931</v>
      </c>
      <c r="D206" s="19">
        <f t="shared" si="48"/>
        <v>-17103.241049229509</v>
      </c>
      <c r="E206" t="s">
        <v>25</v>
      </c>
    </row>
    <row r="207" spans="1:5" x14ac:dyDescent="0.3">
      <c r="A207">
        <v>2027</v>
      </c>
      <c r="B207" s="19">
        <f t="shared" si="49"/>
        <v>-2902.8399819875322</v>
      </c>
      <c r="C207" s="19">
        <f t="shared" si="48"/>
        <v>12960.994390634987</v>
      </c>
      <c r="D207" s="19">
        <f t="shared" si="48"/>
        <v>-18766.674354610052</v>
      </c>
      <c r="E207" t="s">
        <v>25</v>
      </c>
    </row>
    <row r="208" spans="1:5" x14ac:dyDescent="0.3">
      <c r="A208">
        <v>2028</v>
      </c>
      <c r="B208" s="19">
        <f t="shared" si="49"/>
        <v>-4165.5820222420698</v>
      </c>
      <c r="C208" s="19">
        <f t="shared" si="48"/>
        <v>12130.33142132855</v>
      </c>
      <c r="D208" s="19">
        <f t="shared" si="48"/>
        <v>-20461.495465812688</v>
      </c>
      <c r="E208" t="s">
        <v>25</v>
      </c>
    </row>
    <row r="209" spans="1:5" x14ac:dyDescent="0.3">
      <c r="A209">
        <v>2029</v>
      </c>
      <c r="B209" s="19">
        <f t="shared" si="49"/>
        <v>-5445.0819728749639</v>
      </c>
      <c r="C209" s="19">
        <f t="shared" si="48"/>
        <v>11282.910541643756</v>
      </c>
      <c r="D209" s="19">
        <f t="shared" si="48"/>
        <v>-22173.074487393682</v>
      </c>
      <c r="E209" t="s">
        <v>25</v>
      </c>
    </row>
    <row r="210" spans="1:5" x14ac:dyDescent="0.3">
      <c r="A210">
        <v>2030</v>
      </c>
      <c r="B210" s="19">
        <f t="shared" si="49"/>
        <v>-6728.5575879915596</v>
      </c>
      <c r="C210" s="19">
        <f t="shared" si="48"/>
        <v>10431.513997475271</v>
      </c>
      <c r="D210" s="19">
        <f t="shared" si="48"/>
        <v>-23888.62917345839</v>
      </c>
      <c r="E210" t="s">
        <v>25</v>
      </c>
    </row>
    <row r="211" spans="1:5" x14ac:dyDescent="0.3">
      <c r="A211">
        <v>2031</v>
      </c>
      <c r="B211" s="19">
        <f t="shared" si="49"/>
        <v>-8005.2388523364998</v>
      </c>
      <c r="C211" s="19">
        <f t="shared" si="48"/>
        <v>9318.6115167191892</v>
      </c>
      <c r="D211" s="19">
        <f t="shared" si="48"/>
        <v>-25329.089221392191</v>
      </c>
      <c r="E211" t="s">
        <v>25</v>
      </c>
    </row>
    <row r="212" spans="1:5" x14ac:dyDescent="0.3">
      <c r="A212">
        <v>2032</v>
      </c>
      <c r="B212" s="19">
        <f t="shared" si="49"/>
        <v>-9266.3710687530274</v>
      </c>
      <c r="C212" s="19">
        <f t="shared" si="48"/>
        <v>8221.2580838915219</v>
      </c>
      <c r="D212" s="19">
        <f t="shared" si="48"/>
        <v>-26754.000221397575</v>
      </c>
      <c r="E212" t="s">
        <v>25</v>
      </c>
    </row>
    <row r="213" spans="1:5" x14ac:dyDescent="0.3">
      <c r="A213">
        <v>2033</v>
      </c>
      <c r="B213" s="19">
        <f t="shared" si="49"/>
        <v>-10505.100798814146</v>
      </c>
      <c r="C213" s="19">
        <f t="shared" si="48"/>
        <v>7146.3071374192732</v>
      </c>
      <c r="D213" s="19">
        <f t="shared" si="48"/>
        <v>-28156.508735047566</v>
      </c>
      <c r="E213" t="s">
        <v>25</v>
      </c>
    </row>
    <row r="214" spans="1:5" x14ac:dyDescent="0.3">
      <c r="A214">
        <v>2034</v>
      </c>
      <c r="B214" s="19">
        <f t="shared" si="49"/>
        <v>-11716.287200756311</v>
      </c>
      <c r="C214" s="19">
        <f t="shared" si="48"/>
        <v>6098.899519065968</v>
      </c>
      <c r="D214" s="19">
        <f t="shared" si="48"/>
        <v>-29531.473920578588</v>
      </c>
      <c r="E214" t="s">
        <v>25</v>
      </c>
    </row>
    <row r="215" spans="1:5" x14ac:dyDescent="0.3">
      <c r="A215">
        <v>2035</v>
      </c>
      <c r="B215" s="19">
        <f t="shared" si="49"/>
        <v>-12896.27478267786</v>
      </c>
      <c r="C215" s="19">
        <f t="shared" si="48"/>
        <v>5082.6907207332788</v>
      </c>
      <c r="D215" s="19">
        <f t="shared" si="48"/>
        <v>-30875.240286089</v>
      </c>
      <c r="E215" t="s">
        <v>25</v>
      </c>
    </row>
    <row r="216" spans="1:5" x14ac:dyDescent="0.3">
      <c r="A216">
        <v>2036</v>
      </c>
      <c r="B216" s="19">
        <f t="shared" si="49"/>
        <v>-14042.655125080362</v>
      </c>
      <c r="C216" s="19">
        <f t="shared" ref="C216:C230" si="50">R19</f>
        <v>3949.8172736153083</v>
      </c>
      <c r="D216" s="19">
        <f t="shared" ref="D216:D230" si="51">S19</f>
        <v>-32035.127523776035</v>
      </c>
      <c r="E216" t="s">
        <v>25</v>
      </c>
    </row>
    <row r="217" spans="1:5" x14ac:dyDescent="0.3">
      <c r="A217">
        <v>2037</v>
      </c>
      <c r="B217" s="19">
        <f t="shared" si="49"/>
        <v>-15154.036683121145</v>
      </c>
      <c r="C217" s="19">
        <f t="shared" si="50"/>
        <v>2851.9426108590542</v>
      </c>
      <c r="D217" s="19">
        <f t="shared" si="51"/>
        <v>-33160.015977101342</v>
      </c>
      <c r="E217" t="s">
        <v>25</v>
      </c>
    </row>
    <row r="218" spans="1:5" x14ac:dyDescent="0.3">
      <c r="A218">
        <v>2038</v>
      </c>
      <c r="B218" s="19">
        <f t="shared" si="49"/>
        <v>-16229.834473615545</v>
      </c>
      <c r="C218" s="19">
        <f t="shared" si="50"/>
        <v>1789.6517156491864</v>
      </c>
      <c r="D218" s="19">
        <f t="shared" si="51"/>
        <v>-34249.320662880273</v>
      </c>
      <c r="E218" t="s">
        <v>25</v>
      </c>
    </row>
    <row r="219" spans="1:5" x14ac:dyDescent="0.3">
      <c r="A219">
        <v>2039</v>
      </c>
      <c r="B219" s="19">
        <f t="shared" si="49"/>
        <v>-17270.085740895782</v>
      </c>
      <c r="C219" s="19">
        <f t="shared" si="50"/>
        <v>762.90734365346725</v>
      </c>
      <c r="D219" s="19">
        <f t="shared" si="51"/>
        <v>-35303.078825445031</v>
      </c>
      <c r="E219" t="s">
        <v>25</v>
      </c>
    </row>
    <row r="220" spans="1:5" x14ac:dyDescent="0.3">
      <c r="A220">
        <v>2040</v>
      </c>
      <c r="B220" s="19">
        <f t="shared" si="49"/>
        <v>-18275.293601110912</v>
      </c>
      <c r="C220" s="19">
        <f t="shared" si="50"/>
        <v>-228.79362127713102</v>
      </c>
      <c r="D220" s="19">
        <f t="shared" si="51"/>
        <v>-36321.793580944694</v>
      </c>
      <c r="E220" t="s">
        <v>25</v>
      </c>
    </row>
    <row r="221" spans="1:5" x14ac:dyDescent="0.3">
      <c r="A221">
        <v>2041</v>
      </c>
      <c r="B221" s="19">
        <f t="shared" si="49"/>
        <v>-19246.297975112961</v>
      </c>
      <c r="C221" s="19">
        <f t="shared" si="50"/>
        <v>-1268.9453102990592</v>
      </c>
      <c r="D221" s="19">
        <f t="shared" si="51"/>
        <v>-37223.650639926862</v>
      </c>
      <c r="E221" t="s">
        <v>25</v>
      </c>
    </row>
    <row r="222" spans="1:5" x14ac:dyDescent="0.3">
      <c r="A222">
        <v>2042</v>
      </c>
      <c r="B222" s="19">
        <f t="shared" si="49"/>
        <v>-20184.171534978454</v>
      </c>
      <c r="C222" s="19">
        <f t="shared" si="50"/>
        <v>-2275.9661851844248</v>
      </c>
      <c r="D222" s="19">
        <f t="shared" si="51"/>
        <v>-38092.376884772486</v>
      </c>
      <c r="E222" t="s">
        <v>25</v>
      </c>
    </row>
    <row r="223" spans="1:5" x14ac:dyDescent="0.3">
      <c r="A223">
        <v>2043</v>
      </c>
      <c r="B223" s="19">
        <f t="shared" si="49"/>
        <v>-21090.137605765925</v>
      </c>
      <c r="C223" s="19">
        <f t="shared" si="50"/>
        <v>-3251.0795709917766</v>
      </c>
      <c r="D223" s="19">
        <f t="shared" si="51"/>
        <v>-38929.195640540071</v>
      </c>
      <c r="E223" t="s">
        <v>25</v>
      </c>
    </row>
    <row r="224" spans="1:5" x14ac:dyDescent="0.3">
      <c r="A224">
        <v>2044</v>
      </c>
      <c r="B224" s="19">
        <f t="shared" si="49"/>
        <v>-21965.506721350328</v>
      </c>
      <c r="C224" s="19">
        <f t="shared" si="50"/>
        <v>-4195.5960015960591</v>
      </c>
      <c r="D224" s="19">
        <f t="shared" si="51"/>
        <v>-39735.417441104597</v>
      </c>
      <c r="E224" t="s">
        <v>25</v>
      </c>
    </row>
    <row r="225" spans="1:5" x14ac:dyDescent="0.3">
      <c r="A225">
        <v>2045</v>
      </c>
      <c r="B225" s="19">
        <f t="shared" si="49"/>
        <v>-22811.628626941219</v>
      </c>
      <c r="C225" s="19">
        <f t="shared" si="50"/>
        <v>-5110.8652222068195</v>
      </c>
      <c r="D225" s="19">
        <f t="shared" si="51"/>
        <v>-40512.392031675619</v>
      </c>
      <c r="E225" t="s">
        <v>25</v>
      </c>
    </row>
    <row r="226" spans="1:5" x14ac:dyDescent="0.3">
      <c r="A226">
        <v>2046</v>
      </c>
      <c r="B226" s="19">
        <f t="shared" si="49"/>
        <v>-23629.856802708731</v>
      </c>
      <c r="C226" s="19">
        <f t="shared" si="50"/>
        <v>-6011.7064244128596</v>
      </c>
      <c r="D226" s="19">
        <f t="shared" si="51"/>
        <v>-41248.007181004607</v>
      </c>
      <c r="E226" t="s">
        <v>25</v>
      </c>
    </row>
    <row r="227" spans="1:5" x14ac:dyDescent="0.3">
      <c r="A227">
        <v>2047</v>
      </c>
      <c r="B227" s="19">
        <f t="shared" si="49"/>
        <v>-24421.522951546398</v>
      </c>
      <c r="C227" s="19">
        <f t="shared" si="50"/>
        <v>-6885.9855996890474</v>
      </c>
      <c r="D227" s="19">
        <f t="shared" si="51"/>
        <v>-41957.060303403749</v>
      </c>
      <c r="E227" t="s">
        <v>25</v>
      </c>
    </row>
    <row r="228" spans="1:5" x14ac:dyDescent="0.3">
      <c r="A228">
        <v>2048</v>
      </c>
      <c r="B228" s="19">
        <f t="shared" si="49"/>
        <v>-25187.919284647651</v>
      </c>
      <c r="C228" s="19">
        <f t="shared" si="50"/>
        <v>-7734.9949592288322</v>
      </c>
      <c r="D228" s="19">
        <f t="shared" si="51"/>
        <v>-42640.843610066469</v>
      </c>
      <c r="E228" t="s">
        <v>25</v>
      </c>
    </row>
    <row r="229" spans="1:5" x14ac:dyDescent="0.3">
      <c r="A229">
        <v>2049</v>
      </c>
      <c r="B229" s="19">
        <f t="shared" si="49"/>
        <v>-25930.286812989478</v>
      </c>
      <c r="C229" s="19">
        <f t="shared" si="50"/>
        <v>-8559.9755140091765</v>
      </c>
      <c r="D229" s="19">
        <f t="shared" si="51"/>
        <v>-43300.598111969783</v>
      </c>
      <c r="E229" t="s">
        <v>25</v>
      </c>
    </row>
    <row r="230" spans="1:5" x14ac:dyDescent="0.3">
      <c r="A230">
        <v>2050</v>
      </c>
      <c r="B230" s="19">
        <f t="shared" si="49"/>
        <v>-26649.80819082931</v>
      </c>
      <c r="C230" s="19">
        <f t="shared" si="50"/>
        <v>-9362.1099182875405</v>
      </c>
      <c r="D230" s="19">
        <f t="shared" si="51"/>
        <v>-43937.506463371079</v>
      </c>
      <c r="E230" t="s">
        <v>25</v>
      </c>
    </row>
  </sheetData>
  <mergeCells count="6">
    <mergeCell ref="Q1:S1"/>
    <mergeCell ref="B1:D1"/>
    <mergeCell ref="E1:G1"/>
    <mergeCell ref="H1:J1"/>
    <mergeCell ref="K1:M1"/>
    <mergeCell ref="N1:P1"/>
  </mergeCells>
  <phoneticPr fontId="1" type="noConversion"/>
  <conditionalFormatting sqref="B3:S33 B45:D230">
    <cfRule type="cellIs" dxfId="1" priority="3" operator="lessThan">
      <formula>0</formula>
    </cfRule>
    <cfRule type="cellIs" dxfId="0" priority="5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D62E-6AB1-4B84-B0FC-87788F7925C0}">
  <dimension ref="A1:H39"/>
  <sheetViews>
    <sheetView zoomScale="115" zoomScaleNormal="115" workbookViewId="0">
      <selection activeCell="B12" sqref="B12:B39"/>
    </sheetView>
  </sheetViews>
  <sheetFormatPr defaultColWidth="8.83203125" defaultRowHeight="14" x14ac:dyDescent="0.3"/>
  <cols>
    <col min="1" max="1" width="21.83203125" bestFit="1" customWidth="1"/>
    <col min="2" max="5" width="13.33203125" bestFit="1" customWidth="1"/>
    <col min="6" max="8" width="11.1640625" bestFit="1" customWidth="1"/>
  </cols>
  <sheetData>
    <row r="1" spans="1:8" x14ac:dyDescent="0.3">
      <c r="B1">
        <v>2020</v>
      </c>
      <c r="C1">
        <v>2025</v>
      </c>
      <c r="D1">
        <v>2030</v>
      </c>
      <c r="E1">
        <v>2035</v>
      </c>
      <c r="F1">
        <v>2040</v>
      </c>
      <c r="G1">
        <v>2045</v>
      </c>
      <c r="H1">
        <v>2050</v>
      </c>
    </row>
    <row r="2" spans="1:8" x14ac:dyDescent="0.3">
      <c r="A2" s="3" t="s">
        <v>8</v>
      </c>
      <c r="B2" s="17">
        <f>Best!G54*Production!$B$3/1000</f>
        <v>10491.9290793317</v>
      </c>
      <c r="C2" s="17">
        <f>Best!H54*Production!$B$8/1000</f>
        <v>11789.331154944623</v>
      </c>
      <c r="D2" s="17">
        <f>Best!I54*Production!$B$13/1000</f>
        <v>10998.902563035428</v>
      </c>
      <c r="E2" s="17">
        <f>Best!J54*Production!$B$18/1000</f>
        <v>9039.9057080645525</v>
      </c>
      <c r="F2" s="17">
        <f>Best!K54*Production!$B$23/1000</f>
        <v>6697.1911771071727</v>
      </c>
      <c r="G2" s="17">
        <f>Best!L54*Production!$B$28/1000</f>
        <v>4361.5605515109337</v>
      </c>
      <c r="H2" s="17">
        <f>Best!M54*Production!$B$33/1000</f>
        <v>2164.8028649314765</v>
      </c>
    </row>
    <row r="3" spans="1:8" x14ac:dyDescent="0.3">
      <c r="A3" s="3" t="s">
        <v>21</v>
      </c>
      <c r="B3" s="17">
        <f>Best!G55*Production!$B$3/1000</f>
        <v>8795.3958313046787</v>
      </c>
      <c r="C3" s="17">
        <f>Best!H55*Production!$B$8/1000</f>
        <v>10647.018371599215</v>
      </c>
      <c r="D3" s="17">
        <f>Best!I55*Production!$B$13/1000</f>
        <v>11065.402768893173</v>
      </c>
      <c r="E3" s="17">
        <f>Best!J55*Production!$B$18/1000</f>
        <v>10595.916464806241</v>
      </c>
      <c r="F3" s="17">
        <f>Best!K55*Production!$B$23/1000</f>
        <v>9777.9762861688996</v>
      </c>
      <c r="G3" s="17">
        <f>Best!L55*Production!$B$28/1000</f>
        <v>8910.6906376741026</v>
      </c>
      <c r="H3" s="17">
        <f>Best!M55*Production!$B$33/1000</f>
        <v>8109.336860650249</v>
      </c>
    </row>
    <row r="4" spans="1:8" x14ac:dyDescent="0.3">
      <c r="A4" s="3" t="s">
        <v>9</v>
      </c>
      <c r="B4" s="17">
        <f>Best!G56*Production!$B$3/1000</f>
        <v>1854.4545500000004</v>
      </c>
      <c r="C4" s="17">
        <f>Best!H56*Production!$B$8/1000</f>
        <v>2427.2652933214754</v>
      </c>
      <c r="D4" s="17">
        <f>Best!I56*Production!$B$13/1000</f>
        <v>2711.4967084999257</v>
      </c>
      <c r="E4" s="17">
        <f>Best!J56*Production!$B$18/1000</f>
        <v>2776.5987551281487</v>
      </c>
      <c r="F4" s="17">
        <f>Best!K56*Production!$B$23/1000</f>
        <v>2727.8683529765331</v>
      </c>
      <c r="G4" s="17">
        <f>Best!L56*Production!$B$28/1000</f>
        <v>2636.2550026066242</v>
      </c>
      <c r="H4" s="17">
        <f>Best!M56*Production!$B$33/1000</f>
        <v>2535.474419147306</v>
      </c>
    </row>
    <row r="5" spans="1:8" x14ac:dyDescent="0.3">
      <c r="A5" s="3" t="s">
        <v>18</v>
      </c>
      <c r="B5" s="17">
        <f>Best!G57*Production!$B$3/1000</f>
        <v>-17044.599002723495</v>
      </c>
      <c r="C5" s="17">
        <f>Best!H57*Production!$B$8/1000</f>
        <v>-24800.32463797852</v>
      </c>
      <c r="D5" s="17">
        <f>Best!I57*Production!$B$13/1000</f>
        <v>-30373.466178579896</v>
      </c>
      <c r="E5" s="17">
        <f>Best!J57*Production!$B$18/1000</f>
        <v>-33719.538981237682</v>
      </c>
      <c r="F5" s="17">
        <f>Best!K57*Production!$B$23/1000</f>
        <v>-35584.376766685957</v>
      </c>
      <c r="G5" s="17">
        <f>Best!L57*Production!$B$28/1000</f>
        <v>-36653.003551053145</v>
      </c>
      <c r="H5" s="17">
        <f>Best!M57*Production!$B$33/1000</f>
        <v>-37322.766351166378</v>
      </c>
    </row>
    <row r="10" spans="1:8" x14ac:dyDescent="0.3">
      <c r="B10" t="s">
        <v>32</v>
      </c>
    </row>
    <row r="11" spans="1:8" x14ac:dyDescent="0.3">
      <c r="A11" t="s">
        <v>30</v>
      </c>
      <c r="B11" t="s">
        <v>31</v>
      </c>
      <c r="C11" t="s">
        <v>28</v>
      </c>
    </row>
    <row r="12" spans="1:8" x14ac:dyDescent="0.3">
      <c r="A12" s="3" t="s">
        <v>8</v>
      </c>
      <c r="B12" s="17">
        <f>B2</f>
        <v>10491.9290793317</v>
      </c>
      <c r="C12">
        <v>2020</v>
      </c>
    </row>
    <row r="13" spans="1:8" x14ac:dyDescent="0.3">
      <c r="A13" s="3" t="s">
        <v>29</v>
      </c>
      <c r="B13" s="17">
        <f t="shared" ref="B13:B15" si="0">B3</f>
        <v>8795.3958313046787</v>
      </c>
      <c r="C13">
        <v>2020</v>
      </c>
    </row>
    <row r="14" spans="1:8" x14ac:dyDescent="0.3">
      <c r="A14" s="3" t="s">
        <v>9</v>
      </c>
      <c r="B14" s="17">
        <f t="shared" si="0"/>
        <v>1854.4545500000004</v>
      </c>
      <c r="C14">
        <v>2020</v>
      </c>
    </row>
    <row r="15" spans="1:8" x14ac:dyDescent="0.3">
      <c r="A15" s="3" t="s">
        <v>18</v>
      </c>
      <c r="B15" s="17">
        <f t="shared" si="0"/>
        <v>-17044.599002723495</v>
      </c>
      <c r="C15">
        <v>2020</v>
      </c>
    </row>
    <row r="16" spans="1:8" x14ac:dyDescent="0.3">
      <c r="A16" s="3" t="s">
        <v>8</v>
      </c>
      <c r="B16" s="17">
        <f>C2</f>
        <v>11789.331154944623</v>
      </c>
      <c r="C16">
        <v>2025</v>
      </c>
    </row>
    <row r="17" spans="1:3" x14ac:dyDescent="0.3">
      <c r="A17" s="3" t="s">
        <v>29</v>
      </c>
      <c r="B17" s="17">
        <f t="shared" ref="B17:B19" si="1">C3</f>
        <v>10647.018371599215</v>
      </c>
      <c r="C17">
        <v>2025</v>
      </c>
    </row>
    <row r="18" spans="1:3" x14ac:dyDescent="0.3">
      <c r="A18" s="3" t="s">
        <v>9</v>
      </c>
      <c r="B18" s="17">
        <f t="shared" si="1"/>
        <v>2427.2652933214754</v>
      </c>
      <c r="C18">
        <v>2025</v>
      </c>
    </row>
    <row r="19" spans="1:3" x14ac:dyDescent="0.3">
      <c r="A19" s="3" t="s">
        <v>18</v>
      </c>
      <c r="B19" s="17">
        <f t="shared" si="1"/>
        <v>-24800.32463797852</v>
      </c>
      <c r="C19">
        <v>2025</v>
      </c>
    </row>
    <row r="20" spans="1:3" x14ac:dyDescent="0.3">
      <c r="A20" s="3" t="s">
        <v>8</v>
      </c>
      <c r="B20" s="17">
        <f>D2</f>
        <v>10998.902563035428</v>
      </c>
      <c r="C20">
        <v>2030</v>
      </c>
    </row>
    <row r="21" spans="1:3" x14ac:dyDescent="0.3">
      <c r="A21" s="3" t="s">
        <v>29</v>
      </c>
      <c r="B21" s="17">
        <f t="shared" ref="B21:B23" si="2">D3</f>
        <v>11065.402768893173</v>
      </c>
      <c r="C21">
        <v>2030</v>
      </c>
    </row>
    <row r="22" spans="1:3" x14ac:dyDescent="0.3">
      <c r="A22" s="3" t="s">
        <v>9</v>
      </c>
      <c r="B22" s="17">
        <f t="shared" si="2"/>
        <v>2711.4967084999257</v>
      </c>
      <c r="C22">
        <v>2030</v>
      </c>
    </row>
    <row r="23" spans="1:3" x14ac:dyDescent="0.3">
      <c r="A23" s="3" t="s">
        <v>18</v>
      </c>
      <c r="B23" s="17">
        <f t="shared" si="2"/>
        <v>-30373.466178579896</v>
      </c>
      <c r="C23">
        <v>2030</v>
      </c>
    </row>
    <row r="24" spans="1:3" x14ac:dyDescent="0.3">
      <c r="A24" s="3" t="s">
        <v>8</v>
      </c>
      <c r="B24" s="17">
        <f>E2</f>
        <v>9039.9057080645525</v>
      </c>
      <c r="C24">
        <v>2035</v>
      </c>
    </row>
    <row r="25" spans="1:3" x14ac:dyDescent="0.3">
      <c r="A25" s="3" t="s">
        <v>29</v>
      </c>
      <c r="B25" s="17">
        <f t="shared" ref="B25:B27" si="3">E3</f>
        <v>10595.916464806241</v>
      </c>
      <c r="C25">
        <v>2035</v>
      </c>
    </row>
    <row r="26" spans="1:3" x14ac:dyDescent="0.3">
      <c r="A26" s="3" t="s">
        <v>9</v>
      </c>
      <c r="B26" s="17">
        <f t="shared" si="3"/>
        <v>2776.5987551281487</v>
      </c>
      <c r="C26">
        <v>2035</v>
      </c>
    </row>
    <row r="27" spans="1:3" x14ac:dyDescent="0.3">
      <c r="A27" s="3" t="s">
        <v>18</v>
      </c>
      <c r="B27" s="17">
        <f t="shared" si="3"/>
        <v>-33719.538981237682</v>
      </c>
      <c r="C27">
        <v>2035</v>
      </c>
    </row>
    <row r="28" spans="1:3" x14ac:dyDescent="0.3">
      <c r="A28" s="3" t="s">
        <v>8</v>
      </c>
      <c r="B28" s="17">
        <f>F2</f>
        <v>6697.1911771071727</v>
      </c>
      <c r="C28">
        <v>2040</v>
      </c>
    </row>
    <row r="29" spans="1:3" x14ac:dyDescent="0.3">
      <c r="A29" s="3" t="s">
        <v>29</v>
      </c>
      <c r="B29" s="17">
        <f t="shared" ref="B29:B31" si="4">F3</f>
        <v>9777.9762861688996</v>
      </c>
      <c r="C29">
        <v>2040</v>
      </c>
    </row>
    <row r="30" spans="1:3" x14ac:dyDescent="0.3">
      <c r="A30" s="3" t="s">
        <v>9</v>
      </c>
      <c r="B30" s="17">
        <f t="shared" si="4"/>
        <v>2727.8683529765331</v>
      </c>
      <c r="C30">
        <v>2040</v>
      </c>
    </row>
    <row r="31" spans="1:3" x14ac:dyDescent="0.3">
      <c r="A31" s="3" t="s">
        <v>18</v>
      </c>
      <c r="B31" s="17">
        <f t="shared" si="4"/>
        <v>-35584.376766685957</v>
      </c>
      <c r="C31">
        <v>2040</v>
      </c>
    </row>
    <row r="32" spans="1:3" x14ac:dyDescent="0.3">
      <c r="A32" s="3" t="s">
        <v>8</v>
      </c>
      <c r="B32" s="17">
        <f>G2</f>
        <v>4361.5605515109337</v>
      </c>
      <c r="C32">
        <v>2045</v>
      </c>
    </row>
    <row r="33" spans="1:3" x14ac:dyDescent="0.3">
      <c r="A33" s="3" t="s">
        <v>29</v>
      </c>
      <c r="B33" s="17">
        <f t="shared" ref="B33:B35" si="5">G3</f>
        <v>8910.6906376741026</v>
      </c>
      <c r="C33">
        <v>2045</v>
      </c>
    </row>
    <row r="34" spans="1:3" x14ac:dyDescent="0.3">
      <c r="A34" s="3" t="s">
        <v>9</v>
      </c>
      <c r="B34" s="17">
        <f t="shared" si="5"/>
        <v>2636.2550026066242</v>
      </c>
      <c r="C34">
        <v>2045</v>
      </c>
    </row>
    <row r="35" spans="1:3" x14ac:dyDescent="0.3">
      <c r="A35" s="3" t="s">
        <v>18</v>
      </c>
      <c r="B35" s="17">
        <f t="shared" si="5"/>
        <v>-36653.003551053145</v>
      </c>
      <c r="C35">
        <v>2045</v>
      </c>
    </row>
    <row r="36" spans="1:3" x14ac:dyDescent="0.3">
      <c r="A36" s="3" t="s">
        <v>8</v>
      </c>
      <c r="B36" s="17">
        <f>H2</f>
        <v>2164.8028649314765</v>
      </c>
      <c r="C36">
        <v>2050</v>
      </c>
    </row>
    <row r="37" spans="1:3" x14ac:dyDescent="0.3">
      <c r="A37" s="3" t="s">
        <v>29</v>
      </c>
      <c r="B37" s="17">
        <f t="shared" ref="B37:B39" si="6">H3</f>
        <v>8109.336860650249</v>
      </c>
      <c r="C37">
        <v>2050</v>
      </c>
    </row>
    <row r="38" spans="1:3" x14ac:dyDescent="0.3">
      <c r="A38" s="3" t="s">
        <v>9</v>
      </c>
      <c r="B38" s="17">
        <f t="shared" si="6"/>
        <v>2535.474419147306</v>
      </c>
      <c r="C38">
        <v>2050</v>
      </c>
    </row>
    <row r="39" spans="1:3" x14ac:dyDescent="0.3">
      <c r="A39" s="3" t="s">
        <v>18</v>
      </c>
      <c r="B39" s="17">
        <f t="shared" si="6"/>
        <v>-37322.766351166378</v>
      </c>
      <c r="C39">
        <v>2050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Case</vt:lpstr>
      <vt:lpstr>Temperature</vt:lpstr>
      <vt:lpstr>Baseline</vt:lpstr>
      <vt:lpstr>Elec str</vt:lpstr>
      <vt:lpstr>Speed</vt:lpstr>
      <vt:lpstr>Infrastructure</vt:lpstr>
      <vt:lpstr>Best</vt:lpstr>
      <vt:lpstr>Unit carbon footprint</vt:lpstr>
      <vt:lpstr>Production</vt:lpstr>
      <vt:lpstr>Error</vt:lpstr>
      <vt:lpstr>Industrial carbon footprint</vt:lpstr>
      <vt:lpstr>Fig 4b1</vt:lpstr>
      <vt:lpstr>Fig 4b2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2025-10-19T07:01:30Z</dcterms:modified>
</cp:coreProperties>
</file>