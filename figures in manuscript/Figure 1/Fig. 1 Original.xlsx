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鲍鱼小论文\Github\figures in manuscript\Figure 1\"/>
    </mc:Choice>
  </mc:AlternateContent>
  <xr:revisionPtr revIDLastSave="0" documentId="13_ncr:1_{F45E180A-35B1-4965-AED7-86033046513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g 1 ab" sheetId="5" r:id="rId1"/>
    <sheet name="Fig 1 c" sheetId="2" r:id="rId2"/>
    <sheet name="Fig 1 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" l="1"/>
  <c r="S4" i="5"/>
  <c r="S5" i="5"/>
  <c r="S6" i="5"/>
  <c r="S7" i="5"/>
  <c r="S8" i="5"/>
  <c r="S9" i="5"/>
  <c r="S11" i="5"/>
  <c r="S12" i="5"/>
  <c r="S13" i="5"/>
  <c r="S14" i="5"/>
  <c r="S15" i="5"/>
  <c r="M24" i="5"/>
  <c r="M25" i="5"/>
  <c r="M26" i="5"/>
  <c r="M27" i="5"/>
  <c r="M23" i="5"/>
  <c r="L4" i="5"/>
  <c r="L5" i="5"/>
  <c r="L6" i="5"/>
  <c r="L7" i="5"/>
  <c r="L8" i="5"/>
  <c r="L9" i="5"/>
  <c r="L11" i="5"/>
  <c r="L12" i="5"/>
  <c r="L13" i="5"/>
  <c r="M13" i="5" s="1"/>
  <c r="L14" i="5"/>
  <c r="L15" i="5"/>
  <c r="L3" i="5"/>
  <c r="M3" i="5" s="1"/>
  <c r="E11" i="2"/>
  <c r="E8" i="2"/>
  <c r="E3" i="2"/>
  <c r="H28" i="5"/>
  <c r="I25" i="5"/>
  <c r="Q4" i="5"/>
  <c r="Q5" i="5"/>
  <c r="Q6" i="5"/>
  <c r="Q7" i="5"/>
  <c r="Q9" i="5"/>
  <c r="Q11" i="5"/>
  <c r="Q12" i="5"/>
  <c r="Q13" i="5"/>
  <c r="Q14" i="5"/>
  <c r="Q15" i="5"/>
  <c r="Q3" i="5"/>
  <c r="M4" i="5"/>
  <c r="M5" i="5"/>
  <c r="M6" i="5"/>
  <c r="M7" i="5"/>
  <c r="M8" i="5"/>
  <c r="M9" i="5"/>
  <c r="M11" i="5"/>
  <c r="M12" i="5"/>
  <c r="M14" i="5"/>
  <c r="M15" i="5"/>
  <c r="G25" i="5"/>
  <c r="G26" i="5"/>
  <c r="G28" i="5"/>
  <c r="G29" i="5"/>
  <c r="G21" i="5"/>
  <c r="G22" i="5"/>
  <c r="G23" i="5"/>
  <c r="G24" i="5"/>
  <c r="G30" i="5"/>
  <c r="G31" i="5"/>
  <c r="G32" i="5"/>
  <c r="G20" i="5"/>
  <c r="M16" i="5" l="1"/>
  <c r="J15" i="5"/>
  <c r="J12" i="5"/>
  <c r="J11" i="5"/>
  <c r="J13" i="5"/>
  <c r="J14" i="5"/>
  <c r="J4" i="5"/>
  <c r="J5" i="5"/>
  <c r="J6" i="5"/>
  <c r="J7" i="5"/>
  <c r="J8" i="5"/>
  <c r="J9" i="5"/>
  <c r="J3" i="5"/>
  <c r="D53" i="3"/>
  <c r="E53" i="3"/>
  <c r="D54" i="3"/>
  <c r="E54" i="3"/>
  <c r="F54" i="3"/>
  <c r="E55" i="3"/>
  <c r="F55" i="3"/>
  <c r="G55" i="3"/>
  <c r="D59" i="3"/>
  <c r="D60" i="3"/>
  <c r="E60" i="3"/>
  <c r="F60" i="3"/>
  <c r="D61" i="3"/>
  <c r="E61" i="3"/>
  <c r="F61" i="3"/>
  <c r="D66" i="3"/>
  <c r="D68" i="3"/>
  <c r="E68" i="3"/>
  <c r="D69" i="3"/>
  <c r="E69" i="3"/>
  <c r="F69" i="3"/>
  <c r="G69" i="3"/>
  <c r="E70" i="3"/>
  <c r="F70" i="3"/>
  <c r="G70" i="3"/>
  <c r="F71" i="3"/>
  <c r="C56" i="3"/>
  <c r="C57" i="3"/>
  <c r="C58" i="3"/>
  <c r="C59" i="3"/>
  <c r="C60" i="3"/>
  <c r="D27" i="3"/>
  <c r="D51" i="3" s="1"/>
  <c r="E27" i="3"/>
  <c r="E51" i="3" s="1"/>
  <c r="F27" i="3"/>
  <c r="F51" i="3" s="1"/>
  <c r="G27" i="3"/>
  <c r="G51" i="3" s="1"/>
  <c r="D28" i="3"/>
  <c r="D52" i="3" s="1"/>
  <c r="E28" i="3"/>
  <c r="E52" i="3" s="1"/>
  <c r="F28" i="3"/>
  <c r="F52" i="3" s="1"/>
  <c r="G28" i="3"/>
  <c r="G52" i="3" s="1"/>
  <c r="D29" i="3"/>
  <c r="E29" i="3"/>
  <c r="F29" i="3"/>
  <c r="F53" i="3" s="1"/>
  <c r="G29" i="3"/>
  <c r="G53" i="3" s="1"/>
  <c r="D30" i="3"/>
  <c r="E30" i="3"/>
  <c r="F30" i="3"/>
  <c r="G30" i="3"/>
  <c r="G54" i="3" s="1"/>
  <c r="D31" i="3"/>
  <c r="D55" i="3" s="1"/>
  <c r="E31" i="3"/>
  <c r="F31" i="3"/>
  <c r="G31" i="3"/>
  <c r="D32" i="3"/>
  <c r="D56" i="3" s="1"/>
  <c r="E32" i="3"/>
  <c r="E56" i="3" s="1"/>
  <c r="F32" i="3"/>
  <c r="F56" i="3" s="1"/>
  <c r="G32" i="3"/>
  <c r="G56" i="3" s="1"/>
  <c r="D33" i="3"/>
  <c r="D57" i="3" s="1"/>
  <c r="E33" i="3"/>
  <c r="E57" i="3" s="1"/>
  <c r="F33" i="3"/>
  <c r="F57" i="3" s="1"/>
  <c r="G33" i="3"/>
  <c r="G57" i="3" s="1"/>
  <c r="D34" i="3"/>
  <c r="D58" i="3" s="1"/>
  <c r="E34" i="3"/>
  <c r="E58" i="3" s="1"/>
  <c r="F34" i="3"/>
  <c r="F58" i="3" s="1"/>
  <c r="G34" i="3"/>
  <c r="G58" i="3" s="1"/>
  <c r="D35" i="3"/>
  <c r="E35" i="3"/>
  <c r="E59" i="3" s="1"/>
  <c r="F35" i="3"/>
  <c r="F59" i="3" s="1"/>
  <c r="G35" i="3"/>
  <c r="G59" i="3" s="1"/>
  <c r="D36" i="3"/>
  <c r="E36" i="3"/>
  <c r="F36" i="3"/>
  <c r="G36" i="3"/>
  <c r="G60" i="3" s="1"/>
  <c r="D37" i="3"/>
  <c r="E37" i="3"/>
  <c r="F37" i="3"/>
  <c r="G37" i="3"/>
  <c r="G61" i="3" s="1"/>
  <c r="D38" i="3"/>
  <c r="D62" i="3" s="1"/>
  <c r="E38" i="3"/>
  <c r="E62" i="3" s="1"/>
  <c r="F38" i="3"/>
  <c r="F62" i="3" s="1"/>
  <c r="G38" i="3"/>
  <c r="G62" i="3" s="1"/>
  <c r="D39" i="3"/>
  <c r="D63" i="3" s="1"/>
  <c r="E39" i="3"/>
  <c r="E63" i="3" s="1"/>
  <c r="F39" i="3"/>
  <c r="F63" i="3" s="1"/>
  <c r="G39" i="3"/>
  <c r="G63" i="3" s="1"/>
  <c r="D40" i="3"/>
  <c r="D64" i="3" s="1"/>
  <c r="E40" i="3"/>
  <c r="E64" i="3" s="1"/>
  <c r="F40" i="3"/>
  <c r="F64" i="3" s="1"/>
  <c r="G40" i="3"/>
  <c r="G64" i="3" s="1"/>
  <c r="D41" i="3"/>
  <c r="D65" i="3" s="1"/>
  <c r="E41" i="3"/>
  <c r="E65" i="3" s="1"/>
  <c r="F41" i="3"/>
  <c r="F65" i="3" s="1"/>
  <c r="G41" i="3"/>
  <c r="G65" i="3" s="1"/>
  <c r="D42" i="3"/>
  <c r="E42" i="3"/>
  <c r="E66" i="3" s="1"/>
  <c r="F42" i="3"/>
  <c r="F66" i="3" s="1"/>
  <c r="G42" i="3"/>
  <c r="G66" i="3" s="1"/>
  <c r="D43" i="3"/>
  <c r="D67" i="3" s="1"/>
  <c r="E43" i="3"/>
  <c r="E67" i="3" s="1"/>
  <c r="F43" i="3"/>
  <c r="F67" i="3" s="1"/>
  <c r="G43" i="3"/>
  <c r="G67" i="3" s="1"/>
  <c r="D44" i="3"/>
  <c r="E44" i="3"/>
  <c r="F44" i="3"/>
  <c r="F68" i="3" s="1"/>
  <c r="G44" i="3"/>
  <c r="G68" i="3" s="1"/>
  <c r="D45" i="3"/>
  <c r="E45" i="3"/>
  <c r="F45" i="3"/>
  <c r="G45" i="3"/>
  <c r="D46" i="3"/>
  <c r="D70" i="3" s="1"/>
  <c r="E46" i="3"/>
  <c r="F46" i="3"/>
  <c r="G46" i="3"/>
  <c r="D47" i="3"/>
  <c r="D71" i="3" s="1"/>
  <c r="E47" i="3"/>
  <c r="E71" i="3" s="1"/>
  <c r="F47" i="3"/>
  <c r="G47" i="3"/>
  <c r="G71" i="3" s="1"/>
  <c r="D48" i="3"/>
  <c r="D72" i="3" s="1"/>
  <c r="E48" i="3"/>
  <c r="E72" i="3" s="1"/>
  <c r="F48" i="3"/>
  <c r="F72" i="3" s="1"/>
  <c r="G48" i="3"/>
  <c r="G72" i="3" s="1"/>
  <c r="D49" i="3"/>
  <c r="D73" i="3" s="1"/>
  <c r="E49" i="3"/>
  <c r="E73" i="3" s="1"/>
  <c r="F49" i="3"/>
  <c r="F73" i="3" s="1"/>
  <c r="G49" i="3"/>
  <c r="G73" i="3" s="1"/>
  <c r="C48" i="3"/>
  <c r="C72" i="3" s="1"/>
  <c r="C49" i="3"/>
  <c r="C73" i="3" s="1"/>
  <c r="C28" i="3"/>
  <c r="C52" i="3" s="1"/>
  <c r="C29" i="3"/>
  <c r="C53" i="3" s="1"/>
  <c r="C30" i="3"/>
  <c r="C54" i="3" s="1"/>
  <c r="C31" i="3"/>
  <c r="C55" i="3" s="1"/>
  <c r="C32" i="3"/>
  <c r="C33" i="3"/>
  <c r="C34" i="3"/>
  <c r="C35" i="3"/>
  <c r="C36" i="3"/>
  <c r="C37" i="3"/>
  <c r="C61" i="3" s="1"/>
  <c r="C38" i="3"/>
  <c r="C62" i="3" s="1"/>
  <c r="C39" i="3"/>
  <c r="C63" i="3" s="1"/>
  <c r="C40" i="3"/>
  <c r="C64" i="3" s="1"/>
  <c r="C41" i="3"/>
  <c r="C65" i="3" s="1"/>
  <c r="C42" i="3"/>
  <c r="C66" i="3" s="1"/>
  <c r="C43" i="3"/>
  <c r="C67" i="3" s="1"/>
  <c r="C44" i="3"/>
  <c r="C68" i="3" s="1"/>
  <c r="C45" i="3"/>
  <c r="C69" i="3" s="1"/>
  <c r="C46" i="3"/>
  <c r="C70" i="3" s="1"/>
  <c r="C47" i="3"/>
  <c r="C71" i="3" s="1"/>
  <c r="C27" i="3"/>
  <c r="C51" i="3" s="1"/>
  <c r="N7" i="5" l="1"/>
  <c r="O7" i="5"/>
  <c r="N6" i="5"/>
  <c r="O6" i="5"/>
  <c r="O9" i="5"/>
  <c r="N9" i="5"/>
  <c r="N5" i="5"/>
  <c r="O5" i="5"/>
  <c r="N14" i="5"/>
  <c r="O14" i="5"/>
  <c r="O11" i="5"/>
  <c r="N11" i="5"/>
  <c r="O12" i="5"/>
  <c r="N12" i="5"/>
  <c r="N3" i="5"/>
  <c r="O3" i="5"/>
  <c r="N8" i="5"/>
  <c r="O8" i="5"/>
  <c r="N4" i="5"/>
  <c r="O4" i="5"/>
  <c r="N13" i="5"/>
  <c r="O13" i="5"/>
  <c r="N15" i="5"/>
  <c r="O15" i="5"/>
  <c r="E76" i="3"/>
  <c r="D81" i="3" s="1"/>
  <c r="D76" i="3"/>
  <c r="D80" i="3" s="1"/>
  <c r="G76" i="3"/>
  <c r="D83" i="3" s="1"/>
  <c r="G75" i="3"/>
  <c r="C83" i="3" s="1"/>
  <c r="C75" i="3"/>
  <c r="C79" i="3" s="1"/>
  <c r="C76" i="3"/>
  <c r="D79" i="3" s="1"/>
  <c r="F76" i="3"/>
  <c r="D82" i="3" s="1"/>
  <c r="F75" i="3"/>
  <c r="C82" i="3" s="1"/>
  <c r="E75" i="3"/>
  <c r="C81" i="3" s="1"/>
  <c r="D75" i="3"/>
  <c r="C80" i="3" s="1"/>
  <c r="O16" i="5" l="1"/>
  <c r="N16" i="5"/>
</calcChain>
</file>

<file path=xl/sharedStrings.xml><?xml version="1.0" encoding="utf-8"?>
<sst xmlns="http://schemas.openxmlformats.org/spreadsheetml/2006/main" count="129" uniqueCount="66">
  <si>
    <t>SNCM-Sea</t>
  </si>
  <si>
    <t>SNCM-Land</t>
  </si>
  <si>
    <t>FRCM-Longline</t>
  </si>
  <si>
    <t>FRCM-raft</t>
  </si>
  <si>
    <t>LICM</t>
  </si>
  <si>
    <t>Transport</t>
  </si>
  <si>
    <t>Equipment</t>
  </si>
  <si>
    <t>Infrastructure</t>
  </si>
  <si>
    <t>Energy</t>
  </si>
  <si>
    <t>Seaweed</t>
  </si>
  <si>
    <t>Net carbon footprint</t>
    <phoneticPr fontId="2" type="noConversion"/>
  </si>
  <si>
    <t>Error</t>
    <phoneticPr fontId="2" type="noConversion"/>
  </si>
  <si>
    <t>AVE</t>
  </si>
  <si>
    <t>AVE</t>
    <phoneticPr fontId="2" type="noConversion"/>
  </si>
  <si>
    <t>Variety</t>
    <phoneticPr fontId="2" type="noConversion"/>
  </si>
  <si>
    <t>Specification</t>
  </si>
  <si>
    <t>STDEV</t>
  </si>
  <si>
    <t>STDEV</t>
    <phoneticPr fontId="2" type="noConversion"/>
  </si>
  <si>
    <t>kg CO2/t production</t>
    <phoneticPr fontId="2" type="noConversion"/>
  </si>
  <si>
    <t>kg CO2/kg protein</t>
    <phoneticPr fontId="2" type="noConversion"/>
  </si>
  <si>
    <t>Beef</t>
  </si>
  <si>
    <t>Beef</t>
    <phoneticPr fontId="2" type="noConversion"/>
  </si>
  <si>
    <t>Lamb</t>
  </si>
  <si>
    <t>Lamb</t>
    <phoneticPr fontId="2" type="noConversion"/>
  </si>
  <si>
    <t>Chicken</t>
  </si>
  <si>
    <t>Chicken</t>
    <phoneticPr fontId="2" type="noConversion"/>
  </si>
  <si>
    <t>Pork</t>
  </si>
  <si>
    <t>Pork</t>
    <phoneticPr fontId="2" type="noConversion"/>
  </si>
  <si>
    <t>Salmon</t>
    <phoneticPr fontId="2" type="noConversion"/>
  </si>
  <si>
    <t>Oyster</t>
    <phoneticPr fontId="2" type="noConversion"/>
  </si>
  <si>
    <t>Carbon sequestration</t>
    <phoneticPr fontId="2" type="noConversion"/>
  </si>
  <si>
    <t>Grow-out</t>
    <phoneticPr fontId="2" type="noConversion"/>
  </si>
  <si>
    <t>Seedling</t>
    <phoneticPr fontId="2" type="noConversion"/>
  </si>
  <si>
    <t>Infra.&amp;Equip</t>
  </si>
  <si>
    <t>Int (ZA)</t>
    <phoneticPr fontId="2" type="noConversion"/>
  </si>
  <si>
    <t>Ext-2</t>
  </si>
  <si>
    <t>Ext-3</t>
  </si>
  <si>
    <t>Ext-4</t>
  </si>
  <si>
    <t>Ext-1 (KR)</t>
    <phoneticPr fontId="2" type="noConversion"/>
  </si>
  <si>
    <t>Ext-1</t>
    <phoneticPr fontId="2" type="noConversion"/>
  </si>
  <si>
    <t>Ext-1 (CN)</t>
    <phoneticPr fontId="2" type="noConversion"/>
  </si>
  <si>
    <t>Ext-2 (CN)</t>
    <phoneticPr fontId="2" type="noConversion"/>
  </si>
  <si>
    <t>Ext-3 (CN)</t>
    <phoneticPr fontId="2" type="noConversion"/>
  </si>
  <si>
    <t>Ext-4 (CN)</t>
    <phoneticPr fontId="2" type="noConversion"/>
  </si>
  <si>
    <t>Int (CN)</t>
    <phoneticPr fontId="2" type="noConversion"/>
  </si>
  <si>
    <t>Int</t>
    <phoneticPr fontId="2" type="noConversion"/>
  </si>
  <si>
    <t>absolute value</t>
  </si>
  <si>
    <t>energy rate</t>
    <phoneticPr fontId="2" type="noConversion"/>
  </si>
  <si>
    <t>I &amp; E rate</t>
    <phoneticPr fontId="2" type="noConversion"/>
  </si>
  <si>
    <t>sequ rate</t>
    <phoneticPr fontId="2" type="noConversion"/>
  </si>
  <si>
    <t>Compound feed</t>
    <phoneticPr fontId="2" type="noConversion"/>
  </si>
  <si>
    <t>Feed</t>
    <phoneticPr fontId="2" type="noConversion"/>
  </si>
  <si>
    <t>offset</t>
    <phoneticPr fontId="2" type="noConversion"/>
  </si>
  <si>
    <t>trans ratio</t>
    <phoneticPr fontId="2" type="noConversion"/>
  </si>
  <si>
    <t>Unit: kg CO2/t</t>
    <phoneticPr fontId="2" type="noConversion"/>
  </si>
  <si>
    <t>Non-genetically improved</t>
  </si>
  <si>
    <t>Non-genetically improved</t>
    <phoneticPr fontId="2" type="noConversion"/>
  </si>
  <si>
    <t>Genetically improved</t>
  </si>
  <si>
    <t>Genetically improved</t>
    <phoneticPr fontId="2" type="noConversion"/>
  </si>
  <si>
    <t>Unit: kg CO2</t>
    <phoneticPr fontId="2" type="noConversion"/>
  </si>
  <si>
    <t>Int CN</t>
  </si>
  <si>
    <t>Int CN</t>
    <phoneticPr fontId="2" type="noConversion"/>
  </si>
  <si>
    <t>Int ZA</t>
    <phoneticPr fontId="2" type="noConversion"/>
  </si>
  <si>
    <t>Ext-1 KR</t>
    <phoneticPr fontId="2" type="noConversion"/>
  </si>
  <si>
    <t>Salmon</t>
  </si>
  <si>
    <t>Shrimp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</si>
</sst>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);[Red]\(0.0000\)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176" fontId="1" fillId="0" borderId="0" xfId="1" applyNumberFormat="1"/>
    <xf numFmtId="0" fontId="3" fillId="0" borderId="0" xfId="1" applyFont="1"/>
    <xf numFmtId="0" fontId="3" fillId="2" borderId="0" xfId="1" applyFont="1" applyFill="1"/>
    <xf numFmtId="176" fontId="1" fillId="2" borderId="0" xfId="1" applyNumberFormat="1" applyFill="1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3" fillId="0" borderId="0" xfId="1" applyFont="1" applyFill="1"/>
    <xf numFmtId="176" fontId="1" fillId="0" borderId="0" xfId="1" applyNumberFormat="1" applyFont="1"/>
    <xf numFmtId="176" fontId="1" fillId="0" borderId="0" xfId="1" applyNumberFormat="1" applyFill="1"/>
    <xf numFmtId="176" fontId="1" fillId="2" borderId="0" xfId="1" applyNumberFormat="1" applyFont="1" applyFill="1"/>
    <xf numFmtId="0" fontId="1" fillId="0" borderId="0" xfId="1" applyFont="1"/>
    <xf numFmtId="0" fontId="0" fillId="0" borderId="0" xfId="0" applyFill="1"/>
    <xf numFmtId="176" fontId="0" fillId="0" borderId="0" xfId="0" applyNumberFormat="1" applyFill="1"/>
    <xf numFmtId="0" fontId="1" fillId="2" borderId="0" xfId="1" applyFill="1"/>
    <xf numFmtId="0" fontId="1" fillId="2" borderId="0" xfId="1" applyFont="1" applyFill="1"/>
    <xf numFmtId="177" fontId="1" fillId="0" borderId="0" xfId="1" applyNumberFormat="1"/>
    <xf numFmtId="0" fontId="1" fillId="0" borderId="0" xfId="1" applyFill="1"/>
  </cellXfs>
  <cellStyles count="2">
    <cellStyle name="常规" xfId="0" builtinId="0"/>
    <cellStyle name="常规 2" xfId="1" xr:uid="{65D15976-BC7E-4425-A5D7-7573C373F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4BF-D7E9-43C7-A828-7F185C488FB9}">
  <dimension ref="A1:S48"/>
  <sheetViews>
    <sheetView tabSelected="1" zoomScaleNormal="100" workbookViewId="0">
      <selection activeCell="H36" sqref="H36"/>
    </sheetView>
  </sheetViews>
  <sheetFormatPr defaultColWidth="10" defaultRowHeight="15.5" x14ac:dyDescent="0.35"/>
  <cols>
    <col min="1" max="1" width="26.5" style="1" bestFit="1" customWidth="1"/>
    <col min="2" max="3" width="10" style="1"/>
    <col min="4" max="4" width="10" style="2"/>
    <col min="5" max="5" width="24.1640625" style="2" bestFit="1" customWidth="1"/>
    <col min="6" max="8" width="10" style="2"/>
    <col min="9" max="9" width="32.9140625" style="1" customWidth="1"/>
    <col min="10" max="10" width="10" style="1"/>
    <col min="11" max="11" width="19.83203125" style="1" bestFit="1" customWidth="1"/>
    <col min="12" max="12" width="13.9140625" style="1" bestFit="1" customWidth="1"/>
    <col min="13" max="16384" width="10" style="1"/>
  </cols>
  <sheetData>
    <row r="1" spans="1:19" x14ac:dyDescent="0.35">
      <c r="C1" s="1" t="s">
        <v>56</v>
      </c>
      <c r="D1" s="10" t="s">
        <v>59</v>
      </c>
    </row>
    <row r="2" spans="1:19" x14ac:dyDescent="0.35">
      <c r="B2" s="1" t="s">
        <v>50</v>
      </c>
      <c r="C2" s="1" t="s">
        <v>9</v>
      </c>
      <c r="D2" s="2" t="s">
        <v>8</v>
      </c>
      <c r="E2" s="2" t="s">
        <v>7</v>
      </c>
      <c r="F2" s="2" t="s">
        <v>6</v>
      </c>
      <c r="G2" s="2" t="s">
        <v>5</v>
      </c>
      <c r="H2" s="3" t="s">
        <v>11</v>
      </c>
      <c r="I2" s="10" t="s">
        <v>30</v>
      </c>
      <c r="J2" s="9" t="s">
        <v>10</v>
      </c>
      <c r="L2" s="1" t="s">
        <v>46</v>
      </c>
      <c r="M2" s="1" t="s">
        <v>47</v>
      </c>
      <c r="N2" s="1" t="s">
        <v>48</v>
      </c>
      <c r="O2" s="1" t="s">
        <v>49</v>
      </c>
      <c r="Q2" s="1" t="s">
        <v>52</v>
      </c>
      <c r="S2" s="1" t="s">
        <v>53</v>
      </c>
    </row>
    <row r="3" spans="1:19" x14ac:dyDescent="0.35">
      <c r="A3" s="1" t="s">
        <v>61</v>
      </c>
      <c r="B3" s="1">
        <v>193.96899280692358</v>
      </c>
      <c r="C3" s="2">
        <v>132.856672183179</v>
      </c>
      <c r="D3" s="1">
        <v>6882.9123356941773</v>
      </c>
      <c r="E3" s="1">
        <v>1215.0225502476737</v>
      </c>
      <c r="F3" s="1">
        <v>7.5840520676079923E-2</v>
      </c>
      <c r="G3" s="2">
        <v>418.73766073054963</v>
      </c>
      <c r="H3" s="2">
        <v>460.11429373305799</v>
      </c>
      <c r="I3" s="2">
        <v>-1161.73179</v>
      </c>
      <c r="J3" s="11">
        <f>SUM(B3:G3)+I3</f>
        <v>7681.8422621831796</v>
      </c>
      <c r="K3" s="2"/>
      <c r="L3" s="2">
        <f>SUM(B3:G3)</f>
        <v>8843.5740521831794</v>
      </c>
      <c r="M3" s="2">
        <f>D3/L3</f>
        <v>0.77829532438810967</v>
      </c>
      <c r="N3" s="1">
        <f t="shared" ref="N3:N9" si="0">(E3+F3)/L3</f>
        <v>0.13739901804388499</v>
      </c>
      <c r="O3" s="1">
        <f t="shared" ref="O3:O9" si="1">(B3-I3)/L3</f>
        <v>0.15329783804685243</v>
      </c>
      <c r="Q3" s="1">
        <f>-I3/SUM(B3:G3)</f>
        <v>0.13136451203382052</v>
      </c>
      <c r="S3" s="1">
        <f t="shared" ref="S3:S14" si="2">G3/L3</f>
        <v>4.7349370091742206E-2</v>
      </c>
    </row>
    <row r="4" spans="1:19" x14ac:dyDescent="0.35">
      <c r="A4" s="1" t="s">
        <v>39</v>
      </c>
      <c r="B4" s="1">
        <v>179.14948981372004</v>
      </c>
      <c r="C4" s="2">
        <v>132.856672183179</v>
      </c>
      <c r="D4" s="1">
        <v>523.06004432364273</v>
      </c>
      <c r="E4" s="1">
        <v>428.36786727483309</v>
      </c>
      <c r="F4" s="1">
        <v>10.113306198568711</v>
      </c>
      <c r="G4" s="2">
        <v>92.452032389235313</v>
      </c>
      <c r="H4" s="2">
        <v>460.11429373305799</v>
      </c>
      <c r="I4" s="2">
        <v>-1161.73179</v>
      </c>
      <c r="J4" s="11">
        <f t="shared" ref="J4:J15" si="3">SUM(B4:G4)+I4</f>
        <v>204.2676221831789</v>
      </c>
      <c r="L4" s="2">
        <f t="shared" ref="L4:L15" si="4">SUM(B4:G4)</f>
        <v>1365.9994121831789</v>
      </c>
      <c r="M4" s="2">
        <f t="shared" ref="M4:M15" si="5">D4/L4</f>
        <v>0.38291381362139343</v>
      </c>
      <c r="N4" s="1">
        <f t="shared" si="0"/>
        <v>0.32099660480278591</v>
      </c>
      <c r="O4" s="1">
        <f t="shared" si="1"/>
        <v>0.98161190104078133</v>
      </c>
      <c r="Q4" s="1">
        <f t="shared" ref="Q4:Q15" si="6">-I4/SUM(B4:G4)</f>
        <v>0.85046287695196543</v>
      </c>
      <c r="S4" s="1">
        <f t="shared" si="2"/>
        <v>6.7680872747577434E-2</v>
      </c>
    </row>
    <row r="5" spans="1:19" x14ac:dyDescent="0.35">
      <c r="A5" s="1" t="s">
        <v>35</v>
      </c>
      <c r="B5" s="1">
        <v>179.14948981372004</v>
      </c>
      <c r="C5" s="2">
        <v>132.856672183179</v>
      </c>
      <c r="D5" s="1">
        <v>527.91504432364275</v>
      </c>
      <c r="E5" s="1">
        <v>944.7586672748331</v>
      </c>
      <c r="F5" s="1">
        <v>16.80881619856871</v>
      </c>
      <c r="G5" s="2">
        <v>416.88044238923533</v>
      </c>
      <c r="H5" s="2">
        <v>460.11429373305799</v>
      </c>
      <c r="I5" s="2">
        <v>-1161.73179</v>
      </c>
      <c r="J5" s="11">
        <f t="shared" si="3"/>
        <v>1056.6373421831788</v>
      </c>
      <c r="L5" s="2">
        <f t="shared" si="4"/>
        <v>2218.3691321831789</v>
      </c>
      <c r="M5" s="2">
        <f t="shared" si="5"/>
        <v>0.23797439148646199</v>
      </c>
      <c r="N5" s="1">
        <f t="shared" si="0"/>
        <v>0.4334569344314162</v>
      </c>
      <c r="O5" s="1">
        <f t="shared" si="1"/>
        <v>0.60444461670547556</v>
      </c>
      <c r="Q5" s="1">
        <f t="shared" si="6"/>
        <v>0.5236873219817556</v>
      </c>
      <c r="S5" s="1">
        <f t="shared" si="2"/>
        <v>0.18792203531022267</v>
      </c>
    </row>
    <row r="6" spans="1:19" x14ac:dyDescent="0.35">
      <c r="A6" s="1" t="s">
        <v>36</v>
      </c>
      <c r="B6" s="1">
        <v>111.96843088856883</v>
      </c>
      <c r="C6" s="2">
        <v>132.856672183179</v>
      </c>
      <c r="D6" s="1">
        <v>331.25657574537922</v>
      </c>
      <c r="E6" s="1">
        <v>679.62233428140382</v>
      </c>
      <c r="F6" s="1">
        <v>4.3778874009648534E-2</v>
      </c>
      <c r="G6" s="2">
        <v>186.72425021063839</v>
      </c>
      <c r="H6" s="2">
        <v>460.11429373305799</v>
      </c>
      <c r="I6" s="2">
        <v>-1161.73179</v>
      </c>
      <c r="J6" s="11">
        <f t="shared" si="3"/>
        <v>280.74025218317888</v>
      </c>
      <c r="L6" s="2">
        <f t="shared" si="4"/>
        <v>1442.4720421831789</v>
      </c>
      <c r="M6" s="2">
        <f t="shared" si="5"/>
        <v>0.22964505796869586</v>
      </c>
      <c r="N6" s="1">
        <f t="shared" si="0"/>
        <v>0.47118148101278967</v>
      </c>
      <c r="O6" s="1">
        <f t="shared" si="1"/>
        <v>0.88299820283575525</v>
      </c>
      <c r="Q6" s="1">
        <f t="shared" si="6"/>
        <v>0.80537560245654471</v>
      </c>
      <c r="S6" s="1">
        <f t="shared" si="2"/>
        <v>0.12944739637936523</v>
      </c>
    </row>
    <row r="7" spans="1:19" x14ac:dyDescent="0.35">
      <c r="A7" s="1" t="s">
        <v>37</v>
      </c>
      <c r="B7" s="1">
        <v>111.96843088856883</v>
      </c>
      <c r="C7" s="2">
        <v>132.856672183179</v>
      </c>
      <c r="D7" s="1">
        <v>331.25657574537922</v>
      </c>
      <c r="E7" s="1">
        <v>679.62233428140382</v>
      </c>
      <c r="F7" s="1">
        <v>4.3778874009648534E-2</v>
      </c>
      <c r="G7" s="2">
        <v>50.837230210638396</v>
      </c>
      <c r="H7" s="2">
        <v>460.11429373305799</v>
      </c>
      <c r="I7" s="2">
        <v>-1161.73179</v>
      </c>
      <c r="J7" s="11">
        <f t="shared" si="3"/>
        <v>144.85323218317899</v>
      </c>
      <c r="L7" s="2">
        <f t="shared" si="4"/>
        <v>1306.585022183179</v>
      </c>
      <c r="M7" s="2">
        <f t="shared" si="5"/>
        <v>0.25352852674821041</v>
      </c>
      <c r="N7" s="1">
        <f t="shared" si="0"/>
        <v>0.52018514035906838</v>
      </c>
      <c r="O7" s="1">
        <f t="shared" si="1"/>
        <v>0.97483148762897731</v>
      </c>
      <c r="Q7" s="1">
        <f t="shared" si="6"/>
        <v>0.88913600743628374</v>
      </c>
      <c r="S7" s="1">
        <f t="shared" si="2"/>
        <v>3.8908474647669104E-2</v>
      </c>
    </row>
    <row r="8" spans="1:19" x14ac:dyDescent="0.35">
      <c r="A8" s="13" t="s">
        <v>62</v>
      </c>
      <c r="B8" s="1">
        <v>2604.7140915677546</v>
      </c>
      <c r="C8" s="2">
        <v>0</v>
      </c>
      <c r="D8" s="1">
        <v>6882.9122618300544</v>
      </c>
      <c r="E8" s="1">
        <v>1215.0177506864734</v>
      </c>
      <c r="F8" s="1">
        <v>7.5840311458256454E-2</v>
      </c>
      <c r="G8" s="2">
        <v>418.73568945860188</v>
      </c>
      <c r="H8" s="2">
        <v>0</v>
      </c>
      <c r="I8" s="2">
        <v>-23.87</v>
      </c>
      <c r="J8" s="11">
        <f t="shared" si="3"/>
        <v>11097.58563385434</v>
      </c>
      <c r="L8" s="2">
        <f t="shared" si="4"/>
        <v>11121.455633854341</v>
      </c>
      <c r="M8" s="2">
        <f t="shared" si="5"/>
        <v>0.61888591641530089</v>
      </c>
      <c r="N8" s="1">
        <f t="shared" si="0"/>
        <v>0.10925670442807127</v>
      </c>
      <c r="O8" s="1">
        <f t="shared" si="1"/>
        <v>0.23635252237721432</v>
      </c>
      <c r="S8" s="1">
        <f t="shared" si="2"/>
        <v>3.7651158557333697E-2</v>
      </c>
    </row>
    <row r="9" spans="1:19" x14ac:dyDescent="0.35">
      <c r="A9" s="13" t="s">
        <v>63</v>
      </c>
      <c r="B9" s="1">
        <v>179.14852350932082</v>
      </c>
      <c r="C9" s="2">
        <v>132.856672183179</v>
      </c>
      <c r="D9" s="1">
        <v>523.05344631993341</v>
      </c>
      <c r="E9" s="1">
        <v>428.36624066797702</v>
      </c>
      <c r="F9" s="1">
        <v>10.110045820750445</v>
      </c>
      <c r="G9" s="2">
        <v>92.451743682018304</v>
      </c>
      <c r="H9" s="2">
        <v>460.11429373305799</v>
      </c>
      <c r="I9" s="2">
        <v>-1161.73179</v>
      </c>
      <c r="J9" s="11">
        <f t="shared" si="3"/>
        <v>204.25488218317901</v>
      </c>
      <c r="L9" s="2">
        <f t="shared" si="4"/>
        <v>1365.9866721831791</v>
      </c>
      <c r="M9" s="2">
        <f t="shared" si="5"/>
        <v>0.38291255469130364</v>
      </c>
      <c r="N9" s="1">
        <f t="shared" si="0"/>
        <v>0.32099602098455005</v>
      </c>
      <c r="O9" s="1">
        <f t="shared" si="1"/>
        <v>0.98162034873024628</v>
      </c>
      <c r="Q9" s="1">
        <f t="shared" si="6"/>
        <v>0.85047080887200022</v>
      </c>
      <c r="S9" s="1">
        <f t="shared" si="2"/>
        <v>6.7681292625101475E-2</v>
      </c>
    </row>
    <row r="10" spans="1:19" x14ac:dyDescent="0.35">
      <c r="C10" s="2" t="s">
        <v>58</v>
      </c>
      <c r="D10" s="1"/>
      <c r="E10" s="1"/>
      <c r="F10" s="1"/>
      <c r="I10" s="2"/>
      <c r="J10" s="11"/>
      <c r="L10" s="2"/>
      <c r="M10" s="2"/>
    </row>
    <row r="11" spans="1:19" x14ac:dyDescent="0.35">
      <c r="A11" s="1" t="s">
        <v>60</v>
      </c>
      <c r="B11" s="1">
        <v>74.284509567640839</v>
      </c>
      <c r="C11" s="2">
        <v>132.856672183179</v>
      </c>
      <c r="D11" s="1">
        <v>3338.251397984282</v>
      </c>
      <c r="E11" s="1">
        <v>576.93170921287287</v>
      </c>
      <c r="F11" s="1">
        <v>2.9044724119307939E-2</v>
      </c>
      <c r="G11" s="2">
        <v>402.61374851108479</v>
      </c>
      <c r="H11" s="2">
        <v>460.11429373305799</v>
      </c>
      <c r="I11" s="2">
        <v>-1161.73179</v>
      </c>
      <c r="J11" s="11">
        <f t="shared" si="3"/>
        <v>3363.2352921831789</v>
      </c>
      <c r="L11" s="2">
        <f t="shared" si="4"/>
        <v>4524.9670821831787</v>
      </c>
      <c r="M11" s="2">
        <f t="shared" si="5"/>
        <v>0.7377404823846061</v>
      </c>
      <c r="N11" s="1">
        <f>(E11+F11)/L11</f>
        <v>0.12750606655432808</v>
      </c>
      <c r="O11" s="1">
        <f>(B11-I11)/L11</f>
        <v>0.2731547604919361</v>
      </c>
      <c r="Q11" s="1">
        <f t="shared" si="6"/>
        <v>0.25673817486413508</v>
      </c>
      <c r="S11" s="1">
        <f t="shared" si="2"/>
        <v>8.8976061305806042E-2</v>
      </c>
    </row>
    <row r="12" spans="1:19" x14ac:dyDescent="0.35">
      <c r="A12" s="1" t="s">
        <v>39</v>
      </c>
      <c r="B12" s="1">
        <v>88.506346429744184</v>
      </c>
      <c r="C12" s="2">
        <v>132.856672183179</v>
      </c>
      <c r="D12" s="1">
        <v>258.41063926744596</v>
      </c>
      <c r="E12" s="1">
        <v>211.6292684149318</v>
      </c>
      <c r="F12" s="1">
        <v>4.9963453629460801</v>
      </c>
      <c r="G12" s="2">
        <v>78.804640524931955</v>
      </c>
      <c r="H12" s="2">
        <v>460.11429373305799</v>
      </c>
      <c r="I12" s="2">
        <v>-1161.73179</v>
      </c>
      <c r="J12" s="11">
        <f t="shared" si="3"/>
        <v>-386.52787781682116</v>
      </c>
      <c r="L12" s="2">
        <f t="shared" si="4"/>
        <v>775.20391218317889</v>
      </c>
      <c r="M12" s="2">
        <f t="shared" si="5"/>
        <v>0.33334537559245975</v>
      </c>
      <c r="N12" s="1">
        <f>(E12+F12)/L12</f>
        <v>0.27944339595475332</v>
      </c>
      <c r="O12" s="1">
        <f>(B12-I12)/L12</f>
        <v>1.6127861544309592</v>
      </c>
      <c r="Q12" s="1">
        <f t="shared" si="6"/>
        <v>1.4986144571023341</v>
      </c>
      <c r="S12" s="1">
        <f t="shared" si="2"/>
        <v>0.10165665999155923</v>
      </c>
    </row>
    <row r="13" spans="1:19" x14ac:dyDescent="0.35">
      <c r="A13" s="1" t="s">
        <v>35</v>
      </c>
      <c r="B13" s="1">
        <v>88.506346429744184</v>
      </c>
      <c r="C13" s="2">
        <v>132.856672183179</v>
      </c>
      <c r="D13" s="1">
        <v>257.36778926744597</v>
      </c>
      <c r="E13" s="1">
        <v>622.71876841493179</v>
      </c>
      <c r="F13" s="1">
        <v>2.7608353629460809</v>
      </c>
      <c r="G13" s="2">
        <v>78.804640524931955</v>
      </c>
      <c r="H13" s="2">
        <v>460.11429373305799</v>
      </c>
      <c r="I13" s="2">
        <v>-1161.73179</v>
      </c>
      <c r="J13" s="11">
        <f t="shared" si="3"/>
        <v>21.283262183179204</v>
      </c>
      <c r="L13" s="2">
        <f t="shared" si="4"/>
        <v>1183.0150521831793</v>
      </c>
      <c r="M13" s="2">
        <f t="shared" si="5"/>
        <v>0.21755242149496748</v>
      </c>
      <c r="N13" s="1">
        <f>(E13+F13)/L13</f>
        <v>0.52871652192725271</v>
      </c>
      <c r="O13" s="1">
        <f>(B13-I13)/L13</f>
        <v>1.0568235240308304</v>
      </c>
      <c r="Q13" s="1">
        <f t="shared" si="6"/>
        <v>0.98200930567713207</v>
      </c>
      <c r="S13" s="1">
        <f t="shared" si="2"/>
        <v>6.6613387868145038E-2</v>
      </c>
    </row>
    <row r="14" spans="1:19" x14ac:dyDescent="0.35">
      <c r="A14" s="1" t="s">
        <v>36</v>
      </c>
      <c r="B14" s="1">
        <v>55.316465783571566</v>
      </c>
      <c r="C14" s="2">
        <v>132.856672183179</v>
      </c>
      <c r="D14" s="1">
        <v>159.85157117146125</v>
      </c>
      <c r="E14" s="1">
        <v>139.15558071323184</v>
      </c>
      <c r="F14" s="1">
        <v>1.5709483515539133</v>
      </c>
      <c r="G14" s="2">
        <v>183.19485398018148</v>
      </c>
      <c r="H14" s="2">
        <v>460.11429373305799</v>
      </c>
      <c r="I14" s="2">
        <v>-1161.73179</v>
      </c>
      <c r="J14" s="11">
        <f t="shared" si="3"/>
        <v>-489.78569781682097</v>
      </c>
      <c r="L14" s="2">
        <f t="shared" si="4"/>
        <v>671.94609218317908</v>
      </c>
      <c r="M14" s="2">
        <f t="shared" si="5"/>
        <v>0.2378934456662993</v>
      </c>
      <c r="N14" s="1">
        <f>(E14+F14)/L14</f>
        <v>0.20943127834490377</v>
      </c>
      <c r="O14" s="1">
        <f>(B14-I14)/L14</f>
        <v>1.811229010692412</v>
      </c>
      <c r="Q14" s="1">
        <f t="shared" si="6"/>
        <v>1.7289062374415902</v>
      </c>
      <c r="S14" s="1">
        <f t="shared" si="2"/>
        <v>0.27263326048221259</v>
      </c>
    </row>
    <row r="15" spans="1:19" x14ac:dyDescent="0.35">
      <c r="A15" s="1" t="s">
        <v>37</v>
      </c>
      <c r="B15" s="1">
        <v>55.316465783571566</v>
      </c>
      <c r="C15" s="2">
        <v>132.856672183179</v>
      </c>
      <c r="D15" s="1">
        <v>159.85157117146125</v>
      </c>
      <c r="E15" s="1">
        <v>139.15558071323184</v>
      </c>
      <c r="F15" s="1">
        <v>1.5709483515539133</v>
      </c>
      <c r="G15" s="2">
        <v>56.486653980181451</v>
      </c>
      <c r="H15" s="2">
        <v>460.11429373305799</v>
      </c>
      <c r="I15" s="2">
        <v>-1161.73179</v>
      </c>
      <c r="J15" s="11">
        <f t="shared" si="3"/>
        <v>-616.493897816821</v>
      </c>
      <c r="L15" s="2">
        <f t="shared" si="4"/>
        <v>545.23789218317904</v>
      </c>
      <c r="M15" s="2">
        <f t="shared" si="5"/>
        <v>0.2931776632973947</v>
      </c>
      <c r="N15" s="1">
        <f>(E15+F15)/L15</f>
        <v>0.25810115379418097</v>
      </c>
      <c r="O15" s="1">
        <f>(B15-I15)/L15</f>
        <v>2.2321417370872862</v>
      </c>
      <c r="Q15" s="1">
        <f t="shared" si="6"/>
        <v>2.1306879192646111</v>
      </c>
      <c r="S15" s="1">
        <f>G15/L15</f>
        <v>0.10360001531442371</v>
      </c>
    </row>
    <row r="16" spans="1:19" x14ac:dyDescent="0.35">
      <c r="M16" s="1">
        <f>AVERAGE(M3:M15)</f>
        <v>0.39198874781293364</v>
      </c>
      <c r="N16" s="1">
        <f>AVERAGE(N3:N15)</f>
        <v>0.30972252671983208</v>
      </c>
      <c r="O16" s="1">
        <f>AVERAGE(O3:O15)</f>
        <v>0.9834410086748937</v>
      </c>
    </row>
    <row r="18" spans="1:13" x14ac:dyDescent="0.35">
      <c r="A18" s="12" t="s">
        <v>54</v>
      </c>
      <c r="B18" s="16"/>
      <c r="C18" s="16"/>
      <c r="D18" s="16"/>
      <c r="E18" s="16"/>
      <c r="F18" s="16"/>
      <c r="G18" s="16"/>
      <c r="H18" s="1"/>
    </row>
    <row r="19" spans="1:13" x14ac:dyDescent="0.35">
      <c r="A19" s="16" t="s">
        <v>55</v>
      </c>
      <c r="B19" s="16" t="s">
        <v>8</v>
      </c>
      <c r="C19" s="16" t="s">
        <v>33</v>
      </c>
      <c r="D19" s="16" t="s">
        <v>5</v>
      </c>
      <c r="E19" s="16" t="s">
        <v>51</v>
      </c>
      <c r="F19" s="4" t="s">
        <v>11</v>
      </c>
      <c r="G19" s="4" t="s">
        <v>10</v>
      </c>
      <c r="H19" s="1"/>
    </row>
    <row r="20" spans="1:13" x14ac:dyDescent="0.35">
      <c r="A20" s="16" t="s">
        <v>44</v>
      </c>
      <c r="B20" s="16">
        <v>6882.9123356941773</v>
      </c>
      <c r="C20" s="5">
        <v>1215.0983907683499</v>
      </c>
      <c r="D20" s="5">
        <v>418.73766073054963</v>
      </c>
      <c r="E20" s="5">
        <v>-834.90612500989744</v>
      </c>
      <c r="F20" s="5">
        <v>460.11429373305799</v>
      </c>
      <c r="G20" s="16">
        <f>SUM(B20:E20)</f>
        <v>7681.8422621831805</v>
      </c>
      <c r="H20" s="1"/>
    </row>
    <row r="21" spans="1:13" x14ac:dyDescent="0.35">
      <c r="A21" s="16" t="s">
        <v>40</v>
      </c>
      <c r="B21" s="16">
        <v>523.06004432364273</v>
      </c>
      <c r="C21" s="5">
        <v>438.48117347340178</v>
      </c>
      <c r="D21" s="5">
        <v>92.452032389235313</v>
      </c>
      <c r="E21" s="5">
        <v>-849.72562800310106</v>
      </c>
      <c r="F21" s="5">
        <v>460.11429373305799</v>
      </c>
      <c r="G21" s="16">
        <f t="shared" ref="G21:G32" si="7">SUM(B21:E21)</f>
        <v>204.26762218317867</v>
      </c>
      <c r="H21" s="1"/>
    </row>
    <row r="22" spans="1:13" x14ac:dyDescent="0.35">
      <c r="A22" s="16" t="s">
        <v>41</v>
      </c>
      <c r="B22" s="16">
        <v>527.91504432364275</v>
      </c>
      <c r="C22" s="5">
        <v>961.56748347340181</v>
      </c>
      <c r="D22" s="5">
        <v>416.88044238923533</v>
      </c>
      <c r="E22" s="5">
        <v>-849.72562800310106</v>
      </c>
      <c r="F22" s="5">
        <v>460.11429373305799</v>
      </c>
      <c r="G22" s="16">
        <f t="shared" si="7"/>
        <v>1056.6373421831786</v>
      </c>
      <c r="H22" s="1"/>
    </row>
    <row r="23" spans="1:13" x14ac:dyDescent="0.35">
      <c r="A23" s="16" t="s">
        <v>42</v>
      </c>
      <c r="B23" s="16">
        <v>331.25657574537922</v>
      </c>
      <c r="C23" s="5">
        <v>679.66611315541343</v>
      </c>
      <c r="D23" s="5">
        <v>186.72425021063839</v>
      </c>
      <c r="E23" s="5">
        <v>-916.90668692825216</v>
      </c>
      <c r="F23" s="5">
        <v>460.11429373305799</v>
      </c>
      <c r="G23" s="16">
        <f t="shared" si="7"/>
        <v>280.74025218317888</v>
      </c>
      <c r="H23" s="1"/>
      <c r="M23" s="1">
        <f>1-L11/L3</f>
        <v>0.48833276506955725</v>
      </c>
    </row>
    <row r="24" spans="1:13" x14ac:dyDescent="0.35">
      <c r="A24" s="16" t="s">
        <v>43</v>
      </c>
      <c r="B24" s="16">
        <v>331.25657574537922</v>
      </c>
      <c r="C24" s="5">
        <v>679.66611315541343</v>
      </c>
      <c r="D24" s="5">
        <v>50.837230210638396</v>
      </c>
      <c r="E24" s="5">
        <v>-916.90668692825216</v>
      </c>
      <c r="F24" s="5">
        <v>460.11429373305799</v>
      </c>
      <c r="G24" s="16">
        <f t="shared" si="7"/>
        <v>144.85323218317899</v>
      </c>
      <c r="H24" s="1"/>
      <c r="K24" s="2"/>
      <c r="M24" s="1">
        <f t="shared" ref="M24:M27" si="8">1-L12/L4</f>
        <v>0.43250055214575378</v>
      </c>
    </row>
    <row r="25" spans="1:13" x14ac:dyDescent="0.35">
      <c r="A25" s="17" t="s">
        <v>34</v>
      </c>
      <c r="B25" s="16">
        <v>6882.9122618300544</v>
      </c>
      <c r="C25" s="5">
        <v>1215.0935909979316</v>
      </c>
      <c r="D25" s="5">
        <v>418.73568945860188</v>
      </c>
      <c r="E25" s="5">
        <v>2580.8440915677547</v>
      </c>
      <c r="F25" s="5">
        <v>779.16890595931</v>
      </c>
      <c r="G25" s="16">
        <f t="shared" si="7"/>
        <v>11097.585633854344</v>
      </c>
      <c r="H25" s="1"/>
      <c r="I25" s="1">
        <f>E25/G25</f>
        <v>0.23255906074692684</v>
      </c>
      <c r="M25" s="1">
        <f t="shared" si="8"/>
        <v>0.46671857491141233</v>
      </c>
    </row>
    <row r="26" spans="1:13" x14ac:dyDescent="0.35">
      <c r="A26" s="17" t="s">
        <v>38</v>
      </c>
      <c r="B26" s="16">
        <v>523.05344631993341</v>
      </c>
      <c r="C26" s="5">
        <v>438.47628648872745</v>
      </c>
      <c r="D26" s="5">
        <v>92.451743682018304</v>
      </c>
      <c r="E26" s="5">
        <v>-849.72659430750025</v>
      </c>
      <c r="F26" s="5">
        <v>460.11429373305799</v>
      </c>
      <c r="G26" s="16">
        <f t="shared" si="7"/>
        <v>204.25488218317889</v>
      </c>
      <c r="H26" s="1"/>
      <c r="M26" s="1">
        <f t="shared" si="8"/>
        <v>0.53417045701198496</v>
      </c>
    </row>
    <row r="27" spans="1:13" x14ac:dyDescent="0.35">
      <c r="A27" s="5" t="s">
        <v>57</v>
      </c>
      <c r="B27" s="16"/>
      <c r="C27" s="5"/>
      <c r="D27" s="5"/>
      <c r="E27" s="5"/>
      <c r="F27" s="16"/>
      <c r="G27" s="16"/>
      <c r="H27" s="1"/>
      <c r="M27" s="1">
        <f t="shared" si="8"/>
        <v>0.5827000287573032</v>
      </c>
    </row>
    <row r="28" spans="1:13" x14ac:dyDescent="0.35">
      <c r="A28" s="16" t="s">
        <v>44</v>
      </c>
      <c r="B28" s="16">
        <v>3338.251397984282</v>
      </c>
      <c r="C28" s="5">
        <v>576.96075393699221</v>
      </c>
      <c r="D28" s="5">
        <v>402.61374851108479</v>
      </c>
      <c r="E28" s="5">
        <v>-954.59060824918015</v>
      </c>
      <c r="F28" s="5">
        <v>460.11429373305799</v>
      </c>
      <c r="G28" s="16">
        <f t="shared" si="7"/>
        <v>3363.2352921831789</v>
      </c>
      <c r="H28" s="1">
        <f>(G20-G28)/G20</f>
        <v>0.56218376043205198</v>
      </c>
    </row>
    <row r="29" spans="1:13" x14ac:dyDescent="0.35">
      <c r="A29" s="16" t="s">
        <v>40</v>
      </c>
      <c r="B29" s="16">
        <v>258.41063926744596</v>
      </c>
      <c r="C29" s="5">
        <v>216.62561377787787</v>
      </c>
      <c r="D29" s="5">
        <v>78.804640524931955</v>
      </c>
      <c r="E29" s="5">
        <v>-940.36877138707689</v>
      </c>
      <c r="F29" s="5">
        <v>460.11429373305799</v>
      </c>
      <c r="G29" s="16">
        <f t="shared" si="7"/>
        <v>-386.52787781682105</v>
      </c>
      <c r="H29" s="1"/>
    </row>
    <row r="30" spans="1:13" x14ac:dyDescent="0.35">
      <c r="A30" s="16" t="s">
        <v>41</v>
      </c>
      <c r="B30" s="16">
        <v>257.36778926744597</v>
      </c>
      <c r="C30" s="5">
        <v>625.47960377787786</v>
      </c>
      <c r="D30" s="5">
        <v>78.804640524931955</v>
      </c>
      <c r="E30" s="5">
        <v>-940.36877138707689</v>
      </c>
      <c r="F30" s="5">
        <v>460.11429373305799</v>
      </c>
      <c r="G30" s="16">
        <f t="shared" si="7"/>
        <v>21.283262183178863</v>
      </c>
      <c r="H30" s="1"/>
    </row>
    <row r="31" spans="1:13" x14ac:dyDescent="0.35">
      <c r="A31" s="16" t="s">
        <v>42</v>
      </c>
      <c r="B31" s="16">
        <v>159.85157117146125</v>
      </c>
      <c r="C31" s="5">
        <v>140.72652906478575</v>
      </c>
      <c r="D31" s="5">
        <v>183.19485398018148</v>
      </c>
      <c r="E31" s="5">
        <v>-973.55865203324947</v>
      </c>
      <c r="F31" s="5">
        <v>460.11429373305799</v>
      </c>
      <c r="G31" s="16">
        <f t="shared" si="7"/>
        <v>-489.78569781682097</v>
      </c>
      <c r="H31" s="1"/>
    </row>
    <row r="32" spans="1:13" x14ac:dyDescent="0.35">
      <c r="A32" s="16" t="s">
        <v>43</v>
      </c>
      <c r="B32" s="16">
        <v>159.85157117146125</v>
      </c>
      <c r="C32" s="5">
        <v>140.72652906478575</v>
      </c>
      <c r="D32" s="5">
        <v>56.486653980181451</v>
      </c>
      <c r="E32" s="5">
        <v>-973.55865203324947</v>
      </c>
      <c r="F32" s="5">
        <v>460.11429373305799</v>
      </c>
      <c r="G32" s="16">
        <f t="shared" si="7"/>
        <v>-616.493897816821</v>
      </c>
      <c r="H32" s="1"/>
    </row>
    <row r="34" spans="4:4" x14ac:dyDescent="0.35">
      <c r="D34" s="1"/>
    </row>
    <row r="35" spans="4:4" x14ac:dyDescent="0.35">
      <c r="D35" s="1"/>
    </row>
    <row r="36" spans="4:4" x14ac:dyDescent="0.35">
      <c r="D36" s="1"/>
    </row>
    <row r="37" spans="4:4" x14ac:dyDescent="0.35">
      <c r="D37" s="1"/>
    </row>
    <row r="38" spans="4:4" x14ac:dyDescent="0.35">
      <c r="D38" s="1"/>
    </row>
    <row r="39" spans="4:4" x14ac:dyDescent="0.35">
      <c r="D39" s="1"/>
    </row>
    <row r="40" spans="4:4" x14ac:dyDescent="0.35">
      <c r="D40" s="1"/>
    </row>
    <row r="41" spans="4:4" x14ac:dyDescent="0.35">
      <c r="D41" s="1"/>
    </row>
    <row r="42" spans="4:4" x14ac:dyDescent="0.35">
      <c r="D42" s="1"/>
    </row>
    <row r="43" spans="4:4" x14ac:dyDescent="0.35">
      <c r="D43" s="1"/>
    </row>
    <row r="44" spans="4:4" x14ac:dyDescent="0.35">
      <c r="D44" s="1"/>
    </row>
    <row r="45" spans="4:4" x14ac:dyDescent="0.35">
      <c r="D45" s="1"/>
    </row>
    <row r="46" spans="4:4" x14ac:dyDescent="0.35">
      <c r="D46" s="1"/>
    </row>
    <row r="47" spans="4:4" x14ac:dyDescent="0.35">
      <c r="D47" s="1"/>
    </row>
    <row r="48" spans="4:4" x14ac:dyDescent="0.35">
      <c r="D48" s="1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F1A9-B271-41C6-941A-281B3C0C5F52}">
  <dimension ref="A1:H20"/>
  <sheetViews>
    <sheetView zoomScale="70" zoomScaleNormal="70" workbookViewId="0">
      <selection activeCell="A10" activeCellId="1" sqref="A2 A10"/>
    </sheetView>
  </sheetViews>
  <sheetFormatPr defaultColWidth="10" defaultRowHeight="15.5" x14ac:dyDescent="0.35"/>
  <cols>
    <col min="1" max="1" width="26.5" style="1" bestFit="1" customWidth="1"/>
    <col min="2" max="2" width="10" style="1"/>
    <col min="3" max="4" width="10" style="2"/>
    <col min="5" max="5" width="19.83203125" style="1" bestFit="1" customWidth="1"/>
    <col min="6" max="16384" width="10" style="1"/>
  </cols>
  <sheetData>
    <row r="1" spans="1:8" x14ac:dyDescent="0.35">
      <c r="A1" s="16"/>
      <c r="B1" s="12" t="s">
        <v>59</v>
      </c>
      <c r="C1" s="5"/>
      <c r="D1" s="5"/>
      <c r="E1" s="18"/>
    </row>
    <row r="2" spans="1:8" x14ac:dyDescent="0.35">
      <c r="A2" s="16" t="s">
        <v>56</v>
      </c>
      <c r="B2" s="16" t="s">
        <v>31</v>
      </c>
      <c r="C2" s="5" t="s">
        <v>32</v>
      </c>
      <c r="D2" s="4" t="s">
        <v>11</v>
      </c>
      <c r="E2" s="18"/>
    </row>
    <row r="3" spans="1:8" x14ac:dyDescent="0.35">
      <c r="A3" s="16" t="s">
        <v>44</v>
      </c>
      <c r="B3" s="5">
        <v>6692.2295321831798</v>
      </c>
      <c r="C3" s="5">
        <v>989.61273000000006</v>
      </c>
      <c r="D3" s="5">
        <v>460.11429373305799</v>
      </c>
      <c r="E3" s="18">
        <f>C3/(B3+C3)</f>
        <v>0.12882492196849044</v>
      </c>
    </row>
    <row r="4" spans="1:8" x14ac:dyDescent="0.35">
      <c r="A4" s="16" t="s">
        <v>40</v>
      </c>
      <c r="B4" s="5">
        <v>-709.73730781682104</v>
      </c>
      <c r="C4" s="5">
        <v>914.00492999999994</v>
      </c>
      <c r="D4" s="5">
        <v>460.11429373305799</v>
      </c>
      <c r="E4" s="18"/>
    </row>
    <row r="5" spans="1:8" x14ac:dyDescent="0.35">
      <c r="A5" s="16" t="s">
        <v>41</v>
      </c>
      <c r="B5" s="5">
        <v>142.63241218317899</v>
      </c>
      <c r="C5" s="5">
        <v>914.00492999999994</v>
      </c>
      <c r="D5" s="5">
        <v>460.11429373305799</v>
      </c>
      <c r="E5" s="18"/>
    </row>
    <row r="6" spans="1:8" x14ac:dyDescent="0.35">
      <c r="A6" s="16" t="s">
        <v>42</v>
      </c>
      <c r="B6" s="5">
        <v>-290.51282781682119</v>
      </c>
      <c r="C6" s="5">
        <v>571.25307999999995</v>
      </c>
      <c r="D6" s="5">
        <v>460.11429373305799</v>
      </c>
      <c r="E6" s="18"/>
    </row>
    <row r="7" spans="1:8" x14ac:dyDescent="0.35">
      <c r="A7" s="16" t="s">
        <v>43</v>
      </c>
      <c r="B7" s="5">
        <v>-426.39984781682119</v>
      </c>
      <c r="C7" s="5">
        <v>571.25307999999995</v>
      </c>
      <c r="D7" s="5">
        <v>460.11429373305799</v>
      </c>
      <c r="E7" s="18"/>
    </row>
    <row r="8" spans="1:8" x14ac:dyDescent="0.35">
      <c r="A8" s="17" t="s">
        <v>34</v>
      </c>
      <c r="B8" s="5">
        <v>10107.975633854339</v>
      </c>
      <c r="C8" s="5">
        <v>989.61</v>
      </c>
      <c r="D8" s="5">
        <v>779.16890595931</v>
      </c>
      <c r="E8" s="18">
        <f>C8/(B8+C8)</f>
        <v>8.9173450212548189E-2</v>
      </c>
    </row>
    <row r="9" spans="1:8" x14ac:dyDescent="0.35">
      <c r="A9" s="17" t="s">
        <v>38</v>
      </c>
      <c r="B9" s="5">
        <v>-709.74511781682099</v>
      </c>
      <c r="C9" s="5">
        <v>914</v>
      </c>
      <c r="D9" s="5">
        <v>460.11429373305799</v>
      </c>
      <c r="E9" s="18"/>
    </row>
    <row r="10" spans="1:8" x14ac:dyDescent="0.35">
      <c r="A10" s="5" t="s">
        <v>58</v>
      </c>
      <c r="B10" s="5"/>
      <c r="C10" s="5"/>
      <c r="D10" s="5"/>
      <c r="E10" s="18"/>
    </row>
    <row r="11" spans="1:8" x14ac:dyDescent="0.35">
      <c r="A11" s="16" t="s">
        <v>44</v>
      </c>
      <c r="B11" s="5">
        <v>2984.2422621831793</v>
      </c>
      <c r="C11" s="5">
        <v>378.99302999999998</v>
      </c>
      <c r="D11" s="5">
        <v>460.11429373305799</v>
      </c>
      <c r="E11" s="18">
        <f>C11/(B11+C11)</f>
        <v>0.11268704002983507</v>
      </c>
    </row>
    <row r="12" spans="1:8" x14ac:dyDescent="0.35">
      <c r="A12" s="16" t="s">
        <v>40</v>
      </c>
      <c r="B12" s="5">
        <v>-838.07946781682108</v>
      </c>
      <c r="C12" s="5">
        <v>451.55158999999998</v>
      </c>
      <c r="D12" s="5">
        <v>460.11429373305799</v>
      </c>
      <c r="E12" s="18"/>
    </row>
    <row r="13" spans="1:8" x14ac:dyDescent="0.35">
      <c r="A13" s="16" t="s">
        <v>41</v>
      </c>
      <c r="B13" s="5">
        <v>-430.26832781682106</v>
      </c>
      <c r="C13" s="5">
        <v>451.55158999999998</v>
      </c>
      <c r="D13" s="5">
        <v>460.11429373305799</v>
      </c>
      <c r="E13" s="18"/>
      <c r="F13" s="2"/>
    </row>
    <row r="14" spans="1:8" x14ac:dyDescent="0.35">
      <c r="A14" s="16" t="s">
        <v>42</v>
      </c>
      <c r="B14" s="5">
        <v>-772.00543781682109</v>
      </c>
      <c r="C14" s="5">
        <v>282.21974</v>
      </c>
      <c r="D14" s="5">
        <v>460.11429373305799</v>
      </c>
      <c r="E14" s="18"/>
      <c r="H14" s="13"/>
    </row>
    <row r="15" spans="1:8" x14ac:dyDescent="0.35">
      <c r="A15" s="16" t="s">
        <v>43</v>
      </c>
      <c r="B15" s="5">
        <v>-898.71363781682112</v>
      </c>
      <c r="C15" s="5">
        <v>282.21974</v>
      </c>
      <c r="D15" s="5">
        <v>460.11429373305799</v>
      </c>
      <c r="E15" s="18"/>
      <c r="H15" s="13"/>
    </row>
    <row r="16" spans="1:8" x14ac:dyDescent="0.35">
      <c r="E16" s="18"/>
      <c r="H16" s="2"/>
    </row>
    <row r="17" spans="2:5" x14ac:dyDescent="0.35">
      <c r="E17" s="18"/>
    </row>
    <row r="20" spans="2:5" x14ac:dyDescent="0.35">
      <c r="B20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5DF6-9A09-4270-ADBE-FBF028EF45C2}">
  <dimension ref="A1:N101"/>
  <sheetViews>
    <sheetView topLeftCell="A37" zoomScale="85" zoomScaleNormal="85" workbookViewId="0">
      <selection activeCell="O73" sqref="O73"/>
    </sheetView>
  </sheetViews>
  <sheetFormatPr defaultRowHeight="14" x14ac:dyDescent="0.3"/>
  <cols>
    <col min="1" max="1" width="29.6640625" bestFit="1" customWidth="1"/>
    <col min="2" max="2" width="11.75" bestFit="1" customWidth="1"/>
    <col min="3" max="3" width="10.33203125" bestFit="1" customWidth="1"/>
    <col min="4" max="4" width="15" bestFit="1" customWidth="1"/>
    <col min="5" max="5" width="12.08203125" bestFit="1" customWidth="1"/>
    <col min="6" max="6" width="10.83203125" bestFit="1" customWidth="1"/>
    <col min="7" max="7" width="8.08203125" customWidth="1"/>
  </cols>
  <sheetData>
    <row r="1" spans="1:8" ht="15.5" x14ac:dyDescent="0.35">
      <c r="A1" t="s">
        <v>14</v>
      </c>
      <c r="B1" t="s">
        <v>15</v>
      </c>
      <c r="C1" s="1" t="s">
        <v>3</v>
      </c>
      <c r="D1" s="1" t="s">
        <v>2</v>
      </c>
      <c r="E1" s="1" t="s">
        <v>1</v>
      </c>
      <c r="F1" s="1" t="s">
        <v>0</v>
      </c>
      <c r="G1" s="1" t="s">
        <v>4</v>
      </c>
      <c r="H1" s="9" t="s">
        <v>18</v>
      </c>
    </row>
    <row r="2" spans="1:8" x14ac:dyDescent="0.3">
      <c r="A2" t="s">
        <v>55</v>
      </c>
      <c r="B2">
        <v>5</v>
      </c>
      <c r="C2" s="6">
        <v>-209.16511781682107</v>
      </c>
      <c r="D2" s="6">
        <v>344.03488218317921</v>
      </c>
      <c r="E2" s="6">
        <v>-244.48511781682089</v>
      </c>
      <c r="F2" s="6">
        <v>-313.14511781682086</v>
      </c>
      <c r="G2" s="6">
        <v>3361.8848821831789</v>
      </c>
    </row>
    <row r="3" spans="1:8" x14ac:dyDescent="0.3">
      <c r="A3" t="s">
        <v>55</v>
      </c>
      <c r="B3">
        <v>6</v>
      </c>
      <c r="C3" s="6">
        <v>-50.168497816820945</v>
      </c>
      <c r="D3" s="6">
        <v>535.32150218317884</v>
      </c>
      <c r="E3" s="6">
        <v>-96.675557816821083</v>
      </c>
      <c r="F3" s="6">
        <v>-179.06555781682096</v>
      </c>
      <c r="G3" s="6">
        <v>4251.48125218318</v>
      </c>
    </row>
    <row r="4" spans="1:8" x14ac:dyDescent="0.3">
      <c r="A4" t="s">
        <v>55</v>
      </c>
      <c r="B4">
        <v>7</v>
      </c>
      <c r="C4" s="6">
        <v>83.964852183179119</v>
      </c>
      <c r="D4" s="6">
        <v>698.38485218317919</v>
      </c>
      <c r="E4" s="6">
        <v>20.297182183178847</v>
      </c>
      <c r="F4" s="6">
        <v>-75.822817816821271</v>
      </c>
      <c r="G4" s="6">
        <v>4887.9809021831798</v>
      </c>
    </row>
    <row r="5" spans="1:8" x14ac:dyDescent="0.3">
      <c r="A5" t="s">
        <v>55</v>
      </c>
      <c r="B5">
        <v>8</v>
      </c>
      <c r="C5" s="6">
        <v>229.03747218317903</v>
      </c>
      <c r="D5" s="6">
        <v>875.19747218317934</v>
      </c>
      <c r="E5" s="6">
        <v>152.32616218317912</v>
      </c>
      <c r="F5" s="6">
        <v>42.466162183178994</v>
      </c>
      <c r="G5" s="6">
        <v>5647.9415021831792</v>
      </c>
    </row>
    <row r="6" spans="1:8" x14ac:dyDescent="0.3">
      <c r="A6" t="s">
        <v>55</v>
      </c>
      <c r="B6">
        <v>9</v>
      </c>
      <c r="C6" s="6">
        <v>363.94208218317885</v>
      </c>
      <c r="D6" s="6">
        <v>1029.6420821831791</v>
      </c>
      <c r="E6" s="6">
        <v>259.8957221831788</v>
      </c>
      <c r="F6" s="6">
        <v>136.31572218317865</v>
      </c>
      <c r="G6" s="6">
        <v>6207.1569521831789</v>
      </c>
    </row>
    <row r="7" spans="1:8" x14ac:dyDescent="0.3">
      <c r="A7" t="s">
        <v>55</v>
      </c>
      <c r="B7">
        <v>10</v>
      </c>
      <c r="C7" s="6">
        <v>513.00455218317893</v>
      </c>
      <c r="D7" s="6">
        <v>1214.7745521831787</v>
      </c>
      <c r="E7" s="6">
        <v>400.98422218317887</v>
      </c>
      <c r="F7" s="6">
        <v>263.66422218317894</v>
      </c>
      <c r="G7" s="6">
        <v>7041.6272521831797</v>
      </c>
    </row>
    <row r="8" spans="1:8" x14ac:dyDescent="0.3">
      <c r="A8" t="s">
        <v>55</v>
      </c>
      <c r="B8">
        <v>11</v>
      </c>
      <c r="C8" s="6">
        <v>644.75040218317895</v>
      </c>
      <c r="D8" s="6">
        <v>1362.1304021831791</v>
      </c>
      <c r="E8" s="6">
        <v>500.84592218317903</v>
      </c>
      <c r="F8" s="6">
        <v>349.79592218317907</v>
      </c>
      <c r="G8" s="6">
        <v>7537.4507421831795</v>
      </c>
    </row>
    <row r="9" spans="1:8" x14ac:dyDescent="0.3">
      <c r="A9" t="s">
        <v>55</v>
      </c>
      <c r="B9">
        <v>12</v>
      </c>
      <c r="C9" s="6">
        <v>780.7995421831788</v>
      </c>
      <c r="D9" s="6">
        <v>1506.2695421831788</v>
      </c>
      <c r="E9" s="6">
        <v>597.16497218317909</v>
      </c>
      <c r="F9" s="6">
        <v>432.38497218317889</v>
      </c>
      <c r="G9" s="6">
        <v>8004.0978321831781</v>
      </c>
    </row>
    <row r="10" spans="1:8" x14ac:dyDescent="0.3">
      <c r="A10" t="s">
        <v>55</v>
      </c>
      <c r="B10">
        <v>13</v>
      </c>
      <c r="C10" s="6">
        <v>922.31244218317875</v>
      </c>
      <c r="D10" s="6">
        <v>1681.6824421831791</v>
      </c>
      <c r="E10" s="6">
        <v>727.6291521831788</v>
      </c>
      <c r="F10" s="6">
        <v>549.11915218317881</v>
      </c>
      <c r="G10" s="6">
        <v>8751.4019021831791</v>
      </c>
    </row>
    <row r="11" spans="1:8" x14ac:dyDescent="0.3">
      <c r="A11" t="s">
        <v>55</v>
      </c>
      <c r="B11">
        <v>14</v>
      </c>
      <c r="C11" s="6">
        <v>1075.215242183179</v>
      </c>
      <c r="D11" s="6">
        <v>1841.8352421831789</v>
      </c>
      <c r="E11" s="6">
        <v>841.45928218317908</v>
      </c>
      <c r="F11" s="6">
        <v>649.20928218317908</v>
      </c>
      <c r="G11" s="6">
        <v>9361.9086621831793</v>
      </c>
    </row>
    <row r="12" spans="1:8" x14ac:dyDescent="0.3">
      <c r="A12" t="s">
        <v>55</v>
      </c>
      <c r="B12">
        <v>15</v>
      </c>
      <c r="C12" s="6">
        <v>1172.737762183179</v>
      </c>
      <c r="D12" s="6">
        <v>1965.2377621831786</v>
      </c>
      <c r="E12" s="6">
        <v>915.16906218317877</v>
      </c>
      <c r="F12" s="6">
        <v>709.19906218317897</v>
      </c>
      <c r="G12" s="6">
        <v>9642.8955621831792</v>
      </c>
    </row>
    <row r="13" spans="1:8" x14ac:dyDescent="0.3">
      <c r="A13" t="s">
        <v>57</v>
      </c>
      <c r="B13">
        <v>4</v>
      </c>
      <c r="C13" s="6">
        <v>-340.95855781682087</v>
      </c>
      <c r="D13" s="6">
        <v>0.5252321831790141</v>
      </c>
      <c r="E13" s="6">
        <v>-439.98134781682097</v>
      </c>
      <c r="F13" s="6">
        <v>-543.66134781682103</v>
      </c>
      <c r="G13" s="6">
        <v>2645.079832183179</v>
      </c>
    </row>
    <row r="14" spans="1:8" x14ac:dyDescent="0.3">
      <c r="A14" t="s">
        <v>57</v>
      </c>
      <c r="B14">
        <v>5</v>
      </c>
      <c r="C14" s="6">
        <v>-213.66725781682089</v>
      </c>
      <c r="D14" s="6">
        <v>211.84153218317897</v>
      </c>
      <c r="E14" s="6">
        <v>-325.70513781682087</v>
      </c>
      <c r="F14" s="6">
        <v>-455.2951378168209</v>
      </c>
      <c r="G14" s="6">
        <v>3387.2608021831793</v>
      </c>
    </row>
    <row r="15" spans="1:8" x14ac:dyDescent="0.3">
      <c r="A15" t="s">
        <v>57</v>
      </c>
      <c r="B15">
        <v>6</v>
      </c>
      <c r="C15" s="6">
        <v>-84.098007816820882</v>
      </c>
      <c r="D15" s="6">
        <v>412.029922183179</v>
      </c>
      <c r="E15" s="6">
        <v>-212.87145781682091</v>
      </c>
      <c r="F15" s="6">
        <v>-368.3814578168209</v>
      </c>
      <c r="G15" s="6">
        <v>4057.3892421831797</v>
      </c>
    </row>
    <row r="16" spans="1:8" x14ac:dyDescent="0.3">
      <c r="A16" t="s">
        <v>57</v>
      </c>
      <c r="B16">
        <v>7</v>
      </c>
      <c r="C16" s="6">
        <v>18.958392183179058</v>
      </c>
      <c r="D16" s="6">
        <v>585.83288218317921</v>
      </c>
      <c r="E16" s="6">
        <v>-103.48387781682095</v>
      </c>
      <c r="F16" s="6">
        <v>-284.90387781682091</v>
      </c>
      <c r="G16" s="6">
        <v>4556.4384421831792</v>
      </c>
    </row>
    <row r="17" spans="1:7" x14ac:dyDescent="0.3">
      <c r="A17" t="s">
        <v>57</v>
      </c>
      <c r="B17">
        <v>8</v>
      </c>
      <c r="C17" s="6">
        <v>158.72696218317901</v>
      </c>
      <c r="D17" s="6">
        <v>742.18423218317889</v>
      </c>
      <c r="E17" s="6">
        <v>3.5973921831789539</v>
      </c>
      <c r="F17" s="6">
        <v>-204.04260781682103</v>
      </c>
      <c r="G17" s="6">
        <v>4942.11014218318</v>
      </c>
    </row>
    <row r="18" spans="1:7" x14ac:dyDescent="0.3">
      <c r="A18" t="s">
        <v>57</v>
      </c>
      <c r="B18">
        <v>9</v>
      </c>
      <c r="C18" s="6">
        <v>278.7198021831789</v>
      </c>
      <c r="D18" s="6">
        <v>900.91514218317911</v>
      </c>
      <c r="E18" s="6">
        <v>110.99942218317892</v>
      </c>
      <c r="F18" s="6">
        <v>-122.26057781682096</v>
      </c>
      <c r="G18" s="6">
        <v>5343.3348921831785</v>
      </c>
    </row>
    <row r="19" spans="1:7" x14ac:dyDescent="0.3">
      <c r="A19" t="s">
        <v>57</v>
      </c>
      <c r="B19">
        <v>10</v>
      </c>
      <c r="C19" s="6">
        <v>399.57197218317879</v>
      </c>
      <c r="D19" s="6">
        <v>1063.480742183179</v>
      </c>
      <c r="E19" s="6">
        <v>218.88927218317917</v>
      </c>
      <c r="F19" s="6">
        <v>-40.29072781682089</v>
      </c>
      <c r="G19" s="6">
        <v>5769.3798721831799</v>
      </c>
    </row>
    <row r="20" spans="1:7" x14ac:dyDescent="0.3">
      <c r="A20" t="s">
        <v>57</v>
      </c>
      <c r="B20">
        <v>11</v>
      </c>
      <c r="C20" s="6">
        <v>514.99974218317902</v>
      </c>
      <c r="D20" s="6">
        <v>1201.7523021831787</v>
      </c>
      <c r="E20" s="6">
        <v>323.60357218317904</v>
      </c>
      <c r="F20" s="6">
        <v>38.503572183179131</v>
      </c>
      <c r="G20" s="6">
        <v>6037.8728721831785</v>
      </c>
    </row>
    <row r="21" spans="1:7" x14ac:dyDescent="0.3">
      <c r="A21" t="s">
        <v>57</v>
      </c>
      <c r="B21">
        <v>12</v>
      </c>
      <c r="C21" s="6">
        <v>625.86409218317908</v>
      </c>
      <c r="D21" s="6">
        <v>1349.5475221831787</v>
      </c>
      <c r="E21" s="6">
        <v>425.62868218317885</v>
      </c>
      <c r="F21" s="6">
        <v>114.61868218317886</v>
      </c>
      <c r="G21" s="6">
        <v>6173.9758921831781</v>
      </c>
    </row>
    <row r="22" spans="1:7" x14ac:dyDescent="0.3">
      <c r="A22" t="s">
        <v>57</v>
      </c>
      <c r="B22">
        <v>13</v>
      </c>
      <c r="C22" s="6">
        <v>744.10887218317907</v>
      </c>
      <c r="D22" s="6">
        <v>1470.5233621831792</v>
      </c>
      <c r="E22" s="6">
        <v>531.99891218317885</v>
      </c>
      <c r="F22" s="6">
        <v>195.06891218317901</v>
      </c>
      <c r="G22" s="6">
        <v>6524.3396521831801</v>
      </c>
    </row>
    <row r="23" spans="1:7" x14ac:dyDescent="0.3">
      <c r="A23" t="s">
        <v>57</v>
      </c>
      <c r="B23">
        <v>14</v>
      </c>
      <c r="C23" s="6">
        <v>851.75983218317924</v>
      </c>
      <c r="D23" s="6">
        <v>1574.0792221831791</v>
      </c>
      <c r="E23" s="6">
        <v>632.16120218317883</v>
      </c>
      <c r="F23" s="6">
        <v>269.31120218317869</v>
      </c>
      <c r="G23" s="6">
        <v>6567.682582183179</v>
      </c>
    </row>
    <row r="24" spans="1:7" x14ac:dyDescent="0.3">
      <c r="A24" t="s">
        <v>57</v>
      </c>
      <c r="B24">
        <v>15</v>
      </c>
      <c r="C24" s="6">
        <v>960.20970218317893</v>
      </c>
      <c r="D24" s="6">
        <v>1681.1222221831792</v>
      </c>
      <c r="E24" s="6">
        <v>732.75805218317919</v>
      </c>
      <c r="F24" s="6">
        <v>343.98805218317921</v>
      </c>
      <c r="G24" s="6">
        <v>6633.4854421831797</v>
      </c>
    </row>
    <row r="25" spans="1:7" x14ac:dyDescent="0.3">
      <c r="C25" s="6"/>
      <c r="D25" s="6"/>
      <c r="E25" s="6"/>
      <c r="F25" s="6"/>
      <c r="G25" s="6"/>
    </row>
    <row r="26" spans="1:7" x14ac:dyDescent="0.3">
      <c r="C26" s="6"/>
      <c r="D26" s="6"/>
      <c r="E26" s="6"/>
      <c r="F26" s="6"/>
      <c r="G26" s="6"/>
    </row>
    <row r="27" spans="1:7" x14ac:dyDescent="0.3">
      <c r="C27" s="6">
        <f>C2/1000</f>
        <v>-0.20916511781682107</v>
      </c>
      <c r="D27" s="6">
        <f t="shared" ref="D27:G27" si="0">D2/1000</f>
        <v>0.34403488218317918</v>
      </c>
      <c r="E27" s="6">
        <f t="shared" si="0"/>
        <v>-0.24448511781682089</v>
      </c>
      <c r="F27" s="6">
        <f t="shared" si="0"/>
        <v>-0.31314511781682086</v>
      </c>
      <c r="G27" s="6">
        <f t="shared" si="0"/>
        <v>3.3618848821831788</v>
      </c>
    </row>
    <row r="28" spans="1:7" x14ac:dyDescent="0.3">
      <c r="C28" s="6">
        <f t="shared" ref="C28:G49" si="1">C3/1000</f>
        <v>-5.0168497816820944E-2</v>
      </c>
      <c r="D28" s="6">
        <f t="shared" si="1"/>
        <v>0.53532150218317887</v>
      </c>
      <c r="E28" s="6">
        <f t="shared" si="1"/>
        <v>-9.6675557816821078E-2</v>
      </c>
      <c r="F28" s="6">
        <f t="shared" si="1"/>
        <v>-0.17906555781682096</v>
      </c>
      <c r="G28" s="6">
        <f t="shared" si="1"/>
        <v>4.2514812521831802</v>
      </c>
    </row>
    <row r="29" spans="1:7" x14ac:dyDescent="0.3">
      <c r="C29" s="6">
        <f t="shared" si="1"/>
        <v>8.3964852183179117E-2</v>
      </c>
      <c r="D29" s="6">
        <f t="shared" si="1"/>
        <v>0.69838485218317914</v>
      </c>
      <c r="E29" s="6">
        <f t="shared" si="1"/>
        <v>2.0297182183178848E-2</v>
      </c>
      <c r="F29" s="6">
        <f t="shared" si="1"/>
        <v>-7.5822817816821264E-2</v>
      </c>
      <c r="G29" s="6">
        <f t="shared" si="1"/>
        <v>4.8879809021831795</v>
      </c>
    </row>
    <row r="30" spans="1:7" x14ac:dyDescent="0.3">
      <c r="C30" s="6">
        <f t="shared" si="1"/>
        <v>0.22903747218317905</v>
      </c>
      <c r="D30" s="6">
        <f t="shared" si="1"/>
        <v>0.87519747218317934</v>
      </c>
      <c r="E30" s="6">
        <f t="shared" si="1"/>
        <v>0.15232616218317913</v>
      </c>
      <c r="F30" s="6">
        <f t="shared" si="1"/>
        <v>4.2466162183178995E-2</v>
      </c>
      <c r="G30" s="6">
        <f t="shared" si="1"/>
        <v>5.6479415021831789</v>
      </c>
    </row>
    <row r="31" spans="1:7" x14ac:dyDescent="0.3">
      <c r="C31" s="6">
        <f t="shared" si="1"/>
        <v>0.36394208218317886</v>
      </c>
      <c r="D31" s="6">
        <f t="shared" si="1"/>
        <v>1.0296420821831791</v>
      </c>
      <c r="E31" s="6">
        <f t="shared" si="1"/>
        <v>0.2598957221831788</v>
      </c>
      <c r="F31" s="6">
        <f t="shared" si="1"/>
        <v>0.13631572218317864</v>
      </c>
      <c r="G31" s="6">
        <f t="shared" si="1"/>
        <v>6.2071569521831789</v>
      </c>
    </row>
    <row r="32" spans="1:7" x14ac:dyDescent="0.3">
      <c r="C32" s="6">
        <f t="shared" si="1"/>
        <v>0.51300455218317897</v>
      </c>
      <c r="D32" s="6">
        <f t="shared" si="1"/>
        <v>1.2147745521831788</v>
      </c>
      <c r="E32" s="6">
        <f t="shared" si="1"/>
        <v>0.40098422218317886</v>
      </c>
      <c r="F32" s="6">
        <f t="shared" si="1"/>
        <v>0.26366422218317892</v>
      </c>
      <c r="G32" s="6">
        <f t="shared" si="1"/>
        <v>7.0416272521831793</v>
      </c>
    </row>
    <row r="33" spans="3:7" x14ac:dyDescent="0.3">
      <c r="C33" s="6">
        <f t="shared" si="1"/>
        <v>0.64475040218317892</v>
      </c>
      <c r="D33" s="6">
        <f t="shared" si="1"/>
        <v>1.362130402183179</v>
      </c>
      <c r="E33" s="6">
        <f t="shared" si="1"/>
        <v>0.50084592218317903</v>
      </c>
      <c r="F33" s="6">
        <f t="shared" si="1"/>
        <v>0.34979592218317906</v>
      </c>
      <c r="G33" s="6">
        <f t="shared" si="1"/>
        <v>7.5374507421831796</v>
      </c>
    </row>
    <row r="34" spans="3:7" x14ac:dyDescent="0.3">
      <c r="C34" s="6">
        <f t="shared" si="1"/>
        <v>0.78079954218317882</v>
      </c>
      <c r="D34" s="6">
        <f t="shared" si="1"/>
        <v>1.5062695421831789</v>
      </c>
      <c r="E34" s="6">
        <f t="shared" si="1"/>
        <v>0.5971649721831791</v>
      </c>
      <c r="F34" s="6">
        <f t="shared" si="1"/>
        <v>0.4323849721831789</v>
      </c>
      <c r="G34" s="6">
        <f t="shared" si="1"/>
        <v>8.0040978321831773</v>
      </c>
    </row>
    <row r="35" spans="3:7" x14ac:dyDescent="0.3">
      <c r="C35" s="6">
        <f t="shared" si="1"/>
        <v>0.92231244218317876</v>
      </c>
      <c r="D35" s="6">
        <f t="shared" si="1"/>
        <v>1.6816824421831791</v>
      </c>
      <c r="E35" s="6">
        <f t="shared" si="1"/>
        <v>0.72762915218317881</v>
      </c>
      <c r="F35" s="6">
        <f t="shared" si="1"/>
        <v>0.54911915218317886</v>
      </c>
      <c r="G35" s="6">
        <f t="shared" si="1"/>
        <v>8.7514019021831793</v>
      </c>
    </row>
    <row r="36" spans="3:7" x14ac:dyDescent="0.3">
      <c r="C36" s="6">
        <f t="shared" si="1"/>
        <v>1.0752152421831791</v>
      </c>
      <c r="D36" s="6">
        <f t="shared" si="1"/>
        <v>1.841835242183179</v>
      </c>
      <c r="E36" s="6">
        <f t="shared" si="1"/>
        <v>0.84145928218317911</v>
      </c>
      <c r="F36" s="6">
        <f t="shared" si="1"/>
        <v>0.64920928218317908</v>
      </c>
      <c r="G36" s="6">
        <f t="shared" si="1"/>
        <v>9.3619086621831791</v>
      </c>
    </row>
    <row r="37" spans="3:7" x14ac:dyDescent="0.3">
      <c r="C37" s="6">
        <f t="shared" si="1"/>
        <v>1.1727377621831789</v>
      </c>
      <c r="D37" s="6">
        <f t="shared" si="1"/>
        <v>1.9652377621831785</v>
      </c>
      <c r="E37" s="6">
        <f t="shared" si="1"/>
        <v>0.91516906218317873</v>
      </c>
      <c r="F37" s="6">
        <f t="shared" si="1"/>
        <v>0.70919906218317896</v>
      </c>
      <c r="G37" s="6">
        <f t="shared" si="1"/>
        <v>9.6428955621831793</v>
      </c>
    </row>
    <row r="38" spans="3:7" x14ac:dyDescent="0.3">
      <c r="C38" s="6">
        <f t="shared" si="1"/>
        <v>-0.34095855781682088</v>
      </c>
      <c r="D38" s="6">
        <f t="shared" si="1"/>
        <v>5.252321831790141E-4</v>
      </c>
      <c r="E38" s="6">
        <f t="shared" si="1"/>
        <v>-0.43998134781682097</v>
      </c>
      <c r="F38" s="6">
        <f t="shared" si="1"/>
        <v>-0.54366134781682107</v>
      </c>
      <c r="G38" s="6">
        <f t="shared" si="1"/>
        <v>2.6450798321831788</v>
      </c>
    </row>
    <row r="39" spans="3:7" x14ac:dyDescent="0.3">
      <c r="C39" s="6">
        <f t="shared" si="1"/>
        <v>-0.21366725781682089</v>
      </c>
      <c r="D39" s="6">
        <f t="shared" si="1"/>
        <v>0.21184153218317897</v>
      </c>
      <c r="E39" s="6">
        <f t="shared" si="1"/>
        <v>-0.32570513781682087</v>
      </c>
      <c r="F39" s="6">
        <f t="shared" si="1"/>
        <v>-0.45529513781682091</v>
      </c>
      <c r="G39" s="6">
        <f t="shared" si="1"/>
        <v>3.3872608021831794</v>
      </c>
    </row>
    <row r="40" spans="3:7" x14ac:dyDescent="0.3">
      <c r="C40" s="6">
        <f t="shared" si="1"/>
        <v>-8.4098007816820877E-2</v>
      </c>
      <c r="D40" s="6">
        <f t="shared" si="1"/>
        <v>0.41202992218317902</v>
      </c>
      <c r="E40" s="6">
        <f t="shared" si="1"/>
        <v>-0.2128714578168209</v>
      </c>
      <c r="F40" s="6">
        <f t="shared" si="1"/>
        <v>-0.36838145781682091</v>
      </c>
      <c r="G40" s="6">
        <f t="shared" si="1"/>
        <v>4.0573892421831799</v>
      </c>
    </row>
    <row r="41" spans="3:7" x14ac:dyDescent="0.3">
      <c r="C41" s="6">
        <f t="shared" si="1"/>
        <v>1.8958392183179056E-2</v>
      </c>
      <c r="D41" s="6">
        <f t="shared" si="1"/>
        <v>0.58583288218317919</v>
      </c>
      <c r="E41" s="6">
        <f t="shared" si="1"/>
        <v>-0.10348387781682095</v>
      </c>
      <c r="F41" s="6">
        <f t="shared" si="1"/>
        <v>-0.28490387781682092</v>
      </c>
      <c r="G41" s="6">
        <f t="shared" si="1"/>
        <v>4.5564384421831789</v>
      </c>
    </row>
    <row r="42" spans="3:7" x14ac:dyDescent="0.3">
      <c r="C42" s="6">
        <f t="shared" si="1"/>
        <v>0.158726962183179</v>
      </c>
      <c r="D42" s="6">
        <f t="shared" si="1"/>
        <v>0.74218423218317886</v>
      </c>
      <c r="E42" s="6">
        <f t="shared" si="1"/>
        <v>3.5973921831789538E-3</v>
      </c>
      <c r="F42" s="6">
        <f t="shared" si="1"/>
        <v>-0.20404260781682104</v>
      </c>
      <c r="G42" s="6">
        <f t="shared" si="1"/>
        <v>4.9421101421831803</v>
      </c>
    </row>
    <row r="43" spans="3:7" x14ac:dyDescent="0.3">
      <c r="C43" s="6">
        <f t="shared" si="1"/>
        <v>0.27871980218317888</v>
      </c>
      <c r="D43" s="6">
        <f t="shared" si="1"/>
        <v>0.90091514218317914</v>
      </c>
      <c r="E43" s="6">
        <f t="shared" si="1"/>
        <v>0.11099942218317892</v>
      </c>
      <c r="F43" s="6">
        <f t="shared" si="1"/>
        <v>-0.12226057781682095</v>
      </c>
      <c r="G43" s="6">
        <f t="shared" si="1"/>
        <v>5.3433348921831785</v>
      </c>
    </row>
    <row r="44" spans="3:7" x14ac:dyDescent="0.3">
      <c r="C44" s="6">
        <f t="shared" si="1"/>
        <v>0.3995719721831788</v>
      </c>
      <c r="D44" s="6">
        <f t="shared" si="1"/>
        <v>1.0634807421831791</v>
      </c>
      <c r="E44" s="6">
        <f t="shared" si="1"/>
        <v>0.21888927218317916</v>
      </c>
      <c r="F44" s="6">
        <f t="shared" si="1"/>
        <v>-4.0290727816820887E-2</v>
      </c>
      <c r="G44" s="6">
        <f t="shared" si="1"/>
        <v>5.7693798721831797</v>
      </c>
    </row>
    <row r="45" spans="3:7" x14ac:dyDescent="0.3">
      <c r="C45" s="6">
        <f t="shared" si="1"/>
        <v>0.51499974218317901</v>
      </c>
      <c r="D45" s="6">
        <f t="shared" si="1"/>
        <v>1.2017523021831786</v>
      </c>
      <c r="E45" s="6">
        <f t="shared" si="1"/>
        <v>0.32360357218317903</v>
      </c>
      <c r="F45" s="6">
        <f t="shared" si="1"/>
        <v>3.8503572183179131E-2</v>
      </c>
      <c r="G45" s="6">
        <f t="shared" si="1"/>
        <v>6.0378728721831783</v>
      </c>
    </row>
    <row r="46" spans="3:7" x14ac:dyDescent="0.3">
      <c r="C46" s="6">
        <f t="shared" si="1"/>
        <v>0.62586409218317907</v>
      </c>
      <c r="D46" s="6">
        <f t="shared" si="1"/>
        <v>1.3495475221831787</v>
      </c>
      <c r="E46" s="6">
        <f t="shared" si="1"/>
        <v>0.42562868218317884</v>
      </c>
      <c r="F46" s="6">
        <f t="shared" si="1"/>
        <v>0.11461868218317886</v>
      </c>
      <c r="G46" s="6">
        <f t="shared" si="1"/>
        <v>6.1739758921831784</v>
      </c>
    </row>
    <row r="47" spans="3:7" x14ac:dyDescent="0.3">
      <c r="C47" s="6">
        <f t="shared" si="1"/>
        <v>0.74410887218317912</v>
      </c>
      <c r="D47" s="6">
        <f t="shared" si="1"/>
        <v>1.4705233621831793</v>
      </c>
      <c r="E47" s="6">
        <f t="shared" si="1"/>
        <v>0.53199891218317885</v>
      </c>
      <c r="F47" s="6">
        <f t="shared" si="1"/>
        <v>0.19506891218317901</v>
      </c>
      <c r="G47" s="6">
        <f t="shared" si="1"/>
        <v>6.5243396521831798</v>
      </c>
    </row>
    <row r="48" spans="3:7" x14ac:dyDescent="0.3">
      <c r="C48" s="6">
        <f>C23/1000</f>
        <v>0.85175983218317919</v>
      </c>
      <c r="D48" s="6">
        <f t="shared" ref="D48:G48" si="2">D23/1000</f>
        <v>1.5740792221831792</v>
      </c>
      <c r="E48" s="6">
        <f t="shared" si="2"/>
        <v>0.63216120218317884</v>
      </c>
      <c r="F48" s="6">
        <f t="shared" si="2"/>
        <v>0.26931120218317867</v>
      </c>
      <c r="G48" s="6">
        <f t="shared" si="2"/>
        <v>6.5676825821831786</v>
      </c>
    </row>
    <row r="49" spans="3:8" x14ac:dyDescent="0.3">
      <c r="C49" s="6">
        <f t="shared" si="1"/>
        <v>0.96020970218317891</v>
      </c>
      <c r="D49" s="6">
        <f t="shared" si="1"/>
        <v>1.6811222221831792</v>
      </c>
      <c r="E49" s="6">
        <f t="shared" si="1"/>
        <v>0.73275805218317924</v>
      </c>
      <c r="F49" s="6">
        <f t="shared" si="1"/>
        <v>0.34398805218317918</v>
      </c>
      <c r="G49" s="6">
        <f t="shared" si="1"/>
        <v>6.6334854421831793</v>
      </c>
    </row>
    <row r="50" spans="3:8" ht="15.5" x14ac:dyDescent="0.35">
      <c r="C50" s="6"/>
      <c r="H50" s="9" t="s">
        <v>19</v>
      </c>
    </row>
    <row r="51" spans="3:8" x14ac:dyDescent="0.3">
      <c r="C51" s="6">
        <f>C27/0.181</f>
        <v>-1.1556083857282933</v>
      </c>
      <c r="D51" s="6">
        <f t="shared" ref="D51:G51" si="3">D27/0.181</f>
        <v>1.9007452054319292</v>
      </c>
      <c r="E51" s="6">
        <f t="shared" si="3"/>
        <v>-1.3507465072752536</v>
      </c>
      <c r="F51" s="6">
        <f t="shared" si="3"/>
        <v>-1.7300835238498391</v>
      </c>
      <c r="G51" s="6">
        <f t="shared" si="3"/>
        <v>18.573949625321429</v>
      </c>
    </row>
    <row r="52" spans="3:8" x14ac:dyDescent="0.3">
      <c r="C52" s="6">
        <f t="shared" ref="C52:G73" si="4">C28/0.181</f>
        <v>-0.27717402108740852</v>
      </c>
      <c r="D52" s="6">
        <f t="shared" si="4"/>
        <v>2.9575773601280599</v>
      </c>
      <c r="E52" s="6">
        <f t="shared" si="4"/>
        <v>-0.53411910396033746</v>
      </c>
      <c r="F52" s="6">
        <f t="shared" si="4"/>
        <v>-0.9893124741260827</v>
      </c>
      <c r="G52" s="6">
        <f t="shared" si="4"/>
        <v>23.488846697144641</v>
      </c>
    </row>
    <row r="53" spans="3:8" x14ac:dyDescent="0.3">
      <c r="C53" s="6">
        <f t="shared" si="4"/>
        <v>0.46389421095679073</v>
      </c>
      <c r="D53" s="6">
        <f t="shared" si="4"/>
        <v>3.8584798463159071</v>
      </c>
      <c r="E53" s="6">
        <f t="shared" si="4"/>
        <v>0.11213912808386103</v>
      </c>
      <c r="F53" s="6">
        <f t="shared" si="4"/>
        <v>-0.41891059567304567</v>
      </c>
      <c r="G53" s="6">
        <f t="shared" si="4"/>
        <v>27.005419349078341</v>
      </c>
    </row>
    <row r="54" spans="3:8" x14ac:dyDescent="0.3">
      <c r="C54" s="6">
        <f t="shared" si="4"/>
        <v>1.2654003988020943</v>
      </c>
      <c r="D54" s="6">
        <f t="shared" si="4"/>
        <v>4.8353451501833113</v>
      </c>
      <c r="E54" s="6">
        <f t="shared" si="4"/>
        <v>0.84158100653690127</v>
      </c>
      <c r="F54" s="6">
        <f t="shared" si="4"/>
        <v>0.2346196805700497</v>
      </c>
      <c r="G54" s="6">
        <f t="shared" si="4"/>
        <v>31.204096697144635</v>
      </c>
    </row>
    <row r="55" spans="3:8" x14ac:dyDescent="0.3">
      <c r="C55" s="6">
        <f t="shared" si="4"/>
        <v>2.0107297358186678</v>
      </c>
      <c r="D55" s="6">
        <f t="shared" si="4"/>
        <v>5.6886302883048572</v>
      </c>
      <c r="E55" s="6">
        <f t="shared" si="4"/>
        <v>1.4358879678628664</v>
      </c>
      <c r="F55" s="6">
        <f t="shared" si="4"/>
        <v>0.75312553692363893</v>
      </c>
      <c r="G55" s="6">
        <f t="shared" si="4"/>
        <v>34.293684818691595</v>
      </c>
    </row>
    <row r="56" spans="3:8" x14ac:dyDescent="0.3">
      <c r="C56" s="6">
        <f t="shared" si="4"/>
        <v>2.8342792938297183</v>
      </c>
      <c r="D56" s="6">
        <f t="shared" si="4"/>
        <v>6.7114616142717063</v>
      </c>
      <c r="E56" s="6">
        <f t="shared" si="4"/>
        <v>2.2153824430009883</v>
      </c>
      <c r="F56" s="6">
        <f t="shared" si="4"/>
        <v>1.4567084098518173</v>
      </c>
      <c r="G56" s="6">
        <f t="shared" si="4"/>
        <v>38.90401796786287</v>
      </c>
    </row>
    <row r="57" spans="3:8" x14ac:dyDescent="0.3">
      <c r="C57" s="6">
        <f t="shared" si="4"/>
        <v>3.56215691813911</v>
      </c>
      <c r="D57" s="6">
        <f t="shared" si="4"/>
        <v>7.5255823325037516</v>
      </c>
      <c r="E57" s="6">
        <f t="shared" si="4"/>
        <v>2.7671045424485028</v>
      </c>
      <c r="F57" s="6">
        <f t="shared" si="4"/>
        <v>1.9325741557081717</v>
      </c>
      <c r="G57" s="6">
        <f t="shared" si="4"/>
        <v>41.643374266205413</v>
      </c>
    </row>
    <row r="58" spans="3:8" x14ac:dyDescent="0.3">
      <c r="C58" s="6">
        <f t="shared" si="4"/>
        <v>4.3138096253214302</v>
      </c>
      <c r="D58" s="6">
        <f t="shared" si="4"/>
        <v>8.3219311722827563</v>
      </c>
      <c r="E58" s="6">
        <f t="shared" si="4"/>
        <v>3.2992539899623154</v>
      </c>
      <c r="F58" s="6">
        <f t="shared" si="4"/>
        <v>2.3888672496308225</v>
      </c>
      <c r="G58" s="6">
        <f t="shared" si="4"/>
        <v>44.221534984437447</v>
      </c>
    </row>
    <row r="59" spans="3:8" x14ac:dyDescent="0.3">
      <c r="C59" s="6">
        <f t="shared" si="4"/>
        <v>5.0956488518407665</v>
      </c>
      <c r="D59" s="6">
        <f t="shared" si="4"/>
        <v>9.2910632164816533</v>
      </c>
      <c r="E59" s="6">
        <f t="shared" si="4"/>
        <v>4.0200505645479492</v>
      </c>
      <c r="F59" s="6">
        <f t="shared" si="4"/>
        <v>3.0338074706252978</v>
      </c>
      <c r="G59" s="6">
        <f t="shared" si="4"/>
        <v>48.350286752393259</v>
      </c>
    </row>
    <row r="60" spans="3:8" x14ac:dyDescent="0.3">
      <c r="C60" s="6">
        <f t="shared" si="4"/>
        <v>5.9404157026694984</v>
      </c>
      <c r="D60" s="6">
        <f t="shared" si="4"/>
        <v>10.175885315929166</v>
      </c>
      <c r="E60" s="6">
        <f t="shared" si="4"/>
        <v>4.6489463104043045</v>
      </c>
      <c r="F60" s="6">
        <f t="shared" si="4"/>
        <v>3.5867916142717076</v>
      </c>
      <c r="G60" s="6">
        <f t="shared" si="4"/>
        <v>51.723252277255135</v>
      </c>
    </row>
    <row r="61" spans="3:8" x14ac:dyDescent="0.3">
      <c r="C61" s="6">
        <f t="shared" si="4"/>
        <v>6.4792141557081715</v>
      </c>
      <c r="D61" s="6">
        <f t="shared" si="4"/>
        <v>10.857667194382202</v>
      </c>
      <c r="E61" s="6">
        <f t="shared" si="4"/>
        <v>5.0561826639954628</v>
      </c>
      <c r="F61" s="6">
        <f t="shared" si="4"/>
        <v>3.9182268628904917</v>
      </c>
      <c r="G61" s="6">
        <f t="shared" si="4"/>
        <v>53.275666089409832</v>
      </c>
    </row>
    <row r="62" spans="3:8" x14ac:dyDescent="0.3">
      <c r="C62" s="6">
        <f t="shared" si="4"/>
        <v>-1.8837489382144801</v>
      </c>
      <c r="D62" s="6">
        <f t="shared" si="4"/>
        <v>2.9018352661823983E-3</v>
      </c>
      <c r="E62" s="6">
        <f t="shared" si="4"/>
        <v>-2.4308361757835413</v>
      </c>
      <c r="F62" s="6">
        <f t="shared" si="4"/>
        <v>-3.003653855341553</v>
      </c>
      <c r="G62" s="6">
        <f t="shared" si="4"/>
        <v>14.613700730293806</v>
      </c>
    </row>
    <row r="63" spans="3:8" x14ac:dyDescent="0.3">
      <c r="C63" s="6">
        <f t="shared" si="4"/>
        <v>-1.1804820873857509</v>
      </c>
      <c r="D63" s="6">
        <f t="shared" si="4"/>
        <v>1.170395205431928</v>
      </c>
      <c r="E63" s="6">
        <f t="shared" si="4"/>
        <v>-1.7994758995404467</v>
      </c>
      <c r="F63" s="6">
        <f t="shared" si="4"/>
        <v>-2.5154427503691763</v>
      </c>
      <c r="G63" s="6">
        <f t="shared" si="4"/>
        <v>18.714148078360108</v>
      </c>
    </row>
    <row r="64" spans="3:8" x14ac:dyDescent="0.3">
      <c r="C64" s="6">
        <f t="shared" si="4"/>
        <v>-0.46462987744099932</v>
      </c>
      <c r="D64" s="6">
        <f t="shared" si="4"/>
        <v>2.2764084098518178</v>
      </c>
      <c r="E64" s="6">
        <f t="shared" si="4"/>
        <v>-1.1760854023028779</v>
      </c>
      <c r="F64" s="6">
        <f t="shared" si="4"/>
        <v>-2.0352566730211099</v>
      </c>
      <c r="G64" s="6">
        <f t="shared" si="4"/>
        <v>22.416515150183315</v>
      </c>
    </row>
    <row r="65" spans="2:14" x14ac:dyDescent="0.3">
      <c r="C65" s="6">
        <f t="shared" si="4"/>
        <v>0.10474249824960805</v>
      </c>
      <c r="D65" s="6">
        <f t="shared" si="4"/>
        <v>3.2366457579181174</v>
      </c>
      <c r="E65" s="6">
        <f t="shared" si="4"/>
        <v>-0.57173413158464614</v>
      </c>
      <c r="F65" s="6">
        <f t="shared" si="4"/>
        <v>-1.5740545735735962</v>
      </c>
      <c r="G65" s="6">
        <f t="shared" si="4"/>
        <v>25.173693050735796</v>
      </c>
    </row>
    <row r="66" spans="2:14" x14ac:dyDescent="0.3">
      <c r="C66" s="6">
        <f t="shared" si="4"/>
        <v>0.87694454244850284</v>
      </c>
      <c r="D66" s="6">
        <f t="shared" si="4"/>
        <v>4.1004653711777843</v>
      </c>
      <c r="E66" s="6">
        <f t="shared" si="4"/>
        <v>1.9875094934690352E-2</v>
      </c>
      <c r="F66" s="6">
        <f t="shared" si="4"/>
        <v>-1.1273072255072987</v>
      </c>
      <c r="G66" s="6">
        <f t="shared" si="4"/>
        <v>27.304475923663979</v>
      </c>
    </row>
    <row r="67" spans="2:14" x14ac:dyDescent="0.3">
      <c r="C67" s="6">
        <f t="shared" si="4"/>
        <v>1.5398884098518171</v>
      </c>
      <c r="D67" s="6">
        <f t="shared" si="4"/>
        <v>4.9774317247689455</v>
      </c>
      <c r="E67" s="6">
        <f t="shared" si="4"/>
        <v>0.61325647615015977</v>
      </c>
      <c r="F67" s="6">
        <f t="shared" si="4"/>
        <v>-0.67547280561779532</v>
      </c>
      <c r="G67" s="6">
        <f t="shared" si="4"/>
        <v>29.52118724963082</v>
      </c>
    </row>
    <row r="68" spans="2:14" x14ac:dyDescent="0.3">
      <c r="C68" s="6">
        <f t="shared" si="4"/>
        <v>2.2075799568131425</v>
      </c>
      <c r="D68" s="6">
        <f t="shared" si="4"/>
        <v>5.8755842109567906</v>
      </c>
      <c r="E68" s="6">
        <f t="shared" si="4"/>
        <v>1.2093329954871777</v>
      </c>
      <c r="F68" s="6">
        <f t="shared" si="4"/>
        <v>-0.22260070617028116</v>
      </c>
      <c r="G68" s="6">
        <f t="shared" si="4"/>
        <v>31.875026918139117</v>
      </c>
    </row>
    <row r="69" spans="2:14" x14ac:dyDescent="0.3">
      <c r="C69" s="6">
        <f t="shared" si="4"/>
        <v>2.845302443000989</v>
      </c>
      <c r="D69" s="6">
        <f t="shared" si="4"/>
        <v>6.6395154816750201</v>
      </c>
      <c r="E69" s="6">
        <f t="shared" si="4"/>
        <v>1.787865039686072</v>
      </c>
      <c r="F69" s="6">
        <f t="shared" si="4"/>
        <v>0.21272691813911124</v>
      </c>
      <c r="G69" s="6">
        <f t="shared" si="4"/>
        <v>33.358413658470596</v>
      </c>
    </row>
    <row r="70" spans="2:14" x14ac:dyDescent="0.3">
      <c r="C70" s="6">
        <f t="shared" si="4"/>
        <v>3.4578126639954645</v>
      </c>
      <c r="D70" s="6">
        <f t="shared" si="4"/>
        <v>7.456063658470601</v>
      </c>
      <c r="E70" s="6">
        <f t="shared" si="4"/>
        <v>2.351539680570049</v>
      </c>
      <c r="F70" s="6">
        <f t="shared" si="4"/>
        <v>0.63325238775236936</v>
      </c>
      <c r="G70" s="6">
        <f t="shared" si="4"/>
        <v>34.110364045210929</v>
      </c>
    </row>
    <row r="71" spans="2:14" x14ac:dyDescent="0.3">
      <c r="C71" s="6">
        <f t="shared" si="4"/>
        <v>4.1110987413435316</v>
      </c>
      <c r="D71" s="6">
        <f t="shared" si="4"/>
        <v>8.1244384651004378</v>
      </c>
      <c r="E71" s="6">
        <f t="shared" si="4"/>
        <v>2.9392205092993309</v>
      </c>
      <c r="F71" s="6">
        <f t="shared" si="4"/>
        <v>1.0777287965921494</v>
      </c>
      <c r="G71" s="6">
        <f t="shared" si="4"/>
        <v>36.046075426426405</v>
      </c>
    </row>
    <row r="72" spans="2:14" x14ac:dyDescent="0.3">
      <c r="C72" s="6">
        <f t="shared" si="4"/>
        <v>4.7058554264264041</v>
      </c>
      <c r="D72" s="6">
        <f t="shared" si="4"/>
        <v>8.6965702883048586</v>
      </c>
      <c r="E72" s="6">
        <f t="shared" si="4"/>
        <v>3.4926033269788888</v>
      </c>
      <c r="F72" s="6">
        <f t="shared" si="4"/>
        <v>1.4879071943822026</v>
      </c>
      <c r="G72" s="6">
        <f t="shared" si="4"/>
        <v>36.285539128083862</v>
      </c>
    </row>
    <row r="73" spans="2:14" x14ac:dyDescent="0.3">
      <c r="C73" s="6">
        <f t="shared" si="4"/>
        <v>5.3050259789125906</v>
      </c>
      <c r="D73" s="6">
        <f t="shared" si="4"/>
        <v>9.2879680783601071</v>
      </c>
      <c r="E73" s="6">
        <f t="shared" si="4"/>
        <v>4.0483870286363492</v>
      </c>
      <c r="F73" s="6">
        <f t="shared" si="4"/>
        <v>1.9004864761501612</v>
      </c>
      <c r="G73" s="6">
        <f t="shared" si="4"/>
        <v>36.649090840791047</v>
      </c>
    </row>
    <row r="74" spans="2:14" ht="15.5" x14ac:dyDescent="0.35">
      <c r="C74" s="19" t="s">
        <v>39</v>
      </c>
      <c r="D74" s="19" t="s">
        <v>35</v>
      </c>
      <c r="E74" s="19" t="s">
        <v>36</v>
      </c>
      <c r="F74" s="19" t="s">
        <v>37</v>
      </c>
      <c r="G74" s="1" t="s">
        <v>45</v>
      </c>
      <c r="H74" t="s">
        <v>21</v>
      </c>
      <c r="I74" t="s">
        <v>23</v>
      </c>
      <c r="J74" t="s">
        <v>25</v>
      </c>
      <c r="K74" t="s">
        <v>27</v>
      </c>
      <c r="L74" t="s">
        <v>64</v>
      </c>
      <c r="M74" t="s">
        <v>65</v>
      </c>
      <c r="N74" t="s">
        <v>29</v>
      </c>
    </row>
    <row r="75" spans="2:14" x14ac:dyDescent="0.3">
      <c r="B75" s="14" t="s">
        <v>13</v>
      </c>
      <c r="C75" s="15">
        <f>AVERAGE(C51:C73)</f>
        <v>2.2677459236639721</v>
      </c>
      <c r="D75" s="15">
        <f t="shared" ref="D75:G75" si="5">AVERAGE(D51:D73)</f>
        <v>5.8247285731955598</v>
      </c>
      <c r="E75" s="15">
        <f t="shared" si="5"/>
        <v>1.4345918064408161</v>
      </c>
      <c r="F75" s="15">
        <f t="shared" si="5"/>
        <v>0.36194467696687893</v>
      </c>
      <c r="G75" s="15">
        <f t="shared" si="5"/>
        <v>32.989233031518886</v>
      </c>
      <c r="H75">
        <v>117.93348115299337</v>
      </c>
      <c r="I75">
        <v>105.08599508599508</v>
      </c>
      <c r="J75">
        <v>20.938069216757743</v>
      </c>
      <c r="K75">
        <v>29.790718835304826</v>
      </c>
      <c r="L75">
        <v>15.401202749140891</v>
      </c>
      <c r="M75">
        <v>26.485405759162301</v>
      </c>
      <c r="N75">
        <v>0.30196026243093921</v>
      </c>
    </row>
    <row r="76" spans="2:14" x14ac:dyDescent="0.3">
      <c r="B76" s="14" t="s">
        <v>17</v>
      </c>
      <c r="C76" s="14">
        <f>_xlfn.STDEV.S(C51:C73)</f>
        <v>2.4493046046931104</v>
      </c>
      <c r="D76" s="14">
        <f t="shared" ref="D76:G76" si="6">_xlfn.STDEV.S(D51:D73)</f>
        <v>3.0306733878773708</v>
      </c>
      <c r="E76" s="14">
        <f t="shared" si="6"/>
        <v>2.1636938251599598</v>
      </c>
      <c r="F76" s="14">
        <f t="shared" si="6"/>
        <v>1.9296853282129294</v>
      </c>
      <c r="G76" s="14">
        <f t="shared" si="6"/>
        <v>10.375115696910898</v>
      </c>
      <c r="H76">
        <v>32.495892003970816</v>
      </c>
      <c r="I76">
        <v>26.730628296819173</v>
      </c>
      <c r="J76">
        <v>12.481066513342522</v>
      </c>
      <c r="K76">
        <v>11.50909850065238</v>
      </c>
      <c r="L76">
        <v>4.2834504650777907</v>
      </c>
      <c r="M76">
        <v>7.0903012763104734</v>
      </c>
      <c r="N76">
        <v>0.12712830923836407</v>
      </c>
    </row>
    <row r="78" spans="2:14" x14ac:dyDescent="0.3">
      <c r="B78" s="7"/>
      <c r="C78" s="7" t="s">
        <v>12</v>
      </c>
      <c r="D78" t="s">
        <v>16</v>
      </c>
    </row>
    <row r="79" spans="2:14" ht="15.5" x14ac:dyDescent="0.35">
      <c r="B79" s="16" t="s">
        <v>39</v>
      </c>
      <c r="C79" s="8">
        <f>C75</f>
        <v>2.2677459236639721</v>
      </c>
      <c r="D79">
        <f>C76</f>
        <v>2.4493046046931104</v>
      </c>
    </row>
    <row r="80" spans="2:14" ht="15.5" x14ac:dyDescent="0.35">
      <c r="B80" s="16" t="s">
        <v>35</v>
      </c>
      <c r="C80" s="8">
        <f>D75</f>
        <v>5.8247285731955598</v>
      </c>
      <c r="D80">
        <f>D76</f>
        <v>3.0306733878773708</v>
      </c>
    </row>
    <row r="81" spans="2:8" ht="15.5" x14ac:dyDescent="0.35">
      <c r="B81" s="16" t="s">
        <v>36</v>
      </c>
      <c r="C81" s="8">
        <f>E75</f>
        <v>1.4345918064408161</v>
      </c>
      <c r="D81">
        <f>E76</f>
        <v>2.1636938251599598</v>
      </c>
    </row>
    <row r="82" spans="2:8" ht="15.5" x14ac:dyDescent="0.35">
      <c r="B82" s="16" t="s">
        <v>37</v>
      </c>
      <c r="C82" s="8">
        <f>F75</f>
        <v>0.36194467696687893</v>
      </c>
      <c r="D82">
        <f>F76</f>
        <v>1.9296853282129294</v>
      </c>
    </row>
    <row r="83" spans="2:8" ht="15.5" x14ac:dyDescent="0.35">
      <c r="B83" s="16" t="s">
        <v>45</v>
      </c>
      <c r="C83" s="8">
        <f>G75</f>
        <v>32.989233031518886</v>
      </c>
      <c r="D83">
        <f>G76</f>
        <v>10.375115696910898</v>
      </c>
    </row>
    <row r="84" spans="2:8" x14ac:dyDescent="0.3">
      <c r="B84" s="7" t="s">
        <v>20</v>
      </c>
      <c r="C84" s="7">
        <v>117.93348115299337</v>
      </c>
      <c r="D84">
        <v>32.495892003970816</v>
      </c>
    </row>
    <row r="85" spans="2:8" x14ac:dyDescent="0.3">
      <c r="B85" s="7" t="s">
        <v>22</v>
      </c>
      <c r="C85" s="7">
        <v>105.08599508599508</v>
      </c>
      <c r="D85">
        <v>26.730628296819173</v>
      </c>
    </row>
    <row r="86" spans="2:8" x14ac:dyDescent="0.3">
      <c r="B86" s="7" t="s">
        <v>24</v>
      </c>
      <c r="C86" s="7">
        <v>20.938069216757743</v>
      </c>
      <c r="D86">
        <v>12.481066513342522</v>
      </c>
    </row>
    <row r="87" spans="2:8" x14ac:dyDescent="0.3">
      <c r="B87" s="7" t="s">
        <v>26</v>
      </c>
      <c r="C87" s="7">
        <v>29.790718835304826</v>
      </c>
      <c r="D87">
        <v>11.50909850065238</v>
      </c>
    </row>
    <row r="88" spans="2:8" ht="15.5" x14ac:dyDescent="0.35">
      <c r="B88" s="7" t="s">
        <v>28</v>
      </c>
      <c r="C88" s="7">
        <v>15.401202749140891</v>
      </c>
      <c r="D88">
        <v>4.2834504650777907</v>
      </c>
      <c r="H88" s="1"/>
    </row>
    <row r="89" spans="2:8" ht="15.5" x14ac:dyDescent="0.35">
      <c r="B89" s="7" t="s">
        <v>65</v>
      </c>
      <c r="C89" s="7">
        <v>26.485405759162301</v>
      </c>
      <c r="D89">
        <v>7.0903012763104734</v>
      </c>
      <c r="H89" s="1"/>
    </row>
    <row r="90" spans="2:8" ht="15.5" x14ac:dyDescent="0.35">
      <c r="B90" t="s">
        <v>29</v>
      </c>
      <c r="C90">
        <v>0.30196026243093921</v>
      </c>
      <c r="D90">
        <v>0.12712830923836407</v>
      </c>
      <c r="H90" s="1"/>
    </row>
    <row r="91" spans="2:8" ht="15.5" x14ac:dyDescent="0.35">
      <c r="H91" s="1"/>
    </row>
    <row r="92" spans="2:8" ht="15.5" x14ac:dyDescent="0.35">
      <c r="H92" s="1"/>
    </row>
    <row r="93" spans="2:8" ht="15.5" x14ac:dyDescent="0.35">
      <c r="H93" s="1"/>
    </row>
    <row r="94" spans="2:8" ht="15.5" x14ac:dyDescent="0.35">
      <c r="H94" s="13"/>
    </row>
    <row r="95" spans="2:8" ht="15.5" x14ac:dyDescent="0.35">
      <c r="H95" s="13"/>
    </row>
    <row r="96" spans="2:8" ht="15.5" x14ac:dyDescent="0.35">
      <c r="H96" s="2"/>
    </row>
    <row r="97" spans="8:8" ht="15.5" x14ac:dyDescent="0.35">
      <c r="H97" s="1"/>
    </row>
    <row r="98" spans="8:8" ht="15.5" x14ac:dyDescent="0.35">
      <c r="H98" s="1"/>
    </row>
    <row r="99" spans="8:8" ht="15.5" x14ac:dyDescent="0.35">
      <c r="H99" s="1"/>
    </row>
    <row r="100" spans="8:8" ht="15.5" x14ac:dyDescent="0.35">
      <c r="H100" s="1"/>
    </row>
    <row r="101" spans="8:8" ht="15.5" x14ac:dyDescent="0.35">
      <c r="H1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 1 ab</vt:lpstr>
      <vt:lpstr>Fig 1 c</vt:lpstr>
      <vt:lpstr>Fig 1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2025-10-19T05:22:33Z</dcterms:modified>
</cp:coreProperties>
</file>