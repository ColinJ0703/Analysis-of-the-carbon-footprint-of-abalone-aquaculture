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OneDrive\桌面\figures in manuscript\Figure 3\"/>
    </mc:Choice>
  </mc:AlternateContent>
  <xr:revisionPtr revIDLastSave="0" documentId="13_ncr:1_{F14CC7A8-AF45-4A59-8194-10BA4DEA277F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Production" sheetId="2" r:id="rId1"/>
    <sheet name="Unit carbon footprint" sheetId="4" r:id="rId2"/>
    <sheet name="Carbon Footprint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3" i="4" l="1"/>
  <c r="M21" i="4" s="1"/>
  <c r="M22" i="4" s="1"/>
  <c r="M23" i="4" s="1"/>
  <c r="M24" i="4" s="1"/>
  <c r="M25" i="4" s="1"/>
  <c r="D3" i="4"/>
  <c r="D3" i="1" s="1"/>
  <c r="D4" i="4"/>
  <c r="D4" i="1" s="1"/>
  <c r="D5" i="4"/>
  <c r="D5" i="1" s="1"/>
  <c r="D6" i="4"/>
  <c r="D6" i="1" s="1"/>
  <c r="D7" i="4"/>
  <c r="D7" i="1" s="1"/>
  <c r="D8" i="4"/>
  <c r="D8" i="1" s="1"/>
  <c r="D9" i="4"/>
  <c r="D9" i="1" s="1"/>
  <c r="D10" i="4"/>
  <c r="D10" i="1" s="1"/>
  <c r="D11" i="4"/>
  <c r="D11" i="1" s="1"/>
  <c r="D12" i="4"/>
  <c r="D12" i="1" s="1"/>
  <c r="D13" i="4"/>
  <c r="D13" i="1" s="1"/>
  <c r="D14" i="4"/>
  <c r="D14" i="1" s="1"/>
  <c r="D15" i="4"/>
  <c r="D15" i="1" s="1"/>
  <c r="D16" i="4"/>
  <c r="D16" i="1" s="1"/>
  <c r="D17" i="4"/>
  <c r="D17" i="1" s="1"/>
  <c r="D18" i="4"/>
  <c r="D18" i="1" s="1"/>
  <c r="D19" i="4"/>
  <c r="D19" i="1" s="1"/>
  <c r="D20" i="4"/>
  <c r="D20" i="1" s="1"/>
  <c r="D21" i="4"/>
  <c r="D21" i="1" s="1"/>
  <c r="D22" i="4"/>
  <c r="D22" i="1" s="1"/>
  <c r="D23" i="4"/>
  <c r="D23" i="1" s="1"/>
  <c r="D24" i="4"/>
  <c r="D24" i="1" s="1"/>
  <c r="D2" i="4"/>
  <c r="D2" i="1" s="1"/>
  <c r="C3" i="4"/>
  <c r="C3" i="1" s="1"/>
  <c r="C4" i="4"/>
  <c r="C4" i="1" s="1"/>
  <c r="C5" i="4"/>
  <c r="C5" i="1" s="1"/>
  <c r="C6" i="4"/>
  <c r="C6" i="1" s="1"/>
  <c r="C7" i="4"/>
  <c r="C7" i="1" s="1"/>
  <c r="C8" i="4"/>
  <c r="C8" i="1" s="1"/>
  <c r="C9" i="4"/>
  <c r="C9" i="1" s="1"/>
  <c r="C10" i="4"/>
  <c r="C10" i="1" s="1"/>
  <c r="C11" i="4"/>
  <c r="C11" i="1" s="1"/>
  <c r="C12" i="4"/>
  <c r="C12" i="1" s="1"/>
  <c r="C13" i="4"/>
  <c r="C13" i="1" s="1"/>
  <c r="C14" i="4"/>
  <c r="C14" i="1" s="1"/>
  <c r="C15" i="4"/>
  <c r="C15" i="1" s="1"/>
  <c r="C16" i="4"/>
  <c r="C16" i="1" s="1"/>
  <c r="C17" i="4"/>
  <c r="C17" i="1" s="1"/>
  <c r="C18" i="4"/>
  <c r="C18" i="1" s="1"/>
  <c r="C19" i="4"/>
  <c r="C19" i="1" s="1"/>
  <c r="C20" i="4"/>
  <c r="C20" i="1" s="1"/>
  <c r="C21" i="4"/>
  <c r="C21" i="1" s="1"/>
  <c r="C22" i="4"/>
  <c r="C22" i="1" s="1"/>
  <c r="C23" i="4"/>
  <c r="C23" i="1" s="1"/>
  <c r="C24" i="4"/>
  <c r="C24" i="1" s="1"/>
  <c r="C2" i="4"/>
  <c r="C2" i="1" s="1"/>
  <c r="L58" i="4"/>
  <c r="K58" i="4"/>
  <c r="K43" i="4"/>
  <c r="M43" i="4" s="1"/>
  <c r="B7" i="4" s="1"/>
  <c r="B7" i="1" s="1"/>
  <c r="K42" i="4"/>
  <c r="M42" i="4" s="1"/>
  <c r="B6" i="4" s="1"/>
  <c r="B6" i="1" s="1"/>
  <c r="K41" i="4"/>
  <c r="M41" i="4" s="1"/>
  <c r="B5" i="4" s="1"/>
  <c r="B5" i="1" s="1"/>
  <c r="K40" i="4"/>
  <c r="M40" i="4" s="1"/>
  <c r="B4" i="4" s="1"/>
  <c r="B4" i="1" s="1"/>
  <c r="K39" i="4"/>
  <c r="M39" i="4" s="1"/>
  <c r="B3" i="4" s="1"/>
  <c r="B3" i="1" s="1"/>
  <c r="K38" i="4"/>
  <c r="M38" i="4" s="1"/>
  <c r="B2" i="4" s="1"/>
  <c r="B2" i="1" s="1"/>
  <c r="O3" i="4"/>
  <c r="O12" i="4" s="1"/>
  <c r="O13" i="4" s="1"/>
  <c r="O14" i="4" s="1"/>
  <c r="O15" i="4" s="1"/>
  <c r="O16" i="4" s="1"/>
  <c r="O17" i="4" s="1"/>
  <c r="O18" i="4" s="1"/>
  <c r="O19" i="4" s="1"/>
  <c r="O20" i="4" s="1"/>
  <c r="O21" i="4" s="1"/>
  <c r="O22" i="4" s="1"/>
  <c r="O23" i="4" s="1"/>
  <c r="O24" i="4" s="1"/>
  <c r="O25" i="4" s="1"/>
  <c r="N3" i="4"/>
  <c r="N12" i="4" s="1"/>
  <c r="N13" i="4" s="1"/>
  <c r="N14" i="4" s="1"/>
  <c r="N15" i="4" s="1"/>
  <c r="N16" i="4" s="1"/>
  <c r="N17" i="4" s="1"/>
  <c r="N18" i="4" s="1"/>
  <c r="N19" i="4" s="1"/>
  <c r="N20" i="4" s="1"/>
  <c r="N21" i="4" s="1"/>
  <c r="N22" i="4" s="1"/>
  <c r="N23" i="4" s="1"/>
  <c r="N24" i="4" s="1"/>
  <c r="N25" i="4" s="1"/>
  <c r="K3" i="4"/>
  <c r="K12" i="4" s="1"/>
  <c r="L21" i="4" l="1"/>
  <c r="L22" i="4" s="1"/>
  <c r="L23" i="4" s="1"/>
  <c r="L24" i="4" s="1"/>
  <c r="L25" i="4" s="1"/>
  <c r="M60" i="4"/>
  <c r="B24" i="4" s="1"/>
  <c r="B24" i="1" s="1"/>
  <c r="K44" i="4"/>
  <c r="M44" i="4" s="1"/>
  <c r="B8" i="4" s="1"/>
  <c r="B8" i="1" s="1"/>
  <c r="K13" i="4"/>
  <c r="K14" i="4" s="1"/>
  <c r="K15" i="4" s="1"/>
  <c r="M58" i="4"/>
  <c r="M59" i="4" l="1"/>
  <c r="B23" i="4" s="1"/>
  <c r="B23" i="1" s="1"/>
  <c r="B22" i="4"/>
  <c r="B22" i="1" s="1"/>
  <c r="K45" i="4"/>
  <c r="M45" i="4" s="1"/>
  <c r="B9" i="4" s="1"/>
  <c r="B9" i="1" s="1"/>
  <c r="K46" i="4" l="1"/>
  <c r="M46" i="4" s="1"/>
  <c r="B10" i="4" s="1"/>
  <c r="B10" i="1" s="1"/>
  <c r="K16" i="4" l="1"/>
  <c r="K47" i="4"/>
  <c r="M47" i="4" s="1"/>
  <c r="B11" i="4" s="1"/>
  <c r="B11" i="1" s="1"/>
  <c r="K48" i="4" l="1"/>
  <c r="M48" i="4" s="1"/>
  <c r="B12" i="4" s="1"/>
  <c r="B12" i="1" s="1"/>
  <c r="K17" i="4"/>
  <c r="K49" i="4" l="1"/>
  <c r="M49" i="4" s="1"/>
  <c r="B13" i="4" s="1"/>
  <c r="B13" i="1" s="1"/>
  <c r="K18" i="4"/>
  <c r="K50" i="4" l="1"/>
  <c r="M50" i="4" s="1"/>
  <c r="B14" i="4" s="1"/>
  <c r="B14" i="1" s="1"/>
  <c r="K19" i="4"/>
  <c r="K20" i="4" l="1"/>
  <c r="K51" i="4"/>
  <c r="M51" i="4" s="1"/>
  <c r="B15" i="4" s="1"/>
  <c r="B15" i="1" s="1"/>
  <c r="K21" i="4" l="1"/>
  <c r="K52" i="4"/>
  <c r="M52" i="4" s="1"/>
  <c r="B16" i="4" s="1"/>
  <c r="B16" i="1" s="1"/>
  <c r="K22" i="4" l="1"/>
  <c r="K23" i="4" l="1"/>
  <c r="K24" i="4" l="1"/>
  <c r="K25" i="4" l="1"/>
  <c r="K53" i="4" l="1"/>
  <c r="M53" i="4" s="1"/>
  <c r="B17" i="4" s="1"/>
  <c r="B17" i="1" s="1"/>
  <c r="M3" i="4"/>
  <c r="K54" i="4" l="1"/>
  <c r="M54" i="4" s="1"/>
  <c r="B18" i="4" s="1"/>
  <c r="B18" i="1" s="1"/>
  <c r="K55" i="4" l="1"/>
  <c r="M55" i="4" s="1"/>
  <c r="B19" i="4" s="1"/>
  <c r="B19" i="1" s="1"/>
  <c r="K56" i="4"/>
  <c r="M56" i="4" s="1"/>
  <c r="B20" i="4" s="1"/>
  <c r="B20" i="1" s="1"/>
  <c r="K57" i="4"/>
  <c r="M57" i="4" s="1"/>
  <c r="B21" i="4" s="1"/>
  <c r="B21" i="1" s="1"/>
</calcChain>
</file>

<file path=xl/sharedStrings.xml><?xml version="1.0" encoding="utf-8"?>
<sst xmlns="http://schemas.openxmlformats.org/spreadsheetml/2006/main" count="47" uniqueCount="24">
  <si>
    <t>year</t>
    <phoneticPr fontId="1" type="noConversion"/>
  </si>
  <si>
    <t>China</t>
  </si>
  <si>
    <t>Korea</t>
  </si>
  <si>
    <t>South Africa</t>
  </si>
  <si>
    <t>10000 t</t>
    <phoneticPr fontId="1" type="noConversion"/>
  </si>
  <si>
    <t>kg/t</t>
    <phoneticPr fontId="1" type="noConversion"/>
  </si>
  <si>
    <t>LICM</t>
  </si>
  <si>
    <t>FRCM-raft</t>
  </si>
  <si>
    <t>FRCM-Longline</t>
  </si>
  <si>
    <t>SNCM-Land</t>
  </si>
  <si>
    <t>SNCM-Sea</t>
  </si>
  <si>
    <t>both</t>
    <phoneticPr fontId="1" type="noConversion"/>
  </si>
  <si>
    <t>South Korea</t>
    <phoneticPr fontId="1" type="noConversion"/>
  </si>
  <si>
    <t>Ext-1</t>
    <phoneticPr fontId="1" type="noConversion"/>
  </si>
  <si>
    <t>Ext-2</t>
  </si>
  <si>
    <t>Ext-3</t>
  </si>
  <si>
    <t>Ext-4</t>
  </si>
  <si>
    <t>Int (South Africa)</t>
    <phoneticPr fontId="1" type="noConversion"/>
  </si>
  <si>
    <t>Ext-1 (South Korea)</t>
    <phoneticPr fontId="1" type="noConversion"/>
  </si>
  <si>
    <t>Int</t>
    <phoneticPr fontId="1" type="noConversion"/>
  </si>
  <si>
    <t>No genetic improvement</t>
  </si>
  <si>
    <t>Genetic improvement</t>
  </si>
  <si>
    <t>Before 2020</t>
    <phoneticPr fontId="1" type="noConversion"/>
  </si>
  <si>
    <t>100 kt CO2 eq.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</si>
</sst>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0_ "/>
    <numFmt numFmtId="177" formatCode="0.00_ 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11" fontId="0" fillId="0" borderId="0" xfId="0" applyNumberFormat="1"/>
    <xf numFmtId="176" fontId="0" fillId="0" borderId="0" xfId="0" applyNumberFormat="1"/>
    <xf numFmtId="0" fontId="2" fillId="0" borderId="0" xfId="1"/>
    <xf numFmtId="0" fontId="3" fillId="0" borderId="0" xfId="0" applyFont="1"/>
    <xf numFmtId="0" fontId="0" fillId="2" borderId="0" xfId="0" applyFill="1"/>
    <xf numFmtId="177" fontId="0" fillId="0" borderId="0" xfId="0" applyNumberFormat="1"/>
    <xf numFmtId="177" fontId="0" fillId="0" borderId="0" xfId="0" applyNumberFormat="1" applyBorder="1"/>
  </cellXfs>
  <cellStyles count="2">
    <cellStyle name="常规" xfId="0" builtinId="0"/>
    <cellStyle name="常规 2" xfId="1" xr:uid="{B8939FAC-2015-47C6-9D83-EEBC2F741F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A9B5B-6834-41CE-8F9F-3B0A580F458F}">
  <dimension ref="A1:F24"/>
  <sheetViews>
    <sheetView tabSelected="1" workbookViewId="0">
      <selection activeCell="E22" sqref="E22"/>
    </sheetView>
  </sheetViews>
  <sheetFormatPr defaultColWidth="8.83203125" defaultRowHeight="14" x14ac:dyDescent="0.3"/>
  <cols>
    <col min="2" max="2" width="8.75" bestFit="1" customWidth="1"/>
    <col min="3" max="3" width="10.83203125" bestFit="1" customWidth="1"/>
    <col min="4" max="4" width="10.75" bestFit="1" customWidth="1"/>
  </cols>
  <sheetData>
    <row r="1" spans="1:6" x14ac:dyDescent="0.3">
      <c r="A1" t="s">
        <v>0</v>
      </c>
      <c r="B1" t="s">
        <v>1</v>
      </c>
      <c r="C1" t="s">
        <v>12</v>
      </c>
      <c r="D1" t="s">
        <v>3</v>
      </c>
      <c r="E1" t="s">
        <v>4</v>
      </c>
    </row>
    <row r="2" spans="1:6" x14ac:dyDescent="0.3">
      <c r="A2">
        <v>2000</v>
      </c>
      <c r="B2" s="1">
        <v>0.24579999999999999</v>
      </c>
      <c r="C2" s="1">
        <v>2E-3</v>
      </c>
      <c r="D2" s="1">
        <v>1.8100000000000002E-2</v>
      </c>
      <c r="F2" s="1"/>
    </row>
    <row r="3" spans="1:6" x14ac:dyDescent="0.3">
      <c r="A3">
        <v>2001</v>
      </c>
      <c r="B3" s="1">
        <v>0.24959999999999999</v>
      </c>
      <c r="C3" s="1">
        <v>2.8999999999999998E-3</v>
      </c>
      <c r="D3" s="1">
        <v>3.73E-2</v>
      </c>
    </row>
    <row r="4" spans="1:6" x14ac:dyDescent="0.3">
      <c r="A4">
        <v>2002</v>
      </c>
      <c r="B4" s="1">
        <v>0.23250000000000001</v>
      </c>
      <c r="C4" s="1">
        <v>8.5000000000000006E-3</v>
      </c>
      <c r="D4" s="1">
        <v>4.2900000000000001E-2</v>
      </c>
    </row>
    <row r="5" spans="1:6" x14ac:dyDescent="0.3">
      <c r="A5">
        <v>2003</v>
      </c>
      <c r="B5" s="1">
        <v>1.1206</v>
      </c>
      <c r="C5" s="1">
        <v>0.1065</v>
      </c>
      <c r="D5" s="1">
        <v>5.1499999999999997E-2</v>
      </c>
    </row>
    <row r="6" spans="1:6" x14ac:dyDescent="0.3">
      <c r="A6">
        <v>2004</v>
      </c>
      <c r="B6" s="1">
        <v>1.5446</v>
      </c>
      <c r="C6" s="1">
        <v>0.126</v>
      </c>
      <c r="D6" s="1">
        <v>7.5999999999999998E-2</v>
      </c>
    </row>
    <row r="7" spans="1:6" x14ac:dyDescent="0.3">
      <c r="A7">
        <v>2005</v>
      </c>
      <c r="B7" s="1">
        <v>1.7674000000000001</v>
      </c>
      <c r="C7" s="1">
        <v>0.20619999999999999</v>
      </c>
      <c r="D7" s="1">
        <v>8.3000000000000004E-2</v>
      </c>
    </row>
    <row r="8" spans="1:6" x14ac:dyDescent="0.3">
      <c r="A8">
        <v>2006</v>
      </c>
      <c r="B8" s="1">
        <v>2.1637</v>
      </c>
      <c r="C8" s="1">
        <v>0.30499999999999999</v>
      </c>
      <c r="D8" s="1">
        <v>8.3299999999999999E-2</v>
      </c>
    </row>
    <row r="9" spans="1:6" x14ac:dyDescent="0.3">
      <c r="A9">
        <v>2007</v>
      </c>
      <c r="B9" s="1">
        <v>2.5373999999999999</v>
      </c>
      <c r="C9" s="1">
        <v>0.435</v>
      </c>
      <c r="D9" s="1">
        <v>7.8299999999999995E-2</v>
      </c>
    </row>
    <row r="10" spans="1:6" x14ac:dyDescent="0.3">
      <c r="A10">
        <v>2008</v>
      </c>
      <c r="B10" s="1">
        <v>3.3010000000000002</v>
      </c>
      <c r="C10" s="1">
        <v>0.51459999999999995</v>
      </c>
      <c r="D10" s="1">
        <v>0.1037</v>
      </c>
    </row>
    <row r="11" spans="1:6" x14ac:dyDescent="0.3">
      <c r="A11">
        <v>2009</v>
      </c>
      <c r="B11" s="1">
        <v>4.2373000000000003</v>
      </c>
      <c r="C11" s="1">
        <v>0.62070000000000003</v>
      </c>
      <c r="D11" s="1">
        <v>9.1399999999999995E-2</v>
      </c>
    </row>
    <row r="12" spans="1:6" x14ac:dyDescent="0.3">
      <c r="A12">
        <v>2010</v>
      </c>
      <c r="B12" s="1">
        <v>5.6510999999999996</v>
      </c>
      <c r="C12" s="1">
        <v>0.62280000000000002</v>
      </c>
      <c r="D12" s="1">
        <v>0.10150000000000001</v>
      </c>
    </row>
    <row r="13" spans="1:6" x14ac:dyDescent="0.3">
      <c r="A13">
        <v>2011</v>
      </c>
      <c r="B13" s="1">
        <v>7.6786000000000003</v>
      </c>
      <c r="C13" s="1">
        <v>0.67789999999999995</v>
      </c>
      <c r="D13" s="1">
        <v>0.1036</v>
      </c>
    </row>
    <row r="14" spans="1:6" x14ac:dyDescent="0.3">
      <c r="A14">
        <v>2012</v>
      </c>
      <c r="B14" s="1">
        <v>9.0693999999999999</v>
      </c>
      <c r="C14" s="1">
        <v>0.65639999999999998</v>
      </c>
      <c r="D14" s="1">
        <v>0.11114</v>
      </c>
    </row>
    <row r="15" spans="1:6" x14ac:dyDescent="0.3">
      <c r="A15">
        <v>2013</v>
      </c>
      <c r="B15" s="1">
        <v>11.038</v>
      </c>
      <c r="C15" s="1">
        <v>0.74790000000000001</v>
      </c>
      <c r="D15" s="1">
        <v>0.14699999999999999</v>
      </c>
    </row>
    <row r="16" spans="1:6" x14ac:dyDescent="0.3">
      <c r="A16">
        <v>2014</v>
      </c>
      <c r="B16" s="1">
        <v>11.5397</v>
      </c>
      <c r="C16" s="1">
        <v>0.89770000000000005</v>
      </c>
      <c r="D16" s="1">
        <v>0.13070000000000001</v>
      </c>
    </row>
    <row r="17" spans="1:6" x14ac:dyDescent="0.3">
      <c r="A17">
        <v>2015</v>
      </c>
      <c r="B17" s="1">
        <v>12.7967</v>
      </c>
      <c r="C17" s="1">
        <v>1.0089999999999999</v>
      </c>
      <c r="D17" s="1">
        <v>0.1479</v>
      </c>
    </row>
    <row r="18" spans="1:6" x14ac:dyDescent="0.3">
      <c r="A18">
        <v>2016</v>
      </c>
      <c r="B18" s="1">
        <v>13.9697</v>
      </c>
      <c r="C18" s="1">
        <v>1.2343</v>
      </c>
      <c r="D18" s="1">
        <v>0.14000000000000001</v>
      </c>
    </row>
    <row r="19" spans="1:6" x14ac:dyDescent="0.3">
      <c r="A19">
        <v>2017</v>
      </c>
      <c r="B19" s="1">
        <v>14.853899999999999</v>
      </c>
      <c r="C19" s="1">
        <v>1.6027</v>
      </c>
      <c r="D19" s="1">
        <v>0.12759999999999999</v>
      </c>
      <c r="F19" s="6"/>
    </row>
    <row r="20" spans="1:6" x14ac:dyDescent="0.3">
      <c r="A20">
        <v>2018</v>
      </c>
      <c r="B20" s="1">
        <v>16.3169</v>
      </c>
      <c r="C20" s="1">
        <v>2.0049999999999999</v>
      </c>
      <c r="D20" s="1">
        <v>0.15221999999999999</v>
      </c>
    </row>
    <row r="21" spans="1:6" x14ac:dyDescent="0.3">
      <c r="A21">
        <v>2019</v>
      </c>
      <c r="B21" s="1">
        <v>18.026700000000002</v>
      </c>
      <c r="C21" s="1">
        <v>1.8435999999999999</v>
      </c>
      <c r="D21" s="1">
        <v>0.16566</v>
      </c>
    </row>
    <row r="22" spans="1:6" x14ac:dyDescent="0.3">
      <c r="A22">
        <v>2020</v>
      </c>
      <c r="B22" s="1">
        <v>20.348500000000001</v>
      </c>
      <c r="C22" s="1">
        <v>2.0059</v>
      </c>
      <c r="D22" s="1">
        <v>0.19766</v>
      </c>
    </row>
    <row r="23" spans="1:6" x14ac:dyDescent="0.3">
      <c r="A23">
        <v>2021</v>
      </c>
      <c r="B23" s="1">
        <v>21.783100000000001</v>
      </c>
      <c r="C23" s="1">
        <v>2.31995</v>
      </c>
      <c r="D23" s="1">
        <v>0.24632999999999999</v>
      </c>
    </row>
    <row r="24" spans="1:6" x14ac:dyDescent="0.3">
      <c r="A24">
        <v>2022</v>
      </c>
      <c r="B24" s="1">
        <v>22.818999999999999</v>
      </c>
      <c r="C24" s="1">
        <v>2.20783</v>
      </c>
      <c r="D24" s="1">
        <v>0.22547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EA185-11F5-4A8C-8B7D-7C0ADB6DB660}">
  <dimension ref="A1:O61"/>
  <sheetViews>
    <sheetView topLeftCell="C1" zoomScale="70" zoomScaleNormal="70" workbookViewId="0">
      <selection activeCell="O22" sqref="O22"/>
    </sheetView>
  </sheetViews>
  <sheetFormatPr defaultColWidth="8.83203125" defaultRowHeight="14" x14ac:dyDescent="0.3"/>
  <cols>
    <col min="1" max="1" width="5.1640625" bestFit="1" customWidth="1"/>
    <col min="2" max="2" width="22.08203125" bestFit="1" customWidth="1"/>
    <col min="3" max="3" width="13.33203125" bestFit="1" customWidth="1"/>
    <col min="4" max="6" width="12.33203125" bestFit="1" customWidth="1"/>
    <col min="7" max="7" width="14.75" bestFit="1" customWidth="1"/>
    <col min="8" max="8" width="17.5" bestFit="1" customWidth="1"/>
    <col min="10" max="10" width="10.83203125" bestFit="1" customWidth="1"/>
    <col min="11" max="11" width="22.08203125" bestFit="1" customWidth="1"/>
    <col min="12" max="12" width="19.1640625" bestFit="1" customWidth="1"/>
    <col min="13" max="13" width="8.08203125" bestFit="1" customWidth="1"/>
    <col min="14" max="15" width="12.332031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5</v>
      </c>
    </row>
    <row r="2" spans="1:15" x14ac:dyDescent="0.3">
      <c r="A2">
        <v>2000</v>
      </c>
      <c r="B2" s="1">
        <f t="shared" ref="B2:B24" si="0">M38</f>
        <v>7681.8422621831796</v>
      </c>
      <c r="C2" s="1">
        <f t="shared" ref="C2:C24" si="1">$C$42</f>
        <v>204.25488218317901</v>
      </c>
      <c r="D2" s="1">
        <f t="shared" ref="D2:D24" si="2">$C$41</f>
        <v>42278.498209999998</v>
      </c>
      <c r="F2" s="1"/>
      <c r="G2" s="1"/>
      <c r="H2" s="1"/>
      <c r="I2" s="2"/>
    </row>
    <row r="3" spans="1:15" x14ac:dyDescent="0.3">
      <c r="A3">
        <v>2001</v>
      </c>
      <c r="B3" s="1">
        <f t="shared" si="0"/>
        <v>7681.8422621831796</v>
      </c>
      <c r="C3" s="1">
        <f t="shared" si="1"/>
        <v>204.25488218317901</v>
      </c>
      <c r="D3" s="1">
        <f t="shared" si="2"/>
        <v>42278.498209999998</v>
      </c>
      <c r="H3" s="1"/>
      <c r="I3" s="1"/>
      <c r="K3">
        <f>(K26-K11)/(J26-J11)</f>
        <v>-6.6000000000000003E-2</v>
      </c>
      <c r="L3">
        <f>(L26-L20)/(J26-J20)</f>
        <v>2.75E-2</v>
      </c>
      <c r="M3">
        <f>L3</f>
        <v>2.75E-2</v>
      </c>
      <c r="N3">
        <f>(N26+N11)/(J26-J11)</f>
        <v>3.6400365110863662E-2</v>
      </c>
      <c r="O3">
        <f>(O26-O11)/(J26-J11)</f>
        <v>7.5996348891363332E-3</v>
      </c>
    </row>
    <row r="4" spans="1:15" x14ac:dyDescent="0.3">
      <c r="A4">
        <v>2002</v>
      </c>
      <c r="B4" s="1">
        <f t="shared" si="0"/>
        <v>7681.8422621831796</v>
      </c>
      <c r="C4" s="1">
        <f t="shared" si="1"/>
        <v>204.25488218317901</v>
      </c>
      <c r="D4" s="1">
        <f t="shared" si="2"/>
        <v>42278.498209999998</v>
      </c>
      <c r="H4" s="1"/>
      <c r="I4" s="1"/>
    </row>
    <row r="5" spans="1:15" x14ac:dyDescent="0.3">
      <c r="A5">
        <v>2003</v>
      </c>
      <c r="B5" s="1">
        <f t="shared" si="0"/>
        <v>7681.8422621831796</v>
      </c>
      <c r="C5" s="1">
        <f t="shared" si="1"/>
        <v>204.25488218317901</v>
      </c>
      <c r="D5" s="1">
        <f t="shared" si="2"/>
        <v>42278.498209999998</v>
      </c>
      <c r="H5" s="1"/>
      <c r="I5" s="1"/>
      <c r="K5" t="s">
        <v>19</v>
      </c>
      <c r="L5" t="s">
        <v>15</v>
      </c>
      <c r="M5" t="s">
        <v>16</v>
      </c>
      <c r="N5" t="s">
        <v>13</v>
      </c>
      <c r="O5" t="s">
        <v>14</v>
      </c>
    </row>
    <row r="6" spans="1:15" x14ac:dyDescent="0.3">
      <c r="A6">
        <v>2004</v>
      </c>
      <c r="B6" s="1">
        <f t="shared" si="0"/>
        <v>7681.8422621831796</v>
      </c>
      <c r="C6" s="1">
        <f t="shared" si="1"/>
        <v>204.25488218317901</v>
      </c>
      <c r="D6" s="1">
        <f t="shared" si="2"/>
        <v>42278.498209999998</v>
      </c>
      <c r="H6" s="1"/>
      <c r="I6" s="1"/>
      <c r="J6">
        <v>2000</v>
      </c>
      <c r="K6" s="6">
        <v>1</v>
      </c>
      <c r="L6" s="6">
        <v>0</v>
      </c>
      <c r="M6" s="6">
        <v>0</v>
      </c>
      <c r="N6" s="6">
        <v>0</v>
      </c>
      <c r="O6" s="6">
        <v>0</v>
      </c>
    </row>
    <row r="7" spans="1:15" x14ac:dyDescent="0.3">
      <c r="A7">
        <v>2005</v>
      </c>
      <c r="B7" s="1">
        <f t="shared" si="0"/>
        <v>7681.8422621831796</v>
      </c>
      <c r="C7" s="1">
        <f t="shared" si="1"/>
        <v>204.25488218317901</v>
      </c>
      <c r="D7" s="1">
        <f t="shared" si="2"/>
        <v>42278.498209999998</v>
      </c>
      <c r="H7" s="1"/>
      <c r="I7" s="1"/>
      <c r="J7">
        <v>2001</v>
      </c>
      <c r="K7" s="6">
        <v>1</v>
      </c>
      <c r="L7" s="6">
        <v>0</v>
      </c>
      <c r="M7" s="6">
        <v>0</v>
      </c>
      <c r="N7" s="6">
        <v>0</v>
      </c>
      <c r="O7" s="6">
        <v>0</v>
      </c>
    </row>
    <row r="8" spans="1:15" x14ac:dyDescent="0.3">
      <c r="A8">
        <v>2006</v>
      </c>
      <c r="B8" s="1">
        <f t="shared" si="0"/>
        <v>7190.3061469177046</v>
      </c>
      <c r="C8" s="1">
        <f t="shared" si="1"/>
        <v>204.25488218317901</v>
      </c>
      <c r="D8" s="1">
        <f t="shared" si="2"/>
        <v>42278.498209999998</v>
      </c>
      <c r="J8">
        <v>2002</v>
      </c>
      <c r="K8" s="6">
        <v>1</v>
      </c>
      <c r="L8" s="6">
        <v>0</v>
      </c>
      <c r="M8" s="6">
        <v>0</v>
      </c>
      <c r="N8" s="6">
        <v>0</v>
      </c>
      <c r="O8" s="6">
        <v>0</v>
      </c>
    </row>
    <row r="9" spans="1:15" x14ac:dyDescent="0.3">
      <c r="A9">
        <v>2007</v>
      </c>
      <c r="B9" s="1">
        <f t="shared" si="0"/>
        <v>6698.7700316522296</v>
      </c>
      <c r="C9" s="1">
        <f t="shared" si="1"/>
        <v>204.25488218317901</v>
      </c>
      <c r="D9" s="1">
        <f t="shared" si="2"/>
        <v>42278.498209999998</v>
      </c>
      <c r="J9">
        <v>2003</v>
      </c>
      <c r="K9" s="6">
        <v>1</v>
      </c>
      <c r="L9" s="6">
        <v>0</v>
      </c>
      <c r="M9" s="6">
        <v>0</v>
      </c>
      <c r="N9" s="6">
        <v>0</v>
      </c>
      <c r="O9" s="6">
        <v>0</v>
      </c>
    </row>
    <row r="10" spans="1:15" x14ac:dyDescent="0.3">
      <c r="A10">
        <v>2008</v>
      </c>
      <c r="B10" s="1">
        <f t="shared" si="0"/>
        <v>6207.2339163867546</v>
      </c>
      <c r="C10" s="1">
        <f t="shared" si="1"/>
        <v>204.25488218317901</v>
      </c>
      <c r="D10" s="1">
        <f t="shared" si="2"/>
        <v>42278.498209999998</v>
      </c>
      <c r="J10">
        <v>2004</v>
      </c>
      <c r="K10" s="6">
        <v>1</v>
      </c>
      <c r="L10" s="6">
        <v>0</v>
      </c>
      <c r="M10" s="6">
        <v>0</v>
      </c>
      <c r="N10" s="6">
        <v>0</v>
      </c>
      <c r="O10" s="6">
        <v>0</v>
      </c>
    </row>
    <row r="11" spans="1:15" x14ac:dyDescent="0.3">
      <c r="A11">
        <v>2009</v>
      </c>
      <c r="B11" s="1">
        <f t="shared" si="0"/>
        <v>5715.6978011212796</v>
      </c>
      <c r="C11" s="1">
        <f t="shared" si="1"/>
        <v>204.25488218317901</v>
      </c>
      <c r="D11" s="1">
        <f t="shared" si="2"/>
        <v>42278.498209999998</v>
      </c>
      <c r="J11">
        <v>2005</v>
      </c>
      <c r="K11" s="6">
        <v>1</v>
      </c>
      <c r="L11" s="6">
        <v>0</v>
      </c>
      <c r="M11" s="6">
        <v>0</v>
      </c>
      <c r="N11" s="6">
        <v>0</v>
      </c>
      <c r="O11" s="6">
        <v>0</v>
      </c>
    </row>
    <row r="12" spans="1:15" x14ac:dyDescent="0.3">
      <c r="A12">
        <v>2010</v>
      </c>
      <c r="B12" s="1">
        <f t="shared" si="0"/>
        <v>5224.1616858558045</v>
      </c>
      <c r="C12" s="1">
        <f t="shared" si="1"/>
        <v>204.25488218317901</v>
      </c>
      <c r="D12" s="1">
        <f t="shared" si="2"/>
        <v>42278.498209999998</v>
      </c>
      <c r="J12">
        <v>2006</v>
      </c>
      <c r="K12" s="6">
        <f t="shared" ref="K12:K25" si="3">K11+$K$3</f>
        <v>0.93399999999999994</v>
      </c>
      <c r="L12" s="6">
        <v>0</v>
      </c>
      <c r="M12" s="6">
        <v>0</v>
      </c>
      <c r="N12" s="6">
        <f t="shared" ref="N12:N25" si="4">N11+$N$3</f>
        <v>3.6400365110863662E-2</v>
      </c>
      <c r="O12" s="6">
        <f t="shared" ref="O12:O25" si="5">O11+$O$3</f>
        <v>7.5996348891363332E-3</v>
      </c>
    </row>
    <row r="13" spans="1:15" x14ac:dyDescent="0.3">
      <c r="A13">
        <v>2011</v>
      </c>
      <c r="B13" s="1">
        <f t="shared" si="0"/>
        <v>4732.6255705903295</v>
      </c>
      <c r="C13" s="1">
        <f t="shared" si="1"/>
        <v>204.25488218317901</v>
      </c>
      <c r="D13" s="1">
        <f t="shared" si="2"/>
        <v>42278.498209999998</v>
      </c>
      <c r="J13">
        <v>2007</v>
      </c>
      <c r="K13" s="6">
        <f t="shared" si="3"/>
        <v>0.86799999999999988</v>
      </c>
      <c r="L13" s="6">
        <v>0</v>
      </c>
      <c r="M13" s="6">
        <v>0</v>
      </c>
      <c r="N13" s="6">
        <f t="shared" si="4"/>
        <v>7.2800730221727325E-2</v>
      </c>
      <c r="O13" s="6">
        <f t="shared" si="5"/>
        <v>1.5199269778272666E-2</v>
      </c>
    </row>
    <row r="14" spans="1:15" x14ac:dyDescent="0.3">
      <c r="A14">
        <v>2012</v>
      </c>
      <c r="B14" s="1">
        <f t="shared" si="0"/>
        <v>4241.0894553248545</v>
      </c>
      <c r="C14" s="1">
        <f t="shared" si="1"/>
        <v>204.25488218317901</v>
      </c>
      <c r="D14" s="1">
        <f t="shared" si="2"/>
        <v>42278.498209999998</v>
      </c>
      <c r="J14">
        <v>2008</v>
      </c>
      <c r="K14" s="6">
        <f t="shared" si="3"/>
        <v>0.80199999999999982</v>
      </c>
      <c r="L14" s="6">
        <v>0</v>
      </c>
      <c r="M14" s="6">
        <v>0</v>
      </c>
      <c r="N14" s="6">
        <f t="shared" si="4"/>
        <v>0.10920109533259098</v>
      </c>
      <c r="O14" s="6">
        <f t="shared" si="5"/>
        <v>2.2798904667408998E-2</v>
      </c>
    </row>
    <row r="15" spans="1:15" x14ac:dyDescent="0.3">
      <c r="A15">
        <v>2013</v>
      </c>
      <c r="B15" s="1">
        <f t="shared" si="0"/>
        <v>3749.5533400593795</v>
      </c>
      <c r="C15" s="1">
        <f t="shared" si="1"/>
        <v>204.25488218317901</v>
      </c>
      <c r="D15" s="1">
        <f t="shared" si="2"/>
        <v>42278.498209999998</v>
      </c>
      <c r="J15">
        <v>2009</v>
      </c>
      <c r="K15" s="6">
        <f t="shared" si="3"/>
        <v>0.73599999999999977</v>
      </c>
      <c r="L15" s="6">
        <v>0</v>
      </c>
      <c r="M15" s="6">
        <v>0</v>
      </c>
      <c r="N15" s="6">
        <f t="shared" si="4"/>
        <v>0.14560146044345465</v>
      </c>
      <c r="O15" s="6">
        <f t="shared" si="5"/>
        <v>3.0398539556545333E-2</v>
      </c>
    </row>
    <row r="16" spans="1:15" x14ac:dyDescent="0.3">
      <c r="A16">
        <v>2014</v>
      </c>
      <c r="B16" s="1">
        <f t="shared" si="0"/>
        <v>3258.0172247939049</v>
      </c>
      <c r="C16" s="1">
        <f t="shared" si="1"/>
        <v>204.25488218317901</v>
      </c>
      <c r="D16" s="1">
        <f t="shared" si="2"/>
        <v>42278.498209999998</v>
      </c>
      <c r="J16">
        <v>2010</v>
      </c>
      <c r="K16" s="6">
        <f t="shared" si="3"/>
        <v>0.66999999999999971</v>
      </c>
      <c r="L16" s="6">
        <v>0</v>
      </c>
      <c r="M16" s="6">
        <v>0</v>
      </c>
      <c r="N16" s="6">
        <f t="shared" si="4"/>
        <v>0.18200182555431832</v>
      </c>
      <c r="O16" s="6">
        <f t="shared" si="5"/>
        <v>3.7998174445681668E-2</v>
      </c>
    </row>
    <row r="17" spans="1:15" x14ac:dyDescent="0.3">
      <c r="A17">
        <v>2015</v>
      </c>
      <c r="B17" s="1">
        <f t="shared" si="0"/>
        <v>2778.1849303485051</v>
      </c>
      <c r="C17" s="1">
        <f t="shared" si="1"/>
        <v>204.25488218317901</v>
      </c>
      <c r="D17" s="1">
        <f t="shared" si="2"/>
        <v>42278.498209999998</v>
      </c>
      <c r="J17">
        <v>2011</v>
      </c>
      <c r="K17" s="6">
        <f t="shared" si="3"/>
        <v>0.60399999999999965</v>
      </c>
      <c r="L17" s="6">
        <v>0</v>
      </c>
      <c r="M17" s="6">
        <v>0</v>
      </c>
      <c r="N17" s="6">
        <f t="shared" si="4"/>
        <v>0.21840219066518199</v>
      </c>
      <c r="O17" s="6">
        <f t="shared" si="5"/>
        <v>4.5597809334818003E-2</v>
      </c>
    </row>
    <row r="18" spans="1:15" x14ac:dyDescent="0.3">
      <c r="A18">
        <v>2016</v>
      </c>
      <c r="B18" s="1">
        <f t="shared" si="0"/>
        <v>2298.3526359031057</v>
      </c>
      <c r="C18" s="1">
        <f t="shared" si="1"/>
        <v>204.25488218317901</v>
      </c>
      <c r="D18" s="1">
        <f t="shared" si="2"/>
        <v>42278.498209999998</v>
      </c>
      <c r="J18">
        <v>2012</v>
      </c>
      <c r="K18" s="6">
        <f t="shared" si="3"/>
        <v>0.53799999999999959</v>
      </c>
      <c r="L18" s="6">
        <v>0</v>
      </c>
      <c r="M18" s="6">
        <v>0</v>
      </c>
      <c r="N18" s="6">
        <f t="shared" si="4"/>
        <v>0.25480255577604566</v>
      </c>
      <c r="O18" s="6">
        <f t="shared" si="5"/>
        <v>5.3197444223954338E-2</v>
      </c>
    </row>
    <row r="19" spans="1:15" x14ac:dyDescent="0.3">
      <c r="A19">
        <v>2017</v>
      </c>
      <c r="B19" s="1">
        <f t="shared" si="0"/>
        <v>1818.5203414577056</v>
      </c>
      <c r="C19" s="1">
        <f t="shared" si="1"/>
        <v>204.25488218317901</v>
      </c>
      <c r="D19" s="1">
        <f t="shared" si="2"/>
        <v>42278.498209999998</v>
      </c>
      <c r="J19">
        <v>2013</v>
      </c>
      <c r="K19" s="6">
        <f t="shared" si="3"/>
        <v>0.47199999999999959</v>
      </c>
      <c r="L19" s="6">
        <v>0</v>
      </c>
      <c r="M19" s="6">
        <v>0</v>
      </c>
      <c r="N19" s="6">
        <f t="shared" si="4"/>
        <v>0.2912029208869093</v>
      </c>
      <c r="O19" s="6">
        <f t="shared" si="5"/>
        <v>6.0797079113090673E-2</v>
      </c>
    </row>
    <row r="20" spans="1:15" x14ac:dyDescent="0.3">
      <c r="A20">
        <v>2018</v>
      </c>
      <c r="B20" s="1">
        <f t="shared" si="0"/>
        <v>1338.6880470123056</v>
      </c>
      <c r="C20" s="1">
        <f t="shared" si="1"/>
        <v>204.25488218317901</v>
      </c>
      <c r="D20" s="1">
        <f t="shared" si="2"/>
        <v>42278.498209999998</v>
      </c>
      <c r="J20">
        <v>2014</v>
      </c>
      <c r="K20" s="6">
        <f t="shared" si="3"/>
        <v>0.40599999999999958</v>
      </c>
      <c r="L20" s="6">
        <v>0</v>
      </c>
      <c r="M20" s="6">
        <v>0</v>
      </c>
      <c r="N20" s="6">
        <f t="shared" si="4"/>
        <v>0.32760328599777294</v>
      </c>
      <c r="O20" s="6">
        <f t="shared" si="5"/>
        <v>6.8396714002227008E-2</v>
      </c>
    </row>
    <row r="21" spans="1:15" x14ac:dyDescent="0.3">
      <c r="A21">
        <v>2019</v>
      </c>
      <c r="B21" s="1">
        <f t="shared" si="0"/>
        <v>858.85575256690595</v>
      </c>
      <c r="C21" s="1">
        <f t="shared" si="1"/>
        <v>204.25488218317901</v>
      </c>
      <c r="D21" s="1">
        <f t="shared" si="2"/>
        <v>42278.498209999998</v>
      </c>
      <c r="J21" s="4">
        <v>2015</v>
      </c>
      <c r="K21" s="6">
        <f t="shared" si="3"/>
        <v>0.33999999999999958</v>
      </c>
      <c r="L21" s="6">
        <f t="shared" ref="L21:M25" si="6">L20+$L$3</f>
        <v>2.75E-2</v>
      </c>
      <c r="M21" s="6">
        <f t="shared" si="6"/>
        <v>2.75E-2</v>
      </c>
      <c r="N21" s="6">
        <f t="shared" si="4"/>
        <v>0.36400365110863658</v>
      </c>
      <c r="O21" s="6">
        <f t="shared" si="5"/>
        <v>7.5996348891363336E-2</v>
      </c>
    </row>
    <row r="22" spans="1:15" x14ac:dyDescent="0.3">
      <c r="A22">
        <v>2020</v>
      </c>
      <c r="B22" s="1">
        <f t="shared" si="0"/>
        <v>342.19608805538473</v>
      </c>
      <c r="C22" s="1">
        <f t="shared" si="1"/>
        <v>204.25488218317901</v>
      </c>
      <c r="D22" s="1">
        <f t="shared" si="2"/>
        <v>42278.498209999998</v>
      </c>
      <c r="J22">
        <v>2016</v>
      </c>
      <c r="K22" s="6">
        <f t="shared" si="3"/>
        <v>0.27399999999999958</v>
      </c>
      <c r="L22" s="6">
        <f t="shared" si="6"/>
        <v>5.5E-2</v>
      </c>
      <c r="M22" s="6">
        <f t="shared" si="6"/>
        <v>5.5E-2</v>
      </c>
      <c r="N22" s="6">
        <f t="shared" si="4"/>
        <v>0.40040401621950023</v>
      </c>
      <c r="O22" s="6">
        <f t="shared" si="5"/>
        <v>8.3595983780499664E-2</v>
      </c>
    </row>
    <row r="23" spans="1:15" x14ac:dyDescent="0.3">
      <c r="A23">
        <v>2021</v>
      </c>
      <c r="B23" s="1">
        <f t="shared" si="0"/>
        <v>342.19608805538473</v>
      </c>
      <c r="C23" s="1">
        <f t="shared" si="1"/>
        <v>204.25488218317901</v>
      </c>
      <c r="D23" s="1">
        <f t="shared" si="2"/>
        <v>42278.498209999998</v>
      </c>
      <c r="J23">
        <v>2017</v>
      </c>
      <c r="K23" s="6">
        <f t="shared" si="3"/>
        <v>0.20799999999999957</v>
      </c>
      <c r="L23" s="6">
        <f t="shared" si="6"/>
        <v>8.2500000000000004E-2</v>
      </c>
      <c r="M23" s="6">
        <f t="shared" si="6"/>
        <v>8.2500000000000004E-2</v>
      </c>
      <c r="N23" s="6">
        <f t="shared" si="4"/>
        <v>0.43680438133036387</v>
      </c>
      <c r="O23" s="6">
        <f t="shared" si="5"/>
        <v>9.1195618669635992E-2</v>
      </c>
    </row>
    <row r="24" spans="1:15" x14ac:dyDescent="0.3">
      <c r="A24">
        <v>2022</v>
      </c>
      <c r="B24" s="1">
        <f t="shared" si="0"/>
        <v>323.78240302232246</v>
      </c>
      <c r="C24" s="1">
        <f t="shared" si="1"/>
        <v>204.25488218317901</v>
      </c>
      <c r="D24" s="1">
        <f t="shared" si="2"/>
        <v>42278.498209999998</v>
      </c>
      <c r="J24">
        <v>2018</v>
      </c>
      <c r="K24" s="6">
        <f t="shared" si="3"/>
        <v>0.14199999999999957</v>
      </c>
      <c r="L24" s="6">
        <f t="shared" si="6"/>
        <v>0.11</v>
      </c>
      <c r="M24" s="6">
        <f t="shared" si="6"/>
        <v>0.11</v>
      </c>
      <c r="N24" s="6">
        <f t="shared" si="4"/>
        <v>0.47320474644122751</v>
      </c>
      <c r="O24" s="6">
        <f t="shared" si="5"/>
        <v>9.879525355877232E-2</v>
      </c>
    </row>
    <row r="25" spans="1:15" x14ac:dyDescent="0.3">
      <c r="J25">
        <v>2019</v>
      </c>
      <c r="K25" s="7">
        <f t="shared" si="3"/>
        <v>7.5999999999999568E-2</v>
      </c>
      <c r="L25" s="7">
        <f t="shared" si="6"/>
        <v>0.13750000000000001</v>
      </c>
      <c r="M25" s="7">
        <f t="shared" si="6"/>
        <v>0.13750000000000001</v>
      </c>
      <c r="N25" s="7">
        <f t="shared" si="4"/>
        <v>0.50960511155209121</v>
      </c>
      <c r="O25" s="7">
        <f t="shared" si="5"/>
        <v>0.10639488844790865</v>
      </c>
    </row>
    <row r="26" spans="1:15" x14ac:dyDescent="0.3">
      <c r="J26">
        <v>2020</v>
      </c>
      <c r="K26" s="7">
        <v>0.01</v>
      </c>
      <c r="L26" s="7">
        <v>0.16500000000000001</v>
      </c>
      <c r="M26" s="7">
        <v>0.16500000000000001</v>
      </c>
      <c r="N26" s="7">
        <v>0.54600547666295496</v>
      </c>
      <c r="O26" s="7">
        <v>0.113994523337045</v>
      </c>
    </row>
    <row r="27" spans="1:15" x14ac:dyDescent="0.3">
      <c r="J27">
        <v>2021</v>
      </c>
      <c r="K27" s="7">
        <v>0.01</v>
      </c>
      <c r="L27" s="7">
        <v>0.16500000000000001</v>
      </c>
      <c r="M27" s="7">
        <v>0.16500000000000001</v>
      </c>
      <c r="N27" s="7">
        <v>0.54600547666295496</v>
      </c>
      <c r="O27" s="7">
        <v>0.113994523337045</v>
      </c>
    </row>
    <row r="28" spans="1:15" x14ac:dyDescent="0.3">
      <c r="J28">
        <v>2022</v>
      </c>
      <c r="K28" s="7">
        <v>0.01</v>
      </c>
      <c r="L28" s="7">
        <v>0.16500000000000001</v>
      </c>
      <c r="M28" s="7">
        <v>0.16500000000000001</v>
      </c>
      <c r="N28" s="7">
        <v>0.54600547666295496</v>
      </c>
      <c r="O28" s="7">
        <v>0.113994523337045</v>
      </c>
    </row>
    <row r="29" spans="1:15" x14ac:dyDescent="0.3">
      <c r="K29" s="6"/>
      <c r="L29" s="6"/>
      <c r="M29" s="6"/>
      <c r="N29" s="6"/>
      <c r="O29" s="6"/>
    </row>
    <row r="30" spans="1:15" x14ac:dyDescent="0.3">
      <c r="K30" t="s">
        <v>20</v>
      </c>
      <c r="L30" t="s">
        <v>21</v>
      </c>
      <c r="M30" s="6"/>
      <c r="N30" s="6"/>
      <c r="O30" s="6"/>
    </row>
    <row r="31" spans="1:15" x14ac:dyDescent="0.3">
      <c r="B31" t="s">
        <v>19</v>
      </c>
      <c r="C31" t="s">
        <v>13</v>
      </c>
      <c r="D31" t="s">
        <v>14</v>
      </c>
      <c r="E31" t="s">
        <v>15</v>
      </c>
      <c r="F31" t="s">
        <v>16</v>
      </c>
      <c r="G31" t="s">
        <v>17</v>
      </c>
      <c r="H31" t="s">
        <v>18</v>
      </c>
      <c r="J31" t="s">
        <v>22</v>
      </c>
      <c r="K31" s="6">
        <v>1</v>
      </c>
      <c r="L31" s="6">
        <v>0</v>
      </c>
      <c r="M31" s="6"/>
      <c r="N31" s="6"/>
      <c r="O31" s="6"/>
    </row>
    <row r="32" spans="1:15" x14ac:dyDescent="0.3">
      <c r="B32">
        <v>7681.8422621831796</v>
      </c>
      <c r="C32">
        <v>204.2676221831789</v>
      </c>
      <c r="D32">
        <v>1056.6373421831788</v>
      </c>
      <c r="E32">
        <v>280.74025218317888</v>
      </c>
      <c r="F32">
        <v>144.85323218317899</v>
      </c>
      <c r="G32" s="5">
        <v>42278.498209999998</v>
      </c>
      <c r="H32" s="5">
        <v>204.25488218317901</v>
      </c>
      <c r="J32">
        <v>2020</v>
      </c>
      <c r="K32" s="6">
        <v>0.95</v>
      </c>
      <c r="L32" s="6">
        <v>0.05</v>
      </c>
      <c r="M32" s="6"/>
      <c r="N32" s="6"/>
      <c r="O32" s="6"/>
    </row>
    <row r="33" spans="2:15" x14ac:dyDescent="0.3">
      <c r="J33">
        <v>2021</v>
      </c>
      <c r="K33" s="6">
        <v>0.95</v>
      </c>
      <c r="L33" s="6">
        <v>0.05</v>
      </c>
      <c r="M33" s="6"/>
      <c r="N33" s="6"/>
      <c r="O33" s="6"/>
    </row>
    <row r="34" spans="2:15" x14ac:dyDescent="0.3">
      <c r="D34" s="1"/>
      <c r="E34" s="1"/>
      <c r="J34">
        <v>2022</v>
      </c>
      <c r="K34" s="6">
        <v>0.92500000000000004</v>
      </c>
      <c r="L34" s="6">
        <v>7.4999999999999997E-2</v>
      </c>
      <c r="M34" s="6"/>
      <c r="N34" s="6"/>
      <c r="O34" s="6"/>
    </row>
    <row r="35" spans="2:15" x14ac:dyDescent="0.3">
      <c r="B35" t="s">
        <v>20</v>
      </c>
      <c r="D35" s="1"/>
      <c r="E35" s="1"/>
      <c r="K35" s="6"/>
      <c r="L35" s="6"/>
      <c r="M35" s="6"/>
      <c r="N35" s="6"/>
      <c r="O35" s="6"/>
    </row>
    <row r="36" spans="2:15" x14ac:dyDescent="0.3">
      <c r="B36" t="s">
        <v>19</v>
      </c>
      <c r="C36">
        <v>7681.8422621831796</v>
      </c>
      <c r="D36" s="1"/>
      <c r="E36" s="1"/>
      <c r="K36" s="6"/>
      <c r="L36" s="6"/>
      <c r="M36" s="6"/>
      <c r="N36" s="6"/>
      <c r="O36" s="6"/>
    </row>
    <row r="37" spans="2:15" x14ac:dyDescent="0.3">
      <c r="B37" t="s">
        <v>13</v>
      </c>
      <c r="C37">
        <v>204.2676221831789</v>
      </c>
      <c r="D37" s="1"/>
      <c r="E37" s="1"/>
      <c r="K37" t="s">
        <v>20</v>
      </c>
      <c r="L37" t="s">
        <v>21</v>
      </c>
      <c r="M37" s="6" t="s">
        <v>11</v>
      </c>
      <c r="N37" s="6"/>
      <c r="O37" s="6"/>
    </row>
    <row r="38" spans="2:15" x14ac:dyDescent="0.3">
      <c r="B38" t="s">
        <v>14</v>
      </c>
      <c r="C38">
        <v>1056.6373421831788</v>
      </c>
      <c r="D38" s="1"/>
      <c r="E38" s="1"/>
      <c r="J38">
        <v>2000</v>
      </c>
      <c r="K38" s="6">
        <f t="shared" ref="K38:K57" si="7">B$32*K6+C$32*N6+D$32*O6+E$32*L6+F$32*M6</f>
        <v>7681.8422621831796</v>
      </c>
      <c r="L38" s="6">
        <v>0</v>
      </c>
      <c r="M38" s="6">
        <f>K38</f>
        <v>7681.8422621831796</v>
      </c>
      <c r="N38" s="6"/>
      <c r="O38" s="6"/>
    </row>
    <row r="39" spans="2:15" ht="15.5" x14ac:dyDescent="0.35">
      <c r="B39" t="s">
        <v>15</v>
      </c>
      <c r="C39">
        <v>280.74025218317888</v>
      </c>
      <c r="D39" s="1"/>
      <c r="E39" s="1"/>
      <c r="J39" s="3">
        <v>2001</v>
      </c>
      <c r="K39" s="6">
        <f t="shared" si="7"/>
        <v>7681.8422621831796</v>
      </c>
      <c r="L39" s="6">
        <v>0</v>
      </c>
      <c r="M39" s="6">
        <f t="shared" ref="M39:M57" si="8">K39</f>
        <v>7681.8422621831796</v>
      </c>
      <c r="N39" s="6"/>
      <c r="O39" s="6"/>
    </row>
    <row r="40" spans="2:15" ht="15.5" x14ac:dyDescent="0.35">
      <c r="B40" t="s">
        <v>16</v>
      </c>
      <c r="C40">
        <v>144.85323218317899</v>
      </c>
      <c r="D40" s="1"/>
      <c r="E40" s="1"/>
      <c r="J40" s="3">
        <v>2002</v>
      </c>
      <c r="K40" s="6">
        <f t="shared" si="7"/>
        <v>7681.8422621831796</v>
      </c>
      <c r="L40" s="6">
        <v>0</v>
      </c>
      <c r="M40" s="6">
        <f t="shared" si="8"/>
        <v>7681.8422621831796</v>
      </c>
      <c r="N40" s="6"/>
      <c r="O40" s="6"/>
    </row>
    <row r="41" spans="2:15" ht="15.5" x14ac:dyDescent="0.35">
      <c r="B41" t="s">
        <v>17</v>
      </c>
      <c r="C41" s="5">
        <v>42278.498209999998</v>
      </c>
      <c r="D41" s="1"/>
      <c r="E41" s="1"/>
      <c r="J41" s="3">
        <v>2003</v>
      </c>
      <c r="K41" s="6">
        <f t="shared" si="7"/>
        <v>7681.8422621831796</v>
      </c>
      <c r="L41" s="6">
        <v>0</v>
      </c>
      <c r="M41" s="6">
        <f t="shared" si="8"/>
        <v>7681.8422621831796</v>
      </c>
      <c r="N41" s="6"/>
      <c r="O41" s="6"/>
    </row>
    <row r="42" spans="2:15" ht="15.5" x14ac:dyDescent="0.35">
      <c r="B42" t="s">
        <v>18</v>
      </c>
      <c r="C42" s="5">
        <v>204.25488218317901</v>
      </c>
      <c r="D42" s="1"/>
      <c r="E42" s="1"/>
      <c r="J42" s="3">
        <v>2004</v>
      </c>
      <c r="K42" s="6">
        <f t="shared" si="7"/>
        <v>7681.8422621831796</v>
      </c>
      <c r="L42" s="6">
        <v>0</v>
      </c>
      <c r="M42" s="6">
        <f t="shared" si="8"/>
        <v>7681.8422621831796</v>
      </c>
      <c r="N42" s="6"/>
      <c r="O42" s="6"/>
    </row>
    <row r="43" spans="2:15" ht="15.5" x14ac:dyDescent="0.35">
      <c r="D43" s="1"/>
      <c r="E43" s="1"/>
      <c r="J43" s="3">
        <v>2005</v>
      </c>
      <c r="K43" s="6">
        <f t="shared" si="7"/>
        <v>7681.8422621831796</v>
      </c>
      <c r="L43" s="6">
        <v>0</v>
      </c>
      <c r="M43" s="6">
        <f t="shared" si="8"/>
        <v>7681.8422621831796</v>
      </c>
      <c r="N43" s="6"/>
      <c r="O43" s="6"/>
    </row>
    <row r="44" spans="2:15" ht="15.5" x14ac:dyDescent="0.35">
      <c r="B44" t="s">
        <v>21</v>
      </c>
      <c r="D44" s="1"/>
      <c r="E44" s="1"/>
      <c r="J44" s="3">
        <v>2006</v>
      </c>
      <c r="K44" s="6">
        <f t="shared" si="7"/>
        <v>7190.3061469177046</v>
      </c>
      <c r="L44" s="6">
        <v>0</v>
      </c>
      <c r="M44" s="6">
        <f t="shared" si="8"/>
        <v>7190.3061469177046</v>
      </c>
      <c r="N44" s="6"/>
      <c r="O44" s="6"/>
    </row>
    <row r="45" spans="2:15" ht="15.5" x14ac:dyDescent="0.35">
      <c r="B45" t="s">
        <v>6</v>
      </c>
      <c r="C45">
        <v>3363.2352921831789</v>
      </c>
      <c r="D45" s="1"/>
      <c r="E45" s="1"/>
      <c r="J45" s="3">
        <v>2007</v>
      </c>
      <c r="K45" s="6">
        <f t="shared" si="7"/>
        <v>6698.7700316522296</v>
      </c>
      <c r="L45" s="6">
        <v>0</v>
      </c>
      <c r="M45" s="6">
        <f t="shared" si="8"/>
        <v>6698.7700316522296</v>
      </c>
      <c r="N45" s="6"/>
      <c r="O45" s="6"/>
    </row>
    <row r="46" spans="2:15" ht="15.5" x14ac:dyDescent="0.35">
      <c r="B46" t="s">
        <v>7</v>
      </c>
      <c r="C46">
        <v>-386.52787781682116</v>
      </c>
      <c r="D46" s="1"/>
      <c r="J46" s="3">
        <v>2008</v>
      </c>
      <c r="K46" s="6">
        <f t="shared" si="7"/>
        <v>6207.2339163867546</v>
      </c>
      <c r="L46" s="6">
        <v>0</v>
      </c>
      <c r="M46" s="6">
        <f t="shared" si="8"/>
        <v>6207.2339163867546</v>
      </c>
      <c r="N46" s="6"/>
      <c r="O46" s="6"/>
    </row>
    <row r="47" spans="2:15" ht="15.5" x14ac:dyDescent="0.35">
      <c r="B47" t="s">
        <v>8</v>
      </c>
      <c r="C47">
        <v>21.283262183179204</v>
      </c>
      <c r="J47" s="3">
        <v>2009</v>
      </c>
      <c r="K47" s="6">
        <f t="shared" si="7"/>
        <v>5715.6978011212796</v>
      </c>
      <c r="L47" s="6">
        <v>0</v>
      </c>
      <c r="M47" s="6">
        <f t="shared" si="8"/>
        <v>5715.6978011212796</v>
      </c>
      <c r="N47" s="6"/>
      <c r="O47" s="6"/>
    </row>
    <row r="48" spans="2:15" ht="15.5" x14ac:dyDescent="0.35">
      <c r="B48" t="s">
        <v>9</v>
      </c>
      <c r="C48">
        <v>-489.78569781682097</v>
      </c>
      <c r="J48" s="3">
        <v>2010</v>
      </c>
      <c r="K48" s="6">
        <f t="shared" si="7"/>
        <v>5224.1616858558045</v>
      </c>
      <c r="L48" s="6">
        <v>0</v>
      </c>
      <c r="M48" s="6">
        <f t="shared" si="8"/>
        <v>5224.1616858558045</v>
      </c>
      <c r="N48" s="6"/>
      <c r="O48" s="6"/>
    </row>
    <row r="49" spans="2:15" ht="15.5" x14ac:dyDescent="0.35">
      <c r="B49" t="s">
        <v>10</v>
      </c>
      <c r="C49">
        <v>-616.493897816821</v>
      </c>
      <c r="J49" s="3">
        <v>2011</v>
      </c>
      <c r="K49" s="6">
        <f t="shared" si="7"/>
        <v>4732.6255705903295</v>
      </c>
      <c r="L49" s="6">
        <v>0</v>
      </c>
      <c r="M49" s="6">
        <f t="shared" si="8"/>
        <v>4732.6255705903295</v>
      </c>
      <c r="N49" s="6"/>
      <c r="O49" s="6"/>
    </row>
    <row r="50" spans="2:15" ht="15.5" x14ac:dyDescent="0.35">
      <c r="J50" s="3">
        <v>2012</v>
      </c>
      <c r="K50" s="6">
        <f t="shared" si="7"/>
        <v>4241.0894553248545</v>
      </c>
      <c r="L50" s="6">
        <v>0</v>
      </c>
      <c r="M50" s="6">
        <f t="shared" si="8"/>
        <v>4241.0894553248545</v>
      </c>
      <c r="N50" s="6"/>
      <c r="O50" s="6"/>
    </row>
    <row r="51" spans="2:15" ht="15.5" x14ac:dyDescent="0.35">
      <c r="J51" s="3">
        <v>2013</v>
      </c>
      <c r="K51" s="6">
        <f t="shared" si="7"/>
        <v>3749.5533400593795</v>
      </c>
      <c r="L51" s="6">
        <v>0</v>
      </c>
      <c r="M51" s="6">
        <f t="shared" si="8"/>
        <v>3749.5533400593795</v>
      </c>
      <c r="N51" s="6"/>
      <c r="O51" s="6"/>
    </row>
    <row r="52" spans="2:15" ht="15.5" x14ac:dyDescent="0.35">
      <c r="J52" s="3">
        <v>2014</v>
      </c>
      <c r="K52" s="6">
        <f t="shared" si="7"/>
        <v>3258.0172247939049</v>
      </c>
      <c r="L52" s="6">
        <v>0</v>
      </c>
      <c r="M52" s="6">
        <f t="shared" si="8"/>
        <v>3258.0172247939049</v>
      </c>
      <c r="N52" s="6"/>
      <c r="O52" s="6"/>
    </row>
    <row r="53" spans="2:15" ht="15.5" x14ac:dyDescent="0.35">
      <c r="J53" s="3">
        <v>2015</v>
      </c>
      <c r="K53" s="6">
        <f t="shared" si="7"/>
        <v>2778.1849303485051</v>
      </c>
      <c r="L53" s="6">
        <v>0</v>
      </c>
      <c r="M53" s="6">
        <f t="shared" si="8"/>
        <v>2778.1849303485051</v>
      </c>
      <c r="N53" s="6"/>
      <c r="O53" s="6"/>
    </row>
    <row r="54" spans="2:15" ht="15.5" x14ac:dyDescent="0.35">
      <c r="J54" s="3">
        <v>2016</v>
      </c>
      <c r="K54" s="6">
        <f t="shared" si="7"/>
        <v>2298.3526359031057</v>
      </c>
      <c r="L54" s="6">
        <v>0</v>
      </c>
      <c r="M54" s="6">
        <f t="shared" si="8"/>
        <v>2298.3526359031057</v>
      </c>
      <c r="N54" s="6"/>
      <c r="O54" s="6"/>
    </row>
    <row r="55" spans="2:15" ht="15.5" x14ac:dyDescent="0.35">
      <c r="J55" s="3">
        <v>2017</v>
      </c>
      <c r="K55" s="6">
        <f t="shared" si="7"/>
        <v>1818.5203414577056</v>
      </c>
      <c r="L55" s="6">
        <v>0</v>
      </c>
      <c r="M55" s="6">
        <f t="shared" si="8"/>
        <v>1818.5203414577056</v>
      </c>
      <c r="N55" s="6"/>
      <c r="O55" s="6"/>
    </row>
    <row r="56" spans="2:15" ht="15.5" x14ac:dyDescent="0.35">
      <c r="J56" s="3">
        <v>2018</v>
      </c>
      <c r="K56" s="6">
        <f t="shared" si="7"/>
        <v>1338.6880470123056</v>
      </c>
      <c r="L56" s="6">
        <v>0</v>
      </c>
      <c r="M56" s="6">
        <f t="shared" si="8"/>
        <v>1338.6880470123056</v>
      </c>
      <c r="N56" s="6"/>
      <c r="O56" s="6"/>
    </row>
    <row r="57" spans="2:15" ht="15.5" x14ac:dyDescent="0.35">
      <c r="J57" s="3">
        <v>2019</v>
      </c>
      <c r="K57" s="6">
        <f t="shared" si="7"/>
        <v>858.85575256690595</v>
      </c>
      <c r="L57" s="6">
        <v>0</v>
      </c>
      <c r="M57" s="6">
        <f t="shared" si="8"/>
        <v>858.85575256690595</v>
      </c>
      <c r="N57" s="6"/>
      <c r="O57" s="6"/>
    </row>
    <row r="58" spans="2:15" ht="15.5" x14ac:dyDescent="0.35">
      <c r="J58" s="3">
        <v>2020</v>
      </c>
      <c r="K58" s="6">
        <f>(C36*K26+C37*N26+C38*O26+C39*L26+C40*M26)</f>
        <v>379.02345812150946</v>
      </c>
      <c r="L58" s="6">
        <f>C45*K26+C46*N26+C47*O26+C48*L26+C49*M26</f>
        <v>-357.52394320098415</v>
      </c>
      <c r="M58" s="6">
        <f>K58*K32+L32*L58</f>
        <v>342.19608805538473</v>
      </c>
      <c r="N58" s="6"/>
      <c r="O58" s="6"/>
    </row>
    <row r="59" spans="2:15" ht="15.5" x14ac:dyDescent="0.35">
      <c r="J59" s="3">
        <v>2021</v>
      </c>
      <c r="K59" s="6"/>
      <c r="L59" s="6"/>
      <c r="M59" s="6">
        <f>M58</f>
        <v>342.19608805538473</v>
      </c>
      <c r="N59" s="6"/>
      <c r="O59" s="6"/>
    </row>
    <row r="60" spans="2:15" ht="15.5" x14ac:dyDescent="0.35">
      <c r="J60" s="3">
        <v>2022</v>
      </c>
      <c r="K60" s="6"/>
      <c r="L60" s="6"/>
      <c r="M60" s="6">
        <f>K58*K34+L58*L34</f>
        <v>323.78240302232246</v>
      </c>
      <c r="N60" s="6"/>
      <c r="O60" s="6"/>
    </row>
    <row r="61" spans="2:15" x14ac:dyDescent="0.3">
      <c r="K61" s="6"/>
      <c r="L61" s="6"/>
      <c r="M61" s="6"/>
      <c r="N61" s="6"/>
      <c r="O61" s="6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zoomScale="150" zoomScaleNormal="70" workbookViewId="0">
      <selection activeCell="E6" sqref="E6"/>
    </sheetView>
  </sheetViews>
  <sheetFormatPr defaultColWidth="8.83203125" defaultRowHeight="14" x14ac:dyDescent="0.3"/>
  <cols>
    <col min="1" max="1" width="9" bestFit="1" customWidth="1"/>
    <col min="2" max="2" width="9.5" bestFit="1" customWidth="1"/>
    <col min="3" max="3" width="9.33203125" bestFit="1" customWidth="1"/>
    <col min="4" max="4" width="11.33203125" bestFit="1" customWidth="1"/>
    <col min="11" max="11" width="10.66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23</v>
      </c>
    </row>
    <row r="2" spans="1:9" x14ac:dyDescent="0.3">
      <c r="A2">
        <v>2000</v>
      </c>
      <c r="B2" s="1">
        <f>Production!B2*'Unit carbon footprint'!B2/10000</f>
        <v>0.18881968280446257</v>
      </c>
      <c r="C2" s="1">
        <f>Production!C2*'Unit carbon footprint'!C2/10000</f>
        <v>4.0850976436635801E-5</v>
      </c>
      <c r="D2" s="1">
        <f>Production!D2*'Unit carbon footprint'!D2/10000</f>
        <v>7.6524081760100005E-2</v>
      </c>
      <c r="F2" s="1"/>
      <c r="G2" s="1"/>
      <c r="H2" s="1"/>
      <c r="I2" s="2"/>
    </row>
    <row r="3" spans="1:9" x14ac:dyDescent="0.3">
      <c r="A3">
        <v>2001</v>
      </c>
      <c r="B3" s="1">
        <f>Production!B3*'Unit carbon footprint'!B3/10000</f>
        <v>0.19173878286409216</v>
      </c>
      <c r="C3" s="1">
        <f>Production!C3*'Unit carbon footprint'!C3/10000</f>
        <v>5.9233915833121912E-5</v>
      </c>
      <c r="D3" s="1">
        <f>Production!D3*'Unit carbon footprint'!D3/10000</f>
        <v>0.1576987983233</v>
      </c>
      <c r="F3" s="1"/>
      <c r="G3" s="1"/>
      <c r="H3" s="1"/>
      <c r="I3" s="1"/>
    </row>
    <row r="4" spans="1:9" x14ac:dyDescent="0.3">
      <c r="A4">
        <v>2002</v>
      </c>
      <c r="B4" s="1">
        <f>Production!B4*'Unit carbon footprint'!B4/10000</f>
        <v>0.17860283259575896</v>
      </c>
      <c r="C4" s="1">
        <f>Production!C4*'Unit carbon footprint'!C4/10000</f>
        <v>1.7361664985570218E-4</v>
      </c>
      <c r="D4" s="1">
        <f>Production!D4*'Unit carbon footprint'!D4/10000</f>
        <v>0.1813747573209</v>
      </c>
      <c r="F4" s="1"/>
      <c r="G4" s="1"/>
      <c r="H4" s="1"/>
      <c r="I4" s="1"/>
    </row>
    <row r="5" spans="1:9" x14ac:dyDescent="0.3">
      <c r="A5">
        <v>2003</v>
      </c>
      <c r="B5" s="1">
        <f>Production!B5*'Unit carbon footprint'!B5/10000</f>
        <v>0.86082724390024723</v>
      </c>
      <c r="C5" s="1">
        <f>Production!C5*'Unit carbon footprint'!C5/10000</f>
        <v>2.1753144952508562E-3</v>
      </c>
      <c r="D5" s="1">
        <f>Production!D5*'Unit carbon footprint'!D5/10000</f>
        <v>0.21773426578149996</v>
      </c>
      <c r="F5" s="1"/>
      <c r="G5" s="1"/>
      <c r="H5" s="1"/>
      <c r="I5" s="1"/>
    </row>
    <row r="6" spans="1:9" x14ac:dyDescent="0.3">
      <c r="A6">
        <v>2004</v>
      </c>
      <c r="B6" s="1">
        <f>Production!B6*'Unit carbon footprint'!B6/10000</f>
        <v>1.186537355816814</v>
      </c>
      <c r="C6" s="1">
        <f>Production!C6*'Unit carbon footprint'!C6/10000</f>
        <v>2.5736115155080555E-3</v>
      </c>
      <c r="D6" s="1">
        <f>Production!D6*'Unit carbon footprint'!D6/10000</f>
        <v>0.32131658639599997</v>
      </c>
      <c r="F6" s="1"/>
      <c r="G6" s="1"/>
      <c r="H6" s="1"/>
      <c r="I6" s="1"/>
    </row>
    <row r="7" spans="1:9" x14ac:dyDescent="0.3">
      <c r="A7">
        <v>2005</v>
      </c>
      <c r="B7" s="1">
        <f>Production!B7*'Unit carbon footprint'!B7/10000</f>
        <v>1.3576888014182551</v>
      </c>
      <c r="C7" s="1">
        <f>Production!C7*'Unit carbon footprint'!C7/10000</f>
        <v>4.2117356706171515E-3</v>
      </c>
      <c r="D7" s="1">
        <f>Production!D7*'Unit carbon footprint'!D7/10000</f>
        <v>0.350911535143</v>
      </c>
      <c r="F7" s="1"/>
      <c r="G7" s="1"/>
      <c r="H7" s="1"/>
      <c r="I7" s="1"/>
    </row>
    <row r="8" spans="1:9" x14ac:dyDescent="0.3">
      <c r="A8">
        <v>2006</v>
      </c>
      <c r="B8" s="1">
        <f>Production!B8*'Unit carbon footprint'!B8/10000</f>
        <v>1.5557665410085837</v>
      </c>
      <c r="C8" s="1">
        <f>Production!C8*'Unit carbon footprint'!C8/10000</f>
        <v>6.2297739065869592E-3</v>
      </c>
      <c r="D8" s="1">
        <f>Production!D8*'Unit carbon footprint'!D8/10000</f>
        <v>0.35217989008930001</v>
      </c>
      <c r="F8" s="1"/>
      <c r="G8" s="1"/>
      <c r="H8" s="1"/>
      <c r="I8" s="1"/>
    </row>
    <row r="9" spans="1:9" x14ac:dyDescent="0.3">
      <c r="A9">
        <v>2007</v>
      </c>
      <c r="B9" s="1">
        <f>Production!B9*'Unit carbon footprint'!B9/10000</f>
        <v>1.6997459078314365</v>
      </c>
      <c r="C9" s="1">
        <f>Production!C9*'Unit carbon footprint'!C9/10000</f>
        <v>8.8850873749682854E-3</v>
      </c>
      <c r="D9" s="1">
        <f>Production!D9*'Unit carbon footprint'!D9/10000</f>
        <v>0.33104064098429992</v>
      </c>
      <c r="F9" s="1"/>
      <c r="G9" s="1"/>
      <c r="H9" s="1"/>
      <c r="I9" s="1"/>
    </row>
    <row r="10" spans="1:9" x14ac:dyDescent="0.3">
      <c r="A10">
        <v>2008</v>
      </c>
      <c r="B10" s="1">
        <f>Production!B10*'Unit carbon footprint'!B10/10000</f>
        <v>2.0490079157992676</v>
      </c>
      <c r="C10" s="1">
        <f>Production!C10*'Unit carbon footprint'!C10/10000</f>
        <v>1.0510956237146391E-2</v>
      </c>
      <c r="D10" s="1">
        <f>Production!D10*'Unit carbon footprint'!D10/10000</f>
        <v>0.43842802643770001</v>
      </c>
      <c r="E10" s="1"/>
      <c r="F10" s="1"/>
      <c r="G10" s="1"/>
      <c r="H10" s="1"/>
      <c r="I10" s="1"/>
    </row>
    <row r="11" spans="1:9" x14ac:dyDescent="0.3">
      <c r="A11">
        <v>2009</v>
      </c>
      <c r="B11" s="1">
        <f>Production!B11*'Unit carbon footprint'!B11/10000</f>
        <v>2.4219126292691198</v>
      </c>
      <c r="C11" s="1">
        <f>Production!C11*'Unit carbon footprint'!C11/10000</f>
        <v>1.2678100537109922E-2</v>
      </c>
      <c r="D11" s="1">
        <f>Production!D11*'Unit carbon footprint'!D11/10000</f>
        <v>0.3864254736394</v>
      </c>
      <c r="E11" s="1"/>
      <c r="F11" s="1"/>
      <c r="G11" s="1"/>
      <c r="H11" s="1"/>
      <c r="I11" s="1"/>
    </row>
    <row r="12" spans="1:9" x14ac:dyDescent="0.3">
      <c r="A12">
        <v>2010</v>
      </c>
      <c r="B12" s="1">
        <f>Production!B12*'Unit carbon footprint'!B12/10000</f>
        <v>2.9522260102939732</v>
      </c>
      <c r="C12" s="1">
        <f>Production!C12*'Unit carbon footprint'!C12/10000</f>
        <v>1.2720994062368389E-2</v>
      </c>
      <c r="D12" s="1">
        <f>Production!D12*'Unit carbon footprint'!D12/10000</f>
        <v>0.42912675683150003</v>
      </c>
      <c r="E12" s="1"/>
      <c r="F12" s="1"/>
      <c r="G12" s="1"/>
      <c r="H12" s="1"/>
      <c r="I12" s="1"/>
    </row>
    <row r="13" spans="1:9" x14ac:dyDescent="0.3">
      <c r="A13">
        <v>2011</v>
      </c>
      <c r="B13" s="1">
        <f>Production!B13*'Unit carbon footprint'!B13/10000</f>
        <v>3.6339938706334904</v>
      </c>
      <c r="C13" s="1">
        <f>Production!C13*'Unit carbon footprint'!C13/10000</f>
        <v>1.3846438463197703E-2</v>
      </c>
      <c r="D13" s="1">
        <f>Production!D13*'Unit carbon footprint'!D13/10000</f>
        <v>0.43800524145559994</v>
      </c>
      <c r="E13" s="1"/>
      <c r="F13" s="1"/>
      <c r="G13" s="1"/>
      <c r="H13" s="1"/>
      <c r="I13" s="1"/>
    </row>
    <row r="14" spans="1:9" x14ac:dyDescent="0.3">
      <c r="A14">
        <v>2012</v>
      </c>
      <c r="B14" s="1">
        <f>Production!B14*'Unit carbon footprint'!B14/10000</f>
        <v>3.846413670612324</v>
      </c>
      <c r="C14" s="1">
        <f>Production!C14*'Unit carbon footprint'!C14/10000</f>
        <v>1.3407290466503869E-2</v>
      </c>
      <c r="D14" s="1">
        <f>Production!D14*'Unit carbon footprint'!D14/10000</f>
        <v>0.46988322910593999</v>
      </c>
      <c r="E14" s="1"/>
      <c r="F14" s="1"/>
      <c r="G14" s="1"/>
      <c r="H14" s="1"/>
      <c r="I14" s="1"/>
    </row>
    <row r="15" spans="1:9" x14ac:dyDescent="0.3">
      <c r="A15">
        <v>2013</v>
      </c>
      <c r="B15" s="1">
        <f>Production!B15*'Unit carbon footprint'!B15/10000</f>
        <v>4.1387569767575432</v>
      </c>
      <c r="C15" s="1">
        <f>Production!C15*'Unit carbon footprint'!C15/10000</f>
        <v>1.5276222638479959E-2</v>
      </c>
      <c r="D15" s="1">
        <f>Production!D15*'Unit carbon footprint'!D15/10000</f>
        <v>0.62149392368699996</v>
      </c>
      <c r="E15" s="1"/>
      <c r="F15" s="1"/>
      <c r="G15" s="1"/>
      <c r="H15" s="1"/>
      <c r="I15" s="1"/>
    </row>
    <row r="16" spans="1:9" x14ac:dyDescent="0.3">
      <c r="A16">
        <v>2014</v>
      </c>
      <c r="B16" s="1">
        <f>Production!B16*'Unit carbon footprint'!B16/10000</f>
        <v>3.7596541368954224</v>
      </c>
      <c r="C16" s="1">
        <f>Production!C16*'Unit carbon footprint'!C16/10000</f>
        <v>1.833596077358398E-2</v>
      </c>
      <c r="D16" s="1">
        <f>Production!D16*'Unit carbon footprint'!D16/10000</f>
        <v>0.55257997160470007</v>
      </c>
      <c r="E16" s="1"/>
      <c r="F16" s="1"/>
      <c r="G16" s="1"/>
      <c r="H16" s="1"/>
      <c r="I16" s="1"/>
    </row>
    <row r="17" spans="1:9" x14ac:dyDescent="0.3">
      <c r="A17">
        <v>2015</v>
      </c>
      <c r="B17" s="1">
        <f>Production!B17*'Unit carbon footprint'!B17/10000</f>
        <v>3.5551599098190718</v>
      </c>
      <c r="C17" s="1">
        <f>Production!C17*'Unit carbon footprint'!C17/10000</f>
        <v>2.0609317612282761E-2</v>
      </c>
      <c r="D17" s="1">
        <f>Production!D17*'Unit carbon footprint'!D17/10000</f>
        <v>0.62529898852589993</v>
      </c>
      <c r="E17" s="1"/>
      <c r="F17" s="1"/>
      <c r="G17" s="1"/>
      <c r="H17" s="1"/>
      <c r="I17" s="1"/>
    </row>
    <row r="18" spans="1:9" x14ac:dyDescent="0.3">
      <c r="A18">
        <v>2016</v>
      </c>
      <c r="B18" s="1">
        <f>Production!B18*'Unit carbon footprint'!B18/10000</f>
        <v>3.2107296817775617</v>
      </c>
      <c r="C18" s="1">
        <f>Production!C18*'Unit carbon footprint'!C18/10000</f>
        <v>2.5211180107869786E-2</v>
      </c>
      <c r="D18" s="1">
        <f>Production!D18*'Unit carbon footprint'!D18/10000</f>
        <v>0.5918989749400001</v>
      </c>
      <c r="E18" s="1"/>
      <c r="F18" s="1"/>
      <c r="G18" s="1"/>
      <c r="H18" s="1"/>
      <c r="I18" s="1"/>
    </row>
    <row r="19" spans="1:9" x14ac:dyDescent="0.3">
      <c r="A19">
        <v>2017</v>
      </c>
      <c r="B19" s="1">
        <f>Production!B19*'Unit carbon footprint'!B19/10000</f>
        <v>2.7012119299978612</v>
      </c>
      <c r="C19" s="1">
        <f>Production!C19*'Unit carbon footprint'!C19/10000</f>
        <v>3.2735929967498099E-2</v>
      </c>
      <c r="D19" s="1">
        <f>Production!D19*'Unit carbon footprint'!D19/10000</f>
        <v>0.53947363715959995</v>
      </c>
      <c r="E19" s="1"/>
      <c r="F19" s="1"/>
      <c r="G19" s="1"/>
      <c r="H19" s="1"/>
      <c r="I19" s="1"/>
    </row>
    <row r="20" spans="1:9" x14ac:dyDescent="0.3">
      <c r="A20">
        <v>2018</v>
      </c>
      <c r="B20" s="1">
        <f>Production!B20*'Unit carbon footprint'!B20/10000</f>
        <v>2.1843238994295091</v>
      </c>
      <c r="C20" s="1">
        <f>Production!C20*'Unit carbon footprint'!C20/10000</f>
        <v>4.0953103877727388E-2</v>
      </c>
      <c r="D20" s="1">
        <f>Production!D20*'Unit carbon footprint'!D20/10000</f>
        <v>0.64356329975261994</v>
      </c>
      <c r="F20" s="1"/>
      <c r="G20" s="1"/>
      <c r="H20" s="1"/>
      <c r="I20" s="1"/>
    </row>
    <row r="21" spans="1:9" x14ac:dyDescent="0.3">
      <c r="A21">
        <v>2019</v>
      </c>
      <c r="B21" s="1">
        <f>Production!B21*'Unit carbon footprint'!B21/10000</f>
        <v>1.5482334994797844</v>
      </c>
      <c r="C21" s="1">
        <f>Production!C21*'Unit carbon footprint'!C21/10000</f>
        <v>3.7656430079290877E-2</v>
      </c>
      <c r="D21" s="1">
        <f>Production!D21*'Unit carbon footprint'!D21/10000</f>
        <v>0.7003856013468599</v>
      </c>
      <c r="F21" s="1"/>
      <c r="G21" s="1"/>
      <c r="H21" s="1"/>
      <c r="I21" s="1"/>
    </row>
    <row r="22" spans="1:9" x14ac:dyDescent="0.3">
      <c r="A22">
        <v>2020</v>
      </c>
      <c r="B22" s="1">
        <f>Production!B22*'Unit carbon footprint'!B22/10000</f>
        <v>0.69631770977949958</v>
      </c>
      <c r="C22" s="1">
        <f>Production!C22*'Unit carbon footprint'!C22/10000</f>
        <v>4.0971486817123877E-2</v>
      </c>
      <c r="D22" s="1">
        <f>Production!D22*'Unit carbon footprint'!D22/10000</f>
        <v>0.83567679561885999</v>
      </c>
      <c r="E22" s="1"/>
      <c r="F22" s="1"/>
      <c r="G22" s="1"/>
      <c r="H22" s="1"/>
      <c r="I22" s="1"/>
    </row>
    <row r="23" spans="1:9" x14ac:dyDescent="0.3">
      <c r="A23">
        <v>2021</v>
      </c>
      <c r="B23" s="1">
        <f>Production!B23*'Unit carbon footprint'!B23/10000</f>
        <v>0.74540916057192519</v>
      </c>
      <c r="C23" s="1">
        <f>Production!C23*'Unit carbon footprint'!C23/10000</f>
        <v>4.7386111392086608E-2</v>
      </c>
      <c r="D23" s="1">
        <f>Production!D23*'Unit carbon footprint'!D23/10000</f>
        <v>1.0414462464069301</v>
      </c>
      <c r="F23" s="1"/>
      <c r="G23" s="1"/>
      <c r="H23" s="1"/>
      <c r="I23" s="1"/>
    </row>
    <row r="24" spans="1:9" x14ac:dyDescent="0.3">
      <c r="A24">
        <v>2022</v>
      </c>
      <c r="B24" s="1">
        <f>Production!B24*'Unit carbon footprint'!B24/10000</f>
        <v>0.73883906545663758</v>
      </c>
      <c r="C24" s="1">
        <f>Production!C24*'Unit carbon footprint'!C24/10000</f>
        <v>4.5096005653048811E-2</v>
      </c>
      <c r="D24" s="1">
        <f>Production!D24*'Unit carbon footprint'!D24/10000</f>
        <v>0.95325329914086998</v>
      </c>
      <c r="F24" s="1"/>
      <c r="G24" s="1"/>
      <c r="H24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Production</vt:lpstr>
      <vt:lpstr>Unit carbon footprint</vt:lpstr>
      <vt:lpstr>Carbon Footprint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Ting Jiang</cp:lastModifiedBy>
  <dcterms:created xsi:type="dcterms:W3CDTF">2015-06-05T18:19:34Z</dcterms:created>
  <dcterms:modified xsi:type="dcterms:W3CDTF">2025-10-17T09:33:24Z</dcterms:modified>
</cp:coreProperties>
</file>